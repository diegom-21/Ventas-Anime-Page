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4DE4F38B-DE2A-479A-9BF6-DBC5F222AC35}" xr6:coauthVersionLast="47" xr6:coauthVersionMax="47" xr10:uidLastSave="{00000000-0000-0000-0000-000000000000}"/>
  <bookViews>
    <workbookView xWindow="-120" yWindow="-120" windowWidth="29040" windowHeight="15750" xr2:uid="{EDDE77DB-8DC8-4481-A34F-DFFBC4BE19B8}"/>
  </bookViews>
  <sheets>
    <sheet name="FINAL" sheetId="1" r:id="rId1"/>
  </sheets>
  <definedNames>
    <definedName name="_xlnm._FilterDatabase" localSheetId="0" hidden="1">FINAL!$A$1:$M$6746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748" i="1" l="1"/>
  <c r="J6748" i="1" s="1"/>
  <c r="G6748" i="1"/>
  <c r="I6747" i="1"/>
  <c r="J6747" i="1" s="1"/>
  <c r="G6747" i="1"/>
  <c r="I6746" i="1"/>
  <c r="J6746" i="1" s="1"/>
  <c r="G6746" i="1"/>
  <c r="I6745" i="1"/>
  <c r="J6745" i="1" s="1"/>
  <c r="G6745" i="1"/>
  <c r="I6744" i="1"/>
  <c r="J6744" i="1" s="1"/>
  <c r="G6744" i="1"/>
  <c r="I6743" i="1"/>
  <c r="J6743" i="1" s="1"/>
  <c r="G6743" i="1"/>
  <c r="I6742" i="1"/>
  <c r="J6742" i="1" s="1"/>
  <c r="G6742" i="1"/>
  <c r="I6741" i="1"/>
  <c r="J6741" i="1" s="1"/>
  <c r="G6741" i="1"/>
  <c r="I6740" i="1"/>
  <c r="J6740" i="1" s="1"/>
  <c r="G6740" i="1"/>
  <c r="I6739" i="1"/>
  <c r="J6739" i="1" s="1"/>
  <c r="G6739" i="1"/>
  <c r="I6738" i="1"/>
  <c r="J6738" i="1" s="1"/>
  <c r="G6738" i="1"/>
  <c r="I6737" i="1"/>
  <c r="J6737" i="1" s="1"/>
  <c r="G6737" i="1"/>
  <c r="H6736" i="1"/>
  <c r="I6736" i="1" s="1"/>
  <c r="J6736" i="1" s="1"/>
  <c r="G6736" i="1"/>
  <c r="I6735" i="1"/>
  <c r="J6735" i="1" s="1"/>
  <c r="G6735" i="1"/>
  <c r="I6734" i="1"/>
  <c r="J6734" i="1" s="1"/>
  <c r="G6734" i="1"/>
  <c r="I6733" i="1"/>
  <c r="J6733" i="1" s="1"/>
  <c r="G6733" i="1"/>
  <c r="J6732" i="1"/>
  <c r="I6732" i="1"/>
  <c r="G6732" i="1"/>
  <c r="I6731" i="1"/>
  <c r="J6731" i="1" s="1"/>
  <c r="G6731" i="1"/>
  <c r="I6730" i="1"/>
  <c r="J6730" i="1" s="1"/>
  <c r="G6730" i="1"/>
  <c r="I6729" i="1"/>
  <c r="J6729" i="1" s="1"/>
  <c r="G6729" i="1"/>
  <c r="J6728" i="1"/>
  <c r="I6728" i="1"/>
  <c r="G6728" i="1"/>
  <c r="I6727" i="1"/>
  <c r="J6727" i="1" s="1"/>
  <c r="G6727" i="1"/>
  <c r="I6726" i="1"/>
  <c r="J6726" i="1" s="1"/>
  <c r="G6726" i="1"/>
  <c r="I6725" i="1"/>
  <c r="J6725" i="1" s="1"/>
  <c r="G6725" i="1"/>
  <c r="J6724" i="1"/>
  <c r="I6724" i="1"/>
  <c r="G6724" i="1"/>
  <c r="I6723" i="1"/>
  <c r="J6723" i="1" s="1"/>
  <c r="G6723" i="1"/>
  <c r="I6722" i="1"/>
  <c r="J6722" i="1" s="1"/>
  <c r="G6722" i="1"/>
  <c r="J6721" i="1"/>
  <c r="I6721" i="1"/>
  <c r="G6721" i="1"/>
  <c r="J6720" i="1"/>
  <c r="I6720" i="1"/>
  <c r="G6720" i="1"/>
  <c r="I6719" i="1"/>
  <c r="J6719" i="1" s="1"/>
  <c r="G6719" i="1"/>
  <c r="I6718" i="1"/>
  <c r="J6718" i="1" s="1"/>
  <c r="G6718" i="1"/>
  <c r="I6717" i="1"/>
  <c r="J6717" i="1" s="1"/>
  <c r="G6717" i="1"/>
  <c r="J6716" i="1"/>
  <c r="I6716" i="1"/>
  <c r="G6716" i="1"/>
  <c r="I6715" i="1"/>
  <c r="J6715" i="1" s="1"/>
  <c r="G6715" i="1"/>
  <c r="I6714" i="1"/>
  <c r="J6714" i="1" s="1"/>
  <c r="G6714" i="1"/>
  <c r="J6713" i="1"/>
  <c r="I6713" i="1"/>
  <c r="G6713" i="1"/>
  <c r="J6712" i="1"/>
  <c r="I6712" i="1"/>
  <c r="G6712" i="1"/>
  <c r="I6711" i="1"/>
  <c r="J6711" i="1" s="1"/>
  <c r="G6711" i="1"/>
  <c r="I6710" i="1"/>
  <c r="J6710" i="1" s="1"/>
  <c r="G6710" i="1"/>
  <c r="I6709" i="1"/>
  <c r="J6709" i="1" s="1"/>
  <c r="G6709" i="1"/>
  <c r="J6708" i="1"/>
  <c r="I6708" i="1"/>
  <c r="G6708" i="1"/>
  <c r="I6707" i="1"/>
  <c r="J6707" i="1" s="1"/>
  <c r="G6707" i="1"/>
  <c r="I6706" i="1"/>
  <c r="J6706" i="1" s="1"/>
  <c r="G6706" i="1"/>
  <c r="I6705" i="1"/>
  <c r="J6705" i="1" s="1"/>
  <c r="G6705" i="1"/>
  <c r="J6704" i="1"/>
  <c r="I6704" i="1"/>
  <c r="G6704" i="1"/>
  <c r="I6703" i="1"/>
  <c r="J6703" i="1" s="1"/>
  <c r="G6703" i="1"/>
  <c r="I6702" i="1"/>
  <c r="J6702" i="1" s="1"/>
  <c r="G6702" i="1"/>
  <c r="I6701" i="1"/>
  <c r="J6701" i="1" s="1"/>
  <c r="G6701" i="1"/>
  <c r="J6700" i="1"/>
  <c r="I6700" i="1"/>
  <c r="G6700" i="1"/>
  <c r="I6699" i="1"/>
  <c r="J6699" i="1" s="1"/>
  <c r="G6699" i="1"/>
  <c r="I6698" i="1"/>
  <c r="J6698" i="1" s="1"/>
  <c r="G6698" i="1"/>
  <c r="J6697" i="1"/>
  <c r="I6697" i="1"/>
  <c r="G6697" i="1"/>
  <c r="J6696" i="1"/>
  <c r="I6696" i="1"/>
  <c r="G6696" i="1"/>
  <c r="I6695" i="1"/>
  <c r="J6695" i="1" s="1"/>
  <c r="G6695" i="1"/>
  <c r="I6694" i="1"/>
  <c r="J6694" i="1" s="1"/>
  <c r="G6694" i="1"/>
  <c r="J6693" i="1"/>
  <c r="I6693" i="1"/>
  <c r="G6693" i="1"/>
  <c r="J6692" i="1"/>
  <c r="I6692" i="1"/>
  <c r="G6692" i="1"/>
  <c r="I6691" i="1"/>
  <c r="J6691" i="1" s="1"/>
  <c r="G6691" i="1"/>
  <c r="I6690" i="1"/>
  <c r="J6690" i="1" s="1"/>
  <c r="G6690" i="1"/>
  <c r="J6689" i="1"/>
  <c r="I6689" i="1"/>
  <c r="G6689" i="1"/>
  <c r="J6688" i="1"/>
  <c r="I6688" i="1"/>
  <c r="G6688" i="1"/>
  <c r="I6687" i="1"/>
  <c r="J6687" i="1" s="1"/>
  <c r="G6687" i="1"/>
  <c r="I6686" i="1"/>
  <c r="J6686" i="1" s="1"/>
  <c r="G6686" i="1"/>
  <c r="I6685" i="1"/>
  <c r="J6685" i="1" s="1"/>
  <c r="G6685" i="1"/>
  <c r="J6684" i="1"/>
  <c r="I6684" i="1"/>
  <c r="G6684" i="1"/>
  <c r="I6683" i="1"/>
  <c r="J6683" i="1" s="1"/>
  <c r="G6683" i="1"/>
  <c r="I6682" i="1"/>
  <c r="J6682" i="1" s="1"/>
  <c r="G6682" i="1"/>
  <c r="J6681" i="1"/>
  <c r="I6681" i="1"/>
  <c r="G6681" i="1"/>
  <c r="J6680" i="1"/>
  <c r="I6680" i="1"/>
  <c r="G6680" i="1"/>
  <c r="I6679" i="1"/>
  <c r="J6679" i="1" s="1"/>
  <c r="G6679" i="1"/>
  <c r="I6678" i="1"/>
  <c r="J6678" i="1" s="1"/>
  <c r="G6678" i="1"/>
  <c r="J6677" i="1"/>
  <c r="I6677" i="1"/>
  <c r="G6677" i="1"/>
  <c r="J6676" i="1"/>
  <c r="I6676" i="1"/>
  <c r="G6676" i="1"/>
  <c r="I6675" i="1"/>
  <c r="J6675" i="1" s="1"/>
  <c r="G6675" i="1"/>
  <c r="I6674" i="1"/>
  <c r="J6674" i="1" s="1"/>
  <c r="G6674" i="1"/>
  <c r="J6673" i="1"/>
  <c r="I6673" i="1"/>
  <c r="G6673" i="1"/>
  <c r="J6672" i="1"/>
  <c r="I6672" i="1"/>
  <c r="G6672" i="1"/>
  <c r="I6671" i="1"/>
  <c r="J6671" i="1" s="1"/>
  <c r="G6671" i="1"/>
  <c r="I6670" i="1"/>
  <c r="J6670" i="1" s="1"/>
  <c r="G6670" i="1"/>
  <c r="I6669" i="1"/>
  <c r="J6669" i="1" s="1"/>
  <c r="G6669" i="1"/>
  <c r="J6668" i="1"/>
  <c r="I6668" i="1"/>
  <c r="G6668" i="1"/>
  <c r="I6667" i="1"/>
  <c r="J6667" i="1" s="1"/>
  <c r="G6667" i="1"/>
  <c r="I6666" i="1"/>
  <c r="J6666" i="1" s="1"/>
  <c r="G6666" i="1"/>
  <c r="J6665" i="1"/>
  <c r="I6665" i="1"/>
  <c r="G6665" i="1"/>
  <c r="J6664" i="1"/>
  <c r="I6664" i="1"/>
  <c r="H6664" i="1"/>
  <c r="G6664" i="1"/>
  <c r="I6663" i="1"/>
  <c r="J6663" i="1" s="1"/>
  <c r="G6663" i="1"/>
  <c r="I6662" i="1"/>
  <c r="J6662" i="1" s="1"/>
  <c r="G6662" i="1"/>
  <c r="J6661" i="1"/>
  <c r="I6661" i="1"/>
  <c r="G6661" i="1"/>
  <c r="J6660" i="1"/>
  <c r="I6660" i="1"/>
  <c r="G6660" i="1"/>
  <c r="I6659" i="1"/>
  <c r="J6659" i="1" s="1"/>
  <c r="G6659" i="1"/>
  <c r="I6658" i="1"/>
  <c r="J6658" i="1" s="1"/>
  <c r="G6658" i="1"/>
  <c r="J6657" i="1"/>
  <c r="I6657" i="1"/>
  <c r="G6657" i="1"/>
  <c r="J6656" i="1"/>
  <c r="I6656" i="1"/>
  <c r="G6656" i="1"/>
  <c r="I6655" i="1"/>
  <c r="J6655" i="1" s="1"/>
  <c r="G6655" i="1"/>
  <c r="H6654" i="1"/>
  <c r="I6654" i="1" s="1"/>
  <c r="J6654" i="1" s="1"/>
  <c r="G6654" i="1"/>
  <c r="I6653" i="1"/>
  <c r="J6653" i="1" s="1"/>
  <c r="G6653" i="1"/>
  <c r="I6652" i="1"/>
  <c r="J6652" i="1" s="1"/>
  <c r="G6652" i="1"/>
  <c r="I6651" i="1"/>
  <c r="J6651" i="1" s="1"/>
  <c r="G6651" i="1"/>
  <c r="I6650" i="1"/>
  <c r="J6650" i="1" s="1"/>
  <c r="G6650" i="1"/>
  <c r="I6649" i="1"/>
  <c r="J6649" i="1" s="1"/>
  <c r="G6649" i="1"/>
  <c r="I6648" i="1"/>
  <c r="J6648" i="1" s="1"/>
  <c r="G6648" i="1"/>
  <c r="I6647" i="1"/>
  <c r="J6647" i="1" s="1"/>
  <c r="G6647" i="1"/>
  <c r="I6646" i="1"/>
  <c r="J6646" i="1" s="1"/>
  <c r="G6646" i="1"/>
  <c r="I6645" i="1"/>
  <c r="J6645" i="1" s="1"/>
  <c r="G6645" i="1"/>
  <c r="I6644" i="1"/>
  <c r="J6644" i="1" s="1"/>
  <c r="G6644" i="1"/>
  <c r="I6643" i="1"/>
  <c r="J6643" i="1" s="1"/>
  <c r="G6643" i="1"/>
  <c r="I6642" i="1"/>
  <c r="J6642" i="1" s="1"/>
  <c r="G6642" i="1"/>
  <c r="I6641" i="1"/>
  <c r="J6641" i="1" s="1"/>
  <c r="G6641" i="1"/>
  <c r="I6640" i="1"/>
  <c r="J6640" i="1" s="1"/>
  <c r="G6640" i="1"/>
  <c r="I6639" i="1"/>
  <c r="J6639" i="1" s="1"/>
  <c r="G6639" i="1"/>
  <c r="I6638" i="1"/>
  <c r="J6638" i="1" s="1"/>
  <c r="G6638" i="1"/>
  <c r="I6637" i="1"/>
  <c r="J6637" i="1" s="1"/>
  <c r="G6637" i="1"/>
  <c r="I6636" i="1"/>
  <c r="J6636" i="1" s="1"/>
  <c r="G6636" i="1"/>
  <c r="I6635" i="1"/>
  <c r="J6635" i="1" s="1"/>
  <c r="G6635" i="1"/>
  <c r="I6634" i="1"/>
  <c r="J6634" i="1" s="1"/>
  <c r="G6634" i="1"/>
  <c r="I6633" i="1"/>
  <c r="J6633" i="1" s="1"/>
  <c r="H6633" i="1"/>
  <c r="G6633" i="1"/>
  <c r="I6632" i="1"/>
  <c r="J6632" i="1" s="1"/>
  <c r="G6632" i="1"/>
  <c r="I6631" i="1"/>
  <c r="J6631" i="1" s="1"/>
  <c r="G6631" i="1"/>
  <c r="I6630" i="1"/>
  <c r="J6630" i="1" s="1"/>
  <c r="G6630" i="1"/>
  <c r="J6629" i="1"/>
  <c r="I6629" i="1"/>
  <c r="G6629" i="1"/>
  <c r="I6628" i="1"/>
  <c r="J6628" i="1" s="1"/>
  <c r="G6628" i="1"/>
  <c r="I6627" i="1"/>
  <c r="J6627" i="1" s="1"/>
  <c r="G6627" i="1"/>
  <c r="I6626" i="1"/>
  <c r="J6626" i="1" s="1"/>
  <c r="G6626" i="1"/>
  <c r="J6625" i="1"/>
  <c r="I6625" i="1"/>
  <c r="G6625" i="1"/>
  <c r="I6624" i="1"/>
  <c r="J6624" i="1" s="1"/>
  <c r="G6624" i="1"/>
  <c r="I6623" i="1"/>
  <c r="J6623" i="1" s="1"/>
  <c r="G6623" i="1"/>
  <c r="I6622" i="1"/>
  <c r="J6622" i="1" s="1"/>
  <c r="G6622" i="1"/>
  <c r="J6621" i="1"/>
  <c r="I6621" i="1"/>
  <c r="G6621" i="1"/>
  <c r="I6620" i="1"/>
  <c r="J6620" i="1" s="1"/>
  <c r="G6620" i="1"/>
  <c r="I6619" i="1"/>
  <c r="J6619" i="1" s="1"/>
  <c r="G6619" i="1"/>
  <c r="J6618" i="1"/>
  <c r="I6618" i="1"/>
  <c r="G6618" i="1"/>
  <c r="J6617" i="1"/>
  <c r="I6617" i="1"/>
  <c r="H6617" i="1"/>
  <c r="G6617" i="1"/>
  <c r="I6616" i="1"/>
  <c r="J6616" i="1" s="1"/>
  <c r="G6616" i="1"/>
  <c r="I6615" i="1"/>
  <c r="J6615" i="1" s="1"/>
  <c r="G6615" i="1"/>
  <c r="J6614" i="1"/>
  <c r="H6614" i="1"/>
  <c r="I6614" i="1" s="1"/>
  <c r="G6614" i="1"/>
  <c r="I6613" i="1"/>
  <c r="J6613" i="1" s="1"/>
  <c r="G6613" i="1"/>
  <c r="I6612" i="1"/>
  <c r="J6612" i="1" s="1"/>
  <c r="G6612" i="1"/>
  <c r="I6611" i="1"/>
  <c r="J6611" i="1" s="1"/>
  <c r="G6611" i="1"/>
  <c r="I6610" i="1"/>
  <c r="J6610" i="1" s="1"/>
  <c r="G6610" i="1"/>
  <c r="I6609" i="1"/>
  <c r="J6609" i="1" s="1"/>
  <c r="G6609" i="1"/>
  <c r="I6608" i="1"/>
  <c r="J6608" i="1" s="1"/>
  <c r="G6608" i="1"/>
  <c r="I6607" i="1"/>
  <c r="J6607" i="1" s="1"/>
  <c r="G6607" i="1"/>
  <c r="I6606" i="1"/>
  <c r="J6606" i="1" s="1"/>
  <c r="G6606" i="1"/>
  <c r="I6605" i="1"/>
  <c r="J6605" i="1" s="1"/>
  <c r="G6605" i="1"/>
  <c r="I6604" i="1"/>
  <c r="J6604" i="1" s="1"/>
  <c r="G6604" i="1"/>
  <c r="I6603" i="1"/>
  <c r="J6603" i="1" s="1"/>
  <c r="G6603" i="1"/>
  <c r="I6602" i="1"/>
  <c r="J6602" i="1" s="1"/>
  <c r="G6602" i="1"/>
  <c r="I6601" i="1"/>
  <c r="J6601" i="1" s="1"/>
  <c r="G6601" i="1"/>
  <c r="I6600" i="1"/>
  <c r="J6600" i="1" s="1"/>
  <c r="G6600" i="1"/>
  <c r="I6599" i="1"/>
  <c r="J6599" i="1" s="1"/>
  <c r="G6599" i="1"/>
  <c r="I6598" i="1"/>
  <c r="J6598" i="1" s="1"/>
  <c r="G6598" i="1"/>
  <c r="I6597" i="1"/>
  <c r="J6597" i="1" s="1"/>
  <c r="G6597" i="1"/>
  <c r="I6596" i="1"/>
  <c r="J6596" i="1" s="1"/>
  <c r="G6596" i="1"/>
  <c r="I6595" i="1"/>
  <c r="J6595" i="1" s="1"/>
  <c r="G6595" i="1"/>
  <c r="I6594" i="1"/>
  <c r="J6594" i="1" s="1"/>
  <c r="G6594" i="1"/>
  <c r="I6593" i="1"/>
  <c r="J6593" i="1" s="1"/>
  <c r="G6593" i="1"/>
  <c r="I6592" i="1"/>
  <c r="J6592" i="1" s="1"/>
  <c r="G6592" i="1"/>
  <c r="I6591" i="1"/>
  <c r="J6591" i="1" s="1"/>
  <c r="G6591" i="1"/>
  <c r="I6590" i="1"/>
  <c r="J6590" i="1" s="1"/>
  <c r="G6590" i="1"/>
  <c r="I6589" i="1"/>
  <c r="J6589" i="1" s="1"/>
  <c r="G6589" i="1"/>
  <c r="I6588" i="1"/>
  <c r="J6588" i="1" s="1"/>
  <c r="G6588" i="1"/>
  <c r="I6587" i="1"/>
  <c r="J6587" i="1" s="1"/>
  <c r="G6587" i="1"/>
  <c r="I6586" i="1"/>
  <c r="J6586" i="1" s="1"/>
  <c r="G6586" i="1"/>
  <c r="I6585" i="1"/>
  <c r="J6585" i="1" s="1"/>
  <c r="G6585" i="1"/>
  <c r="I6584" i="1"/>
  <c r="J6584" i="1" s="1"/>
  <c r="G6584" i="1"/>
  <c r="I6583" i="1"/>
  <c r="J6583" i="1" s="1"/>
  <c r="G6583" i="1"/>
  <c r="I6582" i="1"/>
  <c r="J6582" i="1" s="1"/>
  <c r="G6582" i="1"/>
  <c r="I6581" i="1"/>
  <c r="J6581" i="1" s="1"/>
  <c r="G6581" i="1"/>
  <c r="I6580" i="1"/>
  <c r="J6580" i="1" s="1"/>
  <c r="G6580" i="1"/>
  <c r="I6579" i="1"/>
  <c r="J6579" i="1" s="1"/>
  <c r="G6579" i="1"/>
  <c r="I6578" i="1"/>
  <c r="J6578" i="1" s="1"/>
  <c r="G6578" i="1"/>
  <c r="I6577" i="1"/>
  <c r="J6577" i="1" s="1"/>
  <c r="G6577" i="1"/>
  <c r="I6576" i="1"/>
  <c r="J6576" i="1" s="1"/>
  <c r="G6576" i="1"/>
  <c r="I6575" i="1"/>
  <c r="J6575" i="1" s="1"/>
  <c r="G6575" i="1"/>
  <c r="I6574" i="1"/>
  <c r="J6574" i="1" s="1"/>
  <c r="G6574" i="1"/>
  <c r="I6573" i="1"/>
  <c r="J6573" i="1" s="1"/>
  <c r="G6573" i="1"/>
  <c r="I6572" i="1"/>
  <c r="J6572" i="1" s="1"/>
  <c r="G6572" i="1"/>
  <c r="I6571" i="1"/>
  <c r="J6571" i="1" s="1"/>
  <c r="G6571" i="1"/>
  <c r="I6570" i="1"/>
  <c r="J6570" i="1" s="1"/>
  <c r="G6570" i="1"/>
  <c r="I6569" i="1"/>
  <c r="J6569" i="1" s="1"/>
  <c r="G6569" i="1"/>
  <c r="I6568" i="1"/>
  <c r="J6568" i="1" s="1"/>
  <c r="G6568" i="1"/>
  <c r="I6567" i="1"/>
  <c r="J6567" i="1" s="1"/>
  <c r="G6567" i="1"/>
  <c r="I6566" i="1"/>
  <c r="J6566" i="1" s="1"/>
  <c r="G6566" i="1"/>
  <c r="H6565" i="1"/>
  <c r="I6565" i="1" s="1"/>
  <c r="J6565" i="1" s="1"/>
  <c r="G6565" i="1"/>
  <c r="I6564" i="1"/>
  <c r="J6564" i="1" s="1"/>
  <c r="G6564" i="1"/>
  <c r="I6563" i="1"/>
  <c r="J6563" i="1" s="1"/>
  <c r="G6563" i="1"/>
  <c r="J6562" i="1"/>
  <c r="I6562" i="1"/>
  <c r="G6562" i="1"/>
  <c r="I6561" i="1"/>
  <c r="J6561" i="1" s="1"/>
  <c r="G6561" i="1"/>
  <c r="I6560" i="1"/>
  <c r="J6560" i="1" s="1"/>
  <c r="G6560" i="1"/>
  <c r="J6559" i="1"/>
  <c r="I6559" i="1"/>
  <c r="G6559" i="1"/>
  <c r="J6558" i="1"/>
  <c r="I6558" i="1"/>
  <c r="G6558" i="1"/>
  <c r="I6557" i="1"/>
  <c r="J6557" i="1" s="1"/>
  <c r="G6557" i="1"/>
  <c r="I6556" i="1"/>
  <c r="J6556" i="1" s="1"/>
  <c r="G6556" i="1"/>
  <c r="I6555" i="1"/>
  <c r="J6555" i="1" s="1"/>
  <c r="G6555" i="1"/>
  <c r="J6554" i="1"/>
  <c r="I6554" i="1"/>
  <c r="G6554" i="1"/>
  <c r="I6553" i="1"/>
  <c r="J6553" i="1" s="1"/>
  <c r="G6553" i="1"/>
  <c r="I6552" i="1"/>
  <c r="J6552" i="1" s="1"/>
  <c r="G6552" i="1"/>
  <c r="J6551" i="1"/>
  <c r="I6551" i="1"/>
  <c r="G6551" i="1"/>
  <c r="J6550" i="1"/>
  <c r="I6550" i="1"/>
  <c r="G6550" i="1"/>
  <c r="I6549" i="1"/>
  <c r="J6549" i="1" s="1"/>
  <c r="G6549" i="1"/>
  <c r="I6548" i="1"/>
  <c r="J6548" i="1" s="1"/>
  <c r="G6548" i="1"/>
  <c r="I6547" i="1"/>
  <c r="J6547" i="1" s="1"/>
  <c r="H6547" i="1"/>
  <c r="G6547" i="1"/>
  <c r="I6546" i="1"/>
  <c r="J6546" i="1" s="1"/>
  <c r="G6546" i="1"/>
  <c r="I6545" i="1"/>
  <c r="J6545" i="1" s="1"/>
  <c r="G6545" i="1"/>
  <c r="I6544" i="1"/>
  <c r="J6544" i="1" s="1"/>
  <c r="G6544" i="1"/>
  <c r="J6543" i="1"/>
  <c r="I6543" i="1"/>
  <c r="G6543" i="1"/>
  <c r="I6542" i="1"/>
  <c r="J6542" i="1" s="1"/>
  <c r="H6542" i="1"/>
  <c r="G6542" i="1"/>
  <c r="I6541" i="1"/>
  <c r="J6541" i="1" s="1"/>
  <c r="G6541" i="1"/>
  <c r="I6540" i="1"/>
  <c r="J6540" i="1" s="1"/>
  <c r="G6540" i="1"/>
  <c r="I6539" i="1"/>
  <c r="J6539" i="1" s="1"/>
  <c r="G6539" i="1"/>
  <c r="J6538" i="1"/>
  <c r="I6538" i="1"/>
  <c r="G6538" i="1"/>
  <c r="I6537" i="1"/>
  <c r="J6537" i="1" s="1"/>
  <c r="G6537" i="1"/>
  <c r="I6536" i="1"/>
  <c r="J6536" i="1" s="1"/>
  <c r="G6536" i="1"/>
  <c r="I6535" i="1"/>
  <c r="J6535" i="1" s="1"/>
  <c r="G6535" i="1"/>
  <c r="J6534" i="1"/>
  <c r="I6534" i="1"/>
  <c r="G6534" i="1"/>
  <c r="I6533" i="1"/>
  <c r="J6533" i="1" s="1"/>
  <c r="G6533" i="1"/>
  <c r="I6532" i="1"/>
  <c r="J6532" i="1" s="1"/>
  <c r="G6532" i="1"/>
  <c r="I6531" i="1"/>
  <c r="J6531" i="1" s="1"/>
  <c r="G6531" i="1"/>
  <c r="J6530" i="1"/>
  <c r="I6530" i="1"/>
  <c r="G6530" i="1"/>
  <c r="I6529" i="1"/>
  <c r="J6529" i="1" s="1"/>
  <c r="G6529" i="1"/>
  <c r="I6528" i="1"/>
  <c r="J6528" i="1" s="1"/>
  <c r="G6528" i="1"/>
  <c r="I6527" i="1"/>
  <c r="J6527" i="1" s="1"/>
  <c r="G6527" i="1"/>
  <c r="J6526" i="1"/>
  <c r="I6526" i="1"/>
  <c r="G6526" i="1"/>
  <c r="I6525" i="1"/>
  <c r="J6525" i="1" s="1"/>
  <c r="G6525" i="1"/>
  <c r="I6524" i="1"/>
  <c r="J6524" i="1" s="1"/>
  <c r="G6524" i="1"/>
  <c r="I6523" i="1"/>
  <c r="J6523" i="1" s="1"/>
  <c r="G6523" i="1"/>
  <c r="J6522" i="1"/>
  <c r="I6522" i="1"/>
  <c r="G6522" i="1"/>
  <c r="I6521" i="1"/>
  <c r="J6521" i="1" s="1"/>
  <c r="G6521" i="1"/>
  <c r="I6520" i="1"/>
  <c r="J6520" i="1" s="1"/>
  <c r="G6520" i="1"/>
  <c r="I6519" i="1"/>
  <c r="J6519" i="1" s="1"/>
  <c r="G6519" i="1"/>
  <c r="J6518" i="1"/>
  <c r="I6518" i="1"/>
  <c r="G6518" i="1"/>
  <c r="I6517" i="1"/>
  <c r="J6517" i="1" s="1"/>
  <c r="G6517" i="1"/>
  <c r="I6516" i="1"/>
  <c r="J6516" i="1" s="1"/>
  <c r="G6516" i="1"/>
  <c r="I6515" i="1"/>
  <c r="J6515" i="1" s="1"/>
  <c r="G6515" i="1"/>
  <c r="J6514" i="1"/>
  <c r="I6514" i="1"/>
  <c r="G6514" i="1"/>
  <c r="I6513" i="1"/>
  <c r="J6513" i="1" s="1"/>
  <c r="G6513" i="1"/>
  <c r="I6512" i="1"/>
  <c r="J6512" i="1" s="1"/>
  <c r="G6512" i="1"/>
  <c r="I6511" i="1"/>
  <c r="J6511" i="1" s="1"/>
  <c r="G6511" i="1"/>
  <c r="J6510" i="1"/>
  <c r="I6510" i="1"/>
  <c r="G6510" i="1"/>
  <c r="I6509" i="1"/>
  <c r="J6509" i="1" s="1"/>
  <c r="G6509" i="1"/>
  <c r="I6508" i="1"/>
  <c r="J6508" i="1" s="1"/>
  <c r="G6508" i="1"/>
  <c r="I6507" i="1"/>
  <c r="J6507" i="1" s="1"/>
  <c r="G6507" i="1"/>
  <c r="J6506" i="1"/>
  <c r="I6506" i="1"/>
  <c r="G6506" i="1"/>
  <c r="I6505" i="1"/>
  <c r="J6505" i="1" s="1"/>
  <c r="G6505" i="1"/>
  <c r="H6504" i="1"/>
  <c r="I6504" i="1" s="1"/>
  <c r="J6504" i="1" s="1"/>
  <c r="G6504" i="1"/>
  <c r="I6503" i="1"/>
  <c r="J6503" i="1" s="1"/>
  <c r="G6503" i="1"/>
  <c r="I6502" i="1"/>
  <c r="J6502" i="1" s="1"/>
  <c r="G6502" i="1"/>
  <c r="I6501" i="1"/>
  <c r="J6501" i="1" s="1"/>
  <c r="G6501" i="1"/>
  <c r="I6500" i="1"/>
  <c r="J6500" i="1" s="1"/>
  <c r="G6500" i="1"/>
  <c r="I6499" i="1"/>
  <c r="J6499" i="1" s="1"/>
  <c r="G6499" i="1"/>
  <c r="I6498" i="1"/>
  <c r="J6498" i="1" s="1"/>
  <c r="G6498" i="1"/>
  <c r="J6497" i="1"/>
  <c r="I6497" i="1"/>
  <c r="G6497" i="1"/>
  <c r="J6496" i="1"/>
  <c r="I6496" i="1"/>
  <c r="H6496" i="1"/>
  <c r="G6496" i="1"/>
  <c r="I6495" i="1"/>
  <c r="J6495" i="1" s="1"/>
  <c r="H6495" i="1"/>
  <c r="G6495" i="1"/>
  <c r="I6494" i="1"/>
  <c r="J6494" i="1" s="1"/>
  <c r="G6494" i="1"/>
  <c r="I6493" i="1"/>
  <c r="J6493" i="1" s="1"/>
  <c r="G6493" i="1"/>
  <c r="I6492" i="1"/>
  <c r="J6492" i="1" s="1"/>
  <c r="G6492" i="1"/>
  <c r="J6491" i="1"/>
  <c r="I6491" i="1"/>
  <c r="G6491" i="1"/>
  <c r="I6490" i="1"/>
  <c r="J6490" i="1" s="1"/>
  <c r="G6490" i="1"/>
  <c r="H6489" i="1"/>
  <c r="I6489" i="1" s="1"/>
  <c r="J6489" i="1" s="1"/>
  <c r="G6489" i="1"/>
  <c r="H6488" i="1"/>
  <c r="I6488" i="1" s="1"/>
  <c r="J6488" i="1" s="1"/>
  <c r="G6488" i="1"/>
  <c r="H6487" i="1"/>
  <c r="I6487" i="1" s="1"/>
  <c r="J6487" i="1" s="1"/>
  <c r="G6487" i="1"/>
  <c r="I6486" i="1"/>
  <c r="J6486" i="1" s="1"/>
  <c r="G6486" i="1"/>
  <c r="I6485" i="1"/>
  <c r="J6485" i="1" s="1"/>
  <c r="G6485" i="1"/>
  <c r="J6484" i="1"/>
  <c r="I6484" i="1"/>
  <c r="G6484" i="1"/>
  <c r="I6483" i="1"/>
  <c r="J6483" i="1" s="1"/>
  <c r="G6483" i="1"/>
  <c r="I6482" i="1"/>
  <c r="J6482" i="1" s="1"/>
  <c r="G6482" i="1"/>
  <c r="I6481" i="1"/>
  <c r="J6481" i="1" s="1"/>
  <c r="G6481" i="1"/>
  <c r="J6480" i="1"/>
  <c r="I6480" i="1"/>
  <c r="G6480" i="1"/>
  <c r="I6479" i="1"/>
  <c r="J6479" i="1" s="1"/>
  <c r="G6479" i="1"/>
  <c r="I6478" i="1"/>
  <c r="J6478" i="1" s="1"/>
  <c r="G6478" i="1"/>
  <c r="I6477" i="1"/>
  <c r="J6477" i="1" s="1"/>
  <c r="G6477" i="1"/>
  <c r="J6476" i="1"/>
  <c r="I6476" i="1"/>
  <c r="G6476" i="1"/>
  <c r="I6475" i="1"/>
  <c r="J6475" i="1" s="1"/>
  <c r="G6475" i="1"/>
  <c r="J6474" i="1"/>
  <c r="I6474" i="1"/>
  <c r="G6474" i="1"/>
  <c r="I6473" i="1"/>
  <c r="J6473" i="1" s="1"/>
  <c r="G6473" i="1"/>
  <c r="J6472" i="1"/>
  <c r="I6472" i="1"/>
  <c r="G6472" i="1"/>
  <c r="I6471" i="1"/>
  <c r="J6471" i="1" s="1"/>
  <c r="G6471" i="1"/>
  <c r="I6470" i="1"/>
  <c r="J6470" i="1" s="1"/>
  <c r="G6470" i="1"/>
  <c r="I6469" i="1"/>
  <c r="J6469" i="1" s="1"/>
  <c r="G6469" i="1"/>
  <c r="J6468" i="1"/>
  <c r="I6468" i="1"/>
  <c r="H6468" i="1"/>
  <c r="G6468" i="1"/>
  <c r="H6467" i="1"/>
  <c r="I6467" i="1" s="1"/>
  <c r="J6467" i="1" s="1"/>
  <c r="G6467" i="1"/>
  <c r="J6466" i="1"/>
  <c r="I6466" i="1"/>
  <c r="G6466" i="1"/>
  <c r="I6465" i="1"/>
  <c r="J6465" i="1" s="1"/>
  <c r="G6465" i="1"/>
  <c r="I6464" i="1"/>
  <c r="J6464" i="1" s="1"/>
  <c r="G6464" i="1"/>
  <c r="I6463" i="1"/>
  <c r="J6463" i="1" s="1"/>
  <c r="G6463" i="1"/>
  <c r="J6462" i="1"/>
  <c r="I6462" i="1"/>
  <c r="G6462" i="1"/>
  <c r="I6461" i="1"/>
  <c r="J6461" i="1" s="1"/>
  <c r="G6461" i="1"/>
  <c r="I6460" i="1"/>
  <c r="J6460" i="1" s="1"/>
  <c r="G6460" i="1"/>
  <c r="I6459" i="1"/>
  <c r="J6459" i="1" s="1"/>
  <c r="G6459" i="1"/>
  <c r="J6458" i="1"/>
  <c r="H6458" i="1"/>
  <c r="I6458" i="1" s="1"/>
  <c r="G6458" i="1"/>
  <c r="J6457" i="1"/>
  <c r="I6457" i="1"/>
  <c r="G6457" i="1"/>
  <c r="I6456" i="1"/>
  <c r="J6456" i="1" s="1"/>
  <c r="G6456" i="1"/>
  <c r="J6455" i="1"/>
  <c r="I6455" i="1"/>
  <c r="G6455" i="1"/>
  <c r="I6454" i="1"/>
  <c r="J6454" i="1" s="1"/>
  <c r="G6454" i="1"/>
  <c r="J6453" i="1"/>
  <c r="I6453" i="1"/>
  <c r="G6453" i="1"/>
  <c r="I6452" i="1"/>
  <c r="J6452" i="1" s="1"/>
  <c r="G6452" i="1"/>
  <c r="I6451" i="1"/>
  <c r="J6451" i="1" s="1"/>
  <c r="G6451" i="1"/>
  <c r="I6450" i="1"/>
  <c r="J6450" i="1" s="1"/>
  <c r="G6450" i="1"/>
  <c r="J6449" i="1"/>
  <c r="I6449" i="1"/>
  <c r="G6449" i="1"/>
  <c r="I6448" i="1"/>
  <c r="J6448" i="1" s="1"/>
  <c r="G6448" i="1"/>
  <c r="I6447" i="1"/>
  <c r="J6447" i="1" s="1"/>
  <c r="G6447" i="1"/>
  <c r="I6446" i="1"/>
  <c r="J6446" i="1" s="1"/>
  <c r="G6446" i="1"/>
  <c r="J6445" i="1"/>
  <c r="I6445" i="1"/>
  <c r="G6445" i="1"/>
  <c r="I6444" i="1"/>
  <c r="J6444" i="1" s="1"/>
  <c r="G6444" i="1"/>
  <c r="H6443" i="1"/>
  <c r="I6443" i="1" s="1"/>
  <c r="J6443" i="1" s="1"/>
  <c r="G6443" i="1"/>
  <c r="I6442" i="1"/>
  <c r="J6442" i="1" s="1"/>
  <c r="G6442" i="1"/>
  <c r="I6441" i="1"/>
  <c r="J6441" i="1" s="1"/>
  <c r="G6441" i="1"/>
  <c r="I6440" i="1"/>
  <c r="J6440" i="1" s="1"/>
  <c r="G6440" i="1"/>
  <c r="J6439" i="1"/>
  <c r="I6439" i="1"/>
  <c r="G6439" i="1"/>
  <c r="I6438" i="1"/>
  <c r="J6438" i="1" s="1"/>
  <c r="G6438" i="1"/>
  <c r="I6437" i="1"/>
  <c r="J6437" i="1" s="1"/>
  <c r="G6437" i="1"/>
  <c r="H6436" i="1"/>
  <c r="I6436" i="1" s="1"/>
  <c r="J6436" i="1" s="1"/>
  <c r="G6436" i="1"/>
  <c r="J6435" i="1"/>
  <c r="I6435" i="1"/>
  <c r="G6435" i="1"/>
  <c r="I6434" i="1"/>
  <c r="J6434" i="1" s="1"/>
  <c r="G6434" i="1"/>
  <c r="I6433" i="1"/>
  <c r="J6433" i="1" s="1"/>
  <c r="G6433" i="1"/>
  <c r="I6432" i="1"/>
  <c r="J6432" i="1" s="1"/>
  <c r="G6432" i="1"/>
  <c r="J6431" i="1"/>
  <c r="I6431" i="1"/>
  <c r="G6431" i="1"/>
  <c r="I6430" i="1"/>
  <c r="J6430" i="1" s="1"/>
  <c r="G6430" i="1"/>
  <c r="I6429" i="1"/>
  <c r="J6429" i="1" s="1"/>
  <c r="G6429" i="1"/>
  <c r="I6428" i="1"/>
  <c r="J6428" i="1" s="1"/>
  <c r="G6428" i="1"/>
  <c r="H6427" i="1"/>
  <c r="I6427" i="1" s="1"/>
  <c r="J6427" i="1" s="1"/>
  <c r="G6427" i="1"/>
  <c r="I6426" i="1"/>
  <c r="J6426" i="1" s="1"/>
  <c r="G6426" i="1"/>
  <c r="I6425" i="1"/>
  <c r="J6425" i="1" s="1"/>
  <c r="G6425" i="1"/>
  <c r="I6424" i="1"/>
  <c r="J6424" i="1" s="1"/>
  <c r="G6424" i="1"/>
  <c r="I6423" i="1"/>
  <c r="J6423" i="1" s="1"/>
  <c r="G6423" i="1"/>
  <c r="I6422" i="1"/>
  <c r="J6422" i="1" s="1"/>
  <c r="G6422" i="1"/>
  <c r="I6421" i="1"/>
  <c r="J6421" i="1" s="1"/>
  <c r="G6421" i="1"/>
  <c r="I6420" i="1"/>
  <c r="J6420" i="1" s="1"/>
  <c r="G6420" i="1"/>
  <c r="I6419" i="1"/>
  <c r="J6419" i="1" s="1"/>
  <c r="G6419" i="1"/>
  <c r="I6418" i="1"/>
  <c r="J6418" i="1" s="1"/>
  <c r="G6418" i="1"/>
  <c r="I6417" i="1"/>
  <c r="J6417" i="1" s="1"/>
  <c r="G6417" i="1"/>
  <c r="I6416" i="1"/>
  <c r="J6416" i="1" s="1"/>
  <c r="G6416" i="1"/>
  <c r="I6415" i="1"/>
  <c r="J6415" i="1" s="1"/>
  <c r="G6415" i="1"/>
  <c r="I6414" i="1"/>
  <c r="J6414" i="1" s="1"/>
  <c r="G6414" i="1"/>
  <c r="I6413" i="1"/>
  <c r="J6413" i="1" s="1"/>
  <c r="G6413" i="1"/>
  <c r="J6412" i="1"/>
  <c r="I6412" i="1"/>
  <c r="G6412" i="1"/>
  <c r="I6411" i="1"/>
  <c r="J6411" i="1" s="1"/>
  <c r="G6411" i="1"/>
  <c r="I6410" i="1"/>
  <c r="J6410" i="1" s="1"/>
  <c r="G6410" i="1"/>
  <c r="I6409" i="1"/>
  <c r="J6409" i="1" s="1"/>
  <c r="G6409" i="1"/>
  <c r="I6408" i="1"/>
  <c r="J6408" i="1" s="1"/>
  <c r="G6408" i="1"/>
  <c r="I6407" i="1"/>
  <c r="J6407" i="1" s="1"/>
  <c r="G6407" i="1"/>
  <c r="I6406" i="1"/>
  <c r="J6406" i="1" s="1"/>
  <c r="G6406" i="1"/>
  <c r="I6405" i="1"/>
  <c r="J6405" i="1" s="1"/>
  <c r="G6405" i="1"/>
  <c r="I6404" i="1"/>
  <c r="J6404" i="1" s="1"/>
  <c r="G6404" i="1"/>
  <c r="I6403" i="1"/>
  <c r="J6403" i="1" s="1"/>
  <c r="G6403" i="1"/>
  <c r="I6402" i="1"/>
  <c r="J6402" i="1" s="1"/>
  <c r="G6402" i="1"/>
  <c r="I6401" i="1"/>
  <c r="J6401" i="1" s="1"/>
  <c r="G6401" i="1"/>
  <c r="I6400" i="1"/>
  <c r="J6400" i="1" s="1"/>
  <c r="G6400" i="1"/>
  <c r="I6399" i="1"/>
  <c r="J6399" i="1" s="1"/>
  <c r="G6399" i="1"/>
  <c r="I6398" i="1"/>
  <c r="J6398" i="1" s="1"/>
  <c r="G6398" i="1"/>
  <c r="I6397" i="1"/>
  <c r="J6397" i="1" s="1"/>
  <c r="G6397" i="1"/>
  <c r="J6396" i="1"/>
  <c r="I6396" i="1"/>
  <c r="G6396" i="1"/>
  <c r="I6395" i="1"/>
  <c r="J6395" i="1" s="1"/>
  <c r="G6395" i="1"/>
  <c r="I6394" i="1"/>
  <c r="J6394" i="1" s="1"/>
  <c r="G6394" i="1"/>
  <c r="I6393" i="1"/>
  <c r="J6393" i="1" s="1"/>
  <c r="G6393" i="1"/>
  <c r="I6392" i="1"/>
  <c r="J6392" i="1" s="1"/>
  <c r="G6392" i="1"/>
  <c r="I6391" i="1"/>
  <c r="J6391" i="1" s="1"/>
  <c r="G6391" i="1"/>
  <c r="I6390" i="1"/>
  <c r="J6390" i="1" s="1"/>
  <c r="G6390" i="1"/>
  <c r="I6389" i="1"/>
  <c r="J6389" i="1" s="1"/>
  <c r="G6389" i="1"/>
  <c r="I6388" i="1"/>
  <c r="J6388" i="1" s="1"/>
  <c r="G6388" i="1"/>
  <c r="I6387" i="1"/>
  <c r="J6387" i="1" s="1"/>
  <c r="G6387" i="1"/>
  <c r="I6386" i="1"/>
  <c r="J6386" i="1" s="1"/>
  <c r="G6386" i="1"/>
  <c r="I6385" i="1"/>
  <c r="J6385" i="1" s="1"/>
  <c r="G6385" i="1"/>
  <c r="I6384" i="1"/>
  <c r="J6384" i="1" s="1"/>
  <c r="G6384" i="1"/>
  <c r="I6383" i="1"/>
  <c r="J6383" i="1" s="1"/>
  <c r="G6383" i="1"/>
  <c r="I6382" i="1"/>
  <c r="J6382" i="1" s="1"/>
  <c r="G6382" i="1"/>
  <c r="I6381" i="1"/>
  <c r="J6381" i="1" s="1"/>
  <c r="G6381" i="1"/>
  <c r="J6380" i="1"/>
  <c r="I6380" i="1"/>
  <c r="G6380" i="1"/>
  <c r="I6379" i="1"/>
  <c r="J6379" i="1" s="1"/>
  <c r="G6379" i="1"/>
  <c r="I6378" i="1"/>
  <c r="J6378" i="1" s="1"/>
  <c r="G6378" i="1"/>
  <c r="I6377" i="1"/>
  <c r="J6377" i="1" s="1"/>
  <c r="G6377" i="1"/>
  <c r="I6376" i="1"/>
  <c r="J6376" i="1" s="1"/>
  <c r="G6376" i="1"/>
  <c r="I6375" i="1"/>
  <c r="J6375" i="1" s="1"/>
  <c r="G6375" i="1"/>
  <c r="I6374" i="1"/>
  <c r="J6374" i="1" s="1"/>
  <c r="G6374" i="1"/>
  <c r="I6373" i="1"/>
  <c r="J6373" i="1" s="1"/>
  <c r="G6373" i="1"/>
  <c r="I6372" i="1"/>
  <c r="J6372" i="1" s="1"/>
  <c r="G6372" i="1"/>
  <c r="I6371" i="1"/>
  <c r="J6371" i="1" s="1"/>
  <c r="G6371" i="1"/>
  <c r="J6370" i="1"/>
  <c r="I6370" i="1"/>
  <c r="G6370" i="1"/>
  <c r="I6369" i="1"/>
  <c r="J6369" i="1" s="1"/>
  <c r="G6369" i="1"/>
  <c r="J6368" i="1"/>
  <c r="I6368" i="1"/>
  <c r="G6368" i="1"/>
  <c r="I6367" i="1"/>
  <c r="J6367" i="1" s="1"/>
  <c r="H6367" i="1"/>
  <c r="G6367" i="1"/>
  <c r="J6366" i="1"/>
  <c r="I6366" i="1"/>
  <c r="G6366" i="1"/>
  <c r="I6365" i="1"/>
  <c r="J6365" i="1" s="1"/>
  <c r="G6365" i="1"/>
  <c r="I6364" i="1"/>
  <c r="J6364" i="1" s="1"/>
  <c r="G6364" i="1"/>
  <c r="J6363" i="1"/>
  <c r="I6363" i="1"/>
  <c r="G6363" i="1"/>
  <c r="J6362" i="1"/>
  <c r="I6362" i="1"/>
  <c r="G6362" i="1"/>
  <c r="I6361" i="1"/>
  <c r="J6361" i="1" s="1"/>
  <c r="G6361" i="1"/>
  <c r="I6360" i="1"/>
  <c r="J6360" i="1" s="1"/>
  <c r="G6360" i="1"/>
  <c r="J6359" i="1"/>
  <c r="I6359" i="1"/>
  <c r="G6359" i="1"/>
  <c r="J6358" i="1"/>
  <c r="I6358" i="1"/>
  <c r="G6358" i="1"/>
  <c r="I6357" i="1"/>
  <c r="J6357" i="1" s="1"/>
  <c r="G6357" i="1"/>
  <c r="I6356" i="1"/>
  <c r="J6356" i="1" s="1"/>
  <c r="G6356" i="1"/>
  <c r="J6355" i="1"/>
  <c r="I6355" i="1"/>
  <c r="G6355" i="1"/>
  <c r="J6354" i="1"/>
  <c r="I6354" i="1"/>
  <c r="G6354" i="1"/>
  <c r="I6353" i="1"/>
  <c r="J6353" i="1" s="1"/>
  <c r="G6353" i="1"/>
  <c r="J6352" i="1"/>
  <c r="I6352" i="1"/>
  <c r="G6352" i="1"/>
  <c r="I6351" i="1"/>
  <c r="J6351" i="1" s="1"/>
  <c r="G6351" i="1"/>
  <c r="J6350" i="1"/>
  <c r="I6350" i="1"/>
  <c r="G6350" i="1"/>
  <c r="I6349" i="1"/>
  <c r="J6349" i="1" s="1"/>
  <c r="G6349" i="1"/>
  <c r="J6348" i="1"/>
  <c r="I6348" i="1"/>
  <c r="G6348" i="1"/>
  <c r="I6347" i="1"/>
  <c r="J6347" i="1" s="1"/>
  <c r="G6347" i="1"/>
  <c r="J6346" i="1"/>
  <c r="I6346" i="1"/>
  <c r="G6346" i="1"/>
  <c r="I6345" i="1"/>
  <c r="J6345" i="1" s="1"/>
  <c r="G6345" i="1"/>
  <c r="J6344" i="1"/>
  <c r="I6344" i="1"/>
  <c r="G6344" i="1"/>
  <c r="I6343" i="1"/>
  <c r="J6343" i="1" s="1"/>
  <c r="G6343" i="1"/>
  <c r="J6342" i="1"/>
  <c r="I6342" i="1"/>
  <c r="G6342" i="1"/>
  <c r="I6341" i="1"/>
  <c r="J6341" i="1" s="1"/>
  <c r="G6341" i="1"/>
  <c r="I6340" i="1"/>
  <c r="J6340" i="1" s="1"/>
  <c r="G6340" i="1"/>
  <c r="I6339" i="1"/>
  <c r="J6339" i="1" s="1"/>
  <c r="G6339" i="1"/>
  <c r="J6338" i="1"/>
  <c r="I6338" i="1"/>
  <c r="G6338" i="1"/>
  <c r="I6337" i="1"/>
  <c r="J6337" i="1" s="1"/>
  <c r="G6337" i="1"/>
  <c r="J6336" i="1"/>
  <c r="I6336" i="1"/>
  <c r="H6336" i="1"/>
  <c r="G6336" i="1"/>
  <c r="I6335" i="1"/>
  <c r="J6335" i="1" s="1"/>
  <c r="G6335" i="1"/>
  <c r="I6334" i="1"/>
  <c r="J6334" i="1" s="1"/>
  <c r="G6334" i="1"/>
  <c r="I6333" i="1"/>
  <c r="J6333" i="1" s="1"/>
  <c r="G6333" i="1"/>
  <c r="J6332" i="1"/>
  <c r="I6332" i="1"/>
  <c r="G6332" i="1"/>
  <c r="I6331" i="1"/>
  <c r="J6331" i="1" s="1"/>
  <c r="G6331" i="1"/>
  <c r="I6330" i="1"/>
  <c r="J6330" i="1" s="1"/>
  <c r="G6330" i="1"/>
  <c r="I6329" i="1"/>
  <c r="J6329" i="1" s="1"/>
  <c r="G6329" i="1"/>
  <c r="J6328" i="1"/>
  <c r="H6328" i="1"/>
  <c r="I6328" i="1" s="1"/>
  <c r="G6328" i="1"/>
  <c r="I6327" i="1"/>
  <c r="J6327" i="1" s="1"/>
  <c r="G6327" i="1"/>
  <c r="I6326" i="1"/>
  <c r="J6326" i="1" s="1"/>
  <c r="G6326" i="1"/>
  <c r="J6325" i="1"/>
  <c r="I6325" i="1"/>
  <c r="G6325" i="1"/>
  <c r="I6324" i="1"/>
  <c r="J6324" i="1" s="1"/>
  <c r="G6324" i="1"/>
  <c r="J6323" i="1"/>
  <c r="I6323" i="1"/>
  <c r="G6323" i="1"/>
  <c r="H6322" i="1"/>
  <c r="I6322" i="1" s="1"/>
  <c r="J6322" i="1" s="1"/>
  <c r="G6322" i="1"/>
  <c r="I6321" i="1"/>
  <c r="J6321" i="1" s="1"/>
  <c r="G6321" i="1"/>
  <c r="I6320" i="1"/>
  <c r="J6320" i="1" s="1"/>
  <c r="G6320" i="1"/>
  <c r="H6319" i="1"/>
  <c r="I6319" i="1" s="1"/>
  <c r="J6319" i="1" s="1"/>
  <c r="G6319" i="1"/>
  <c r="I6318" i="1"/>
  <c r="J6318" i="1" s="1"/>
  <c r="G6318" i="1"/>
  <c r="J6317" i="1"/>
  <c r="I6317" i="1"/>
  <c r="G6317" i="1"/>
  <c r="I6316" i="1"/>
  <c r="J6316" i="1" s="1"/>
  <c r="G6316" i="1"/>
  <c r="I6315" i="1"/>
  <c r="J6315" i="1" s="1"/>
  <c r="G6315" i="1"/>
  <c r="H6314" i="1"/>
  <c r="I6314" i="1" s="1"/>
  <c r="J6314" i="1" s="1"/>
  <c r="G6314" i="1"/>
  <c r="I6313" i="1"/>
  <c r="J6313" i="1" s="1"/>
  <c r="G6313" i="1"/>
  <c r="J6312" i="1"/>
  <c r="I6312" i="1"/>
  <c r="H6312" i="1"/>
  <c r="G6312" i="1"/>
  <c r="J6311" i="1"/>
  <c r="I6311" i="1"/>
  <c r="G6311" i="1"/>
  <c r="I6310" i="1"/>
  <c r="J6310" i="1" s="1"/>
  <c r="G6310" i="1"/>
  <c r="I6309" i="1"/>
  <c r="J6309" i="1" s="1"/>
  <c r="G6309" i="1"/>
  <c r="J6308" i="1"/>
  <c r="I6308" i="1"/>
  <c r="G6308" i="1"/>
  <c r="J6307" i="1"/>
  <c r="I6307" i="1"/>
  <c r="G6307" i="1"/>
  <c r="I6306" i="1"/>
  <c r="J6306" i="1" s="1"/>
  <c r="G6306" i="1"/>
  <c r="I6305" i="1"/>
  <c r="J6305" i="1" s="1"/>
  <c r="G6305" i="1"/>
  <c r="J6304" i="1"/>
  <c r="I6304" i="1"/>
  <c r="G6304" i="1"/>
  <c r="J6303" i="1"/>
  <c r="I6303" i="1"/>
  <c r="G6303" i="1"/>
  <c r="J6302" i="1"/>
  <c r="I6302" i="1"/>
  <c r="G6302" i="1"/>
  <c r="H6301" i="1"/>
  <c r="I6301" i="1" s="1"/>
  <c r="J6301" i="1" s="1"/>
  <c r="G6301" i="1"/>
  <c r="I6300" i="1"/>
  <c r="J6300" i="1" s="1"/>
  <c r="G6300" i="1"/>
  <c r="I6299" i="1"/>
  <c r="J6299" i="1" s="1"/>
  <c r="G6299" i="1"/>
  <c r="J6298" i="1"/>
  <c r="I6298" i="1"/>
  <c r="G6298" i="1"/>
  <c r="I6297" i="1"/>
  <c r="J6297" i="1" s="1"/>
  <c r="G6297" i="1"/>
  <c r="I6296" i="1"/>
  <c r="J6296" i="1" s="1"/>
  <c r="G6296" i="1"/>
  <c r="I6295" i="1"/>
  <c r="J6295" i="1" s="1"/>
  <c r="G6295" i="1"/>
  <c r="J6294" i="1"/>
  <c r="I6294" i="1"/>
  <c r="G6294" i="1"/>
  <c r="H6293" i="1"/>
  <c r="I6293" i="1" s="1"/>
  <c r="J6293" i="1" s="1"/>
  <c r="G6293" i="1"/>
  <c r="I6292" i="1"/>
  <c r="J6292" i="1" s="1"/>
  <c r="H6292" i="1"/>
  <c r="G6292" i="1"/>
  <c r="J6291" i="1"/>
  <c r="I6291" i="1"/>
  <c r="H6291" i="1"/>
  <c r="G6291" i="1"/>
  <c r="I6290" i="1"/>
  <c r="J6290" i="1" s="1"/>
  <c r="H6290" i="1"/>
  <c r="G6290" i="1"/>
  <c r="I6289" i="1"/>
  <c r="J6289" i="1" s="1"/>
  <c r="G6289" i="1"/>
  <c r="J6288" i="1"/>
  <c r="I6288" i="1"/>
  <c r="G6288" i="1"/>
  <c r="I6287" i="1"/>
  <c r="J6287" i="1" s="1"/>
  <c r="G6287" i="1"/>
  <c r="I6286" i="1"/>
  <c r="J6286" i="1" s="1"/>
  <c r="G6286" i="1"/>
  <c r="I6285" i="1"/>
  <c r="J6285" i="1" s="1"/>
  <c r="G6285" i="1"/>
  <c r="I6284" i="1"/>
  <c r="J6284" i="1" s="1"/>
  <c r="G6284" i="1"/>
  <c r="I6283" i="1"/>
  <c r="J6283" i="1" s="1"/>
  <c r="G6283" i="1"/>
  <c r="J6282" i="1"/>
  <c r="I6282" i="1"/>
  <c r="G6282" i="1"/>
  <c r="I6281" i="1"/>
  <c r="J6281" i="1" s="1"/>
  <c r="G6281" i="1"/>
  <c r="J6280" i="1"/>
  <c r="I6280" i="1"/>
  <c r="G6280" i="1"/>
  <c r="I6279" i="1"/>
  <c r="J6279" i="1" s="1"/>
  <c r="G6279" i="1"/>
  <c r="I6278" i="1"/>
  <c r="J6278" i="1" s="1"/>
  <c r="G6278" i="1"/>
  <c r="I6277" i="1"/>
  <c r="J6277" i="1" s="1"/>
  <c r="G6277" i="1"/>
  <c r="I6276" i="1"/>
  <c r="J6276" i="1" s="1"/>
  <c r="G6276" i="1"/>
  <c r="I6275" i="1"/>
  <c r="J6275" i="1" s="1"/>
  <c r="G6275" i="1"/>
  <c r="J6274" i="1"/>
  <c r="I6274" i="1"/>
  <c r="G6274" i="1"/>
  <c r="I6273" i="1"/>
  <c r="J6273" i="1" s="1"/>
  <c r="G6273" i="1"/>
  <c r="J6272" i="1"/>
  <c r="I6272" i="1"/>
  <c r="G6272" i="1"/>
  <c r="I6271" i="1"/>
  <c r="J6271" i="1" s="1"/>
  <c r="G6271" i="1"/>
  <c r="I6270" i="1"/>
  <c r="J6270" i="1" s="1"/>
  <c r="G6270" i="1"/>
  <c r="I6269" i="1"/>
  <c r="J6269" i="1" s="1"/>
  <c r="G6269" i="1"/>
  <c r="I6268" i="1"/>
  <c r="J6268" i="1" s="1"/>
  <c r="G6268" i="1"/>
  <c r="H6267" i="1"/>
  <c r="I6267" i="1" s="1"/>
  <c r="J6267" i="1" s="1"/>
  <c r="G6267" i="1"/>
  <c r="J6266" i="1"/>
  <c r="I6266" i="1"/>
  <c r="G6266" i="1"/>
  <c r="J6265" i="1"/>
  <c r="I6265" i="1"/>
  <c r="G6265" i="1"/>
  <c r="I6264" i="1"/>
  <c r="J6264" i="1" s="1"/>
  <c r="G6264" i="1"/>
  <c r="I6263" i="1"/>
  <c r="J6263" i="1" s="1"/>
  <c r="G6263" i="1"/>
  <c r="J6262" i="1"/>
  <c r="I6262" i="1"/>
  <c r="G6262" i="1"/>
  <c r="J6261" i="1"/>
  <c r="I6261" i="1"/>
  <c r="G6261" i="1"/>
  <c r="I6260" i="1"/>
  <c r="J6260" i="1" s="1"/>
  <c r="G6260" i="1"/>
  <c r="I6259" i="1"/>
  <c r="J6259" i="1" s="1"/>
  <c r="G6259" i="1"/>
  <c r="J6258" i="1"/>
  <c r="I6258" i="1"/>
  <c r="G6258" i="1"/>
  <c r="J6257" i="1"/>
  <c r="I6257" i="1"/>
  <c r="G6257" i="1"/>
  <c r="I6256" i="1"/>
  <c r="J6256" i="1" s="1"/>
  <c r="G6256" i="1"/>
  <c r="H6255" i="1"/>
  <c r="I6255" i="1" s="1"/>
  <c r="J6255" i="1" s="1"/>
  <c r="G6255" i="1"/>
  <c r="I6254" i="1"/>
  <c r="J6254" i="1" s="1"/>
  <c r="G6254" i="1"/>
  <c r="J6253" i="1"/>
  <c r="I6253" i="1"/>
  <c r="G6253" i="1"/>
  <c r="H6252" i="1"/>
  <c r="I6252" i="1" s="1"/>
  <c r="J6252" i="1" s="1"/>
  <c r="G6252" i="1"/>
  <c r="I6251" i="1"/>
  <c r="J6251" i="1" s="1"/>
  <c r="G6251" i="1"/>
  <c r="I6250" i="1"/>
  <c r="J6250" i="1" s="1"/>
  <c r="G6250" i="1"/>
  <c r="I6249" i="1"/>
  <c r="J6249" i="1" s="1"/>
  <c r="G6249" i="1"/>
  <c r="I6248" i="1"/>
  <c r="J6248" i="1" s="1"/>
  <c r="G6248" i="1"/>
  <c r="J6247" i="1"/>
  <c r="I6247" i="1"/>
  <c r="G6247" i="1"/>
  <c r="I6246" i="1"/>
  <c r="J6246" i="1" s="1"/>
  <c r="G6246" i="1"/>
  <c r="J6245" i="1"/>
  <c r="I6245" i="1"/>
  <c r="G6245" i="1"/>
  <c r="I6244" i="1"/>
  <c r="J6244" i="1" s="1"/>
  <c r="G6244" i="1"/>
  <c r="I6243" i="1"/>
  <c r="J6243" i="1" s="1"/>
  <c r="G6243" i="1"/>
  <c r="I6242" i="1"/>
  <c r="J6242" i="1" s="1"/>
  <c r="G6242" i="1"/>
  <c r="I6241" i="1"/>
  <c r="J6241" i="1" s="1"/>
  <c r="H6241" i="1"/>
  <c r="G6241" i="1"/>
  <c r="I6240" i="1"/>
  <c r="J6240" i="1" s="1"/>
  <c r="G6240" i="1"/>
  <c r="J6239" i="1"/>
  <c r="I6239" i="1"/>
  <c r="G6239" i="1"/>
  <c r="J6238" i="1"/>
  <c r="I6238" i="1"/>
  <c r="G6238" i="1"/>
  <c r="J6237" i="1"/>
  <c r="I6237" i="1"/>
  <c r="G6237" i="1"/>
  <c r="I6236" i="1"/>
  <c r="J6236" i="1" s="1"/>
  <c r="G6236" i="1"/>
  <c r="J6235" i="1"/>
  <c r="I6235" i="1"/>
  <c r="G6235" i="1"/>
  <c r="J6234" i="1"/>
  <c r="I6234" i="1"/>
  <c r="G6234" i="1"/>
  <c r="J6233" i="1"/>
  <c r="I6233" i="1"/>
  <c r="G6233" i="1"/>
  <c r="I6232" i="1"/>
  <c r="J6232" i="1" s="1"/>
  <c r="G6232" i="1"/>
  <c r="F6231" i="1"/>
  <c r="J6230" i="1"/>
  <c r="I6230" i="1"/>
  <c r="G6230" i="1"/>
  <c r="J6229" i="1"/>
  <c r="I6229" i="1"/>
  <c r="G6229" i="1"/>
  <c r="I6228" i="1"/>
  <c r="J6228" i="1" s="1"/>
  <c r="G6228" i="1"/>
  <c r="F6228" i="1"/>
  <c r="I6227" i="1"/>
  <c r="J6227" i="1" s="1"/>
  <c r="G6227" i="1"/>
  <c r="J6226" i="1"/>
  <c r="I6226" i="1"/>
  <c r="G6226" i="1"/>
  <c r="I6225" i="1"/>
  <c r="J6225" i="1" s="1"/>
  <c r="G6225" i="1"/>
  <c r="J6224" i="1"/>
  <c r="I6224" i="1"/>
  <c r="G6224" i="1"/>
  <c r="I6223" i="1"/>
  <c r="J6223" i="1" s="1"/>
  <c r="G6223" i="1"/>
  <c r="I6222" i="1"/>
  <c r="J6222" i="1" s="1"/>
  <c r="G6222" i="1"/>
  <c r="I6221" i="1"/>
  <c r="J6221" i="1" s="1"/>
  <c r="G6221" i="1"/>
  <c r="I6220" i="1"/>
  <c r="J6220" i="1" s="1"/>
  <c r="G6220" i="1"/>
  <c r="I6219" i="1"/>
  <c r="J6219" i="1" s="1"/>
  <c r="G6219" i="1"/>
  <c r="J6218" i="1"/>
  <c r="I6218" i="1"/>
  <c r="H6218" i="1"/>
  <c r="G6218" i="1"/>
  <c r="J6217" i="1"/>
  <c r="I6217" i="1"/>
  <c r="H6217" i="1"/>
  <c r="G6217" i="1"/>
  <c r="I6216" i="1"/>
  <c r="J6216" i="1" s="1"/>
  <c r="G6216" i="1"/>
  <c r="H6215" i="1"/>
  <c r="I6215" i="1" s="1"/>
  <c r="J6215" i="1" s="1"/>
  <c r="G6215" i="1"/>
  <c r="I6214" i="1"/>
  <c r="J6214" i="1" s="1"/>
  <c r="G6214" i="1"/>
  <c r="J6213" i="1"/>
  <c r="I6213" i="1"/>
  <c r="G6213" i="1"/>
  <c r="I6212" i="1"/>
  <c r="J6212" i="1" s="1"/>
  <c r="G6212" i="1"/>
  <c r="J6211" i="1"/>
  <c r="I6211" i="1"/>
  <c r="G6211" i="1"/>
  <c r="I6210" i="1"/>
  <c r="J6210" i="1" s="1"/>
  <c r="G6210" i="1"/>
  <c r="I6209" i="1"/>
  <c r="J6209" i="1" s="1"/>
  <c r="G6209" i="1"/>
  <c r="I6208" i="1"/>
  <c r="J6208" i="1" s="1"/>
  <c r="G6208" i="1"/>
  <c r="I6207" i="1"/>
  <c r="J6207" i="1" s="1"/>
  <c r="G6207" i="1"/>
  <c r="I6206" i="1"/>
  <c r="J6206" i="1" s="1"/>
  <c r="G6206" i="1"/>
  <c r="J6205" i="1"/>
  <c r="I6205" i="1"/>
  <c r="G6205" i="1"/>
  <c r="I6204" i="1"/>
  <c r="J6204" i="1" s="1"/>
  <c r="G6204" i="1"/>
  <c r="J6203" i="1"/>
  <c r="I6203" i="1"/>
  <c r="G6203" i="1"/>
  <c r="I6202" i="1"/>
  <c r="J6202" i="1" s="1"/>
  <c r="G6202" i="1"/>
  <c r="I6201" i="1"/>
  <c r="J6201" i="1" s="1"/>
  <c r="H6201" i="1"/>
  <c r="G6201" i="1"/>
  <c r="I6200" i="1"/>
  <c r="J6200" i="1" s="1"/>
  <c r="G6200" i="1"/>
  <c r="J6199" i="1"/>
  <c r="I6199" i="1"/>
  <c r="G6199" i="1"/>
  <c r="J6198" i="1"/>
  <c r="I6198" i="1"/>
  <c r="G6198" i="1"/>
  <c r="J6197" i="1"/>
  <c r="I6197" i="1"/>
  <c r="G6197" i="1"/>
  <c r="I6196" i="1"/>
  <c r="J6196" i="1" s="1"/>
  <c r="G6196" i="1"/>
  <c r="J6195" i="1"/>
  <c r="I6195" i="1"/>
  <c r="H6195" i="1"/>
  <c r="G6195" i="1"/>
  <c r="J6194" i="1"/>
  <c r="I6194" i="1"/>
  <c r="G6194" i="1"/>
  <c r="H6193" i="1"/>
  <c r="I6193" i="1" s="1"/>
  <c r="J6193" i="1" s="1"/>
  <c r="G6193" i="1"/>
  <c r="I6192" i="1"/>
  <c r="J6192" i="1" s="1"/>
  <c r="G6192" i="1"/>
  <c r="I6191" i="1"/>
  <c r="J6191" i="1" s="1"/>
  <c r="G6191" i="1"/>
  <c r="I6190" i="1"/>
  <c r="J6190" i="1" s="1"/>
  <c r="H6190" i="1"/>
  <c r="G6190" i="1"/>
  <c r="I6189" i="1"/>
  <c r="J6189" i="1" s="1"/>
  <c r="G6189" i="1"/>
  <c r="I6188" i="1"/>
  <c r="J6188" i="1" s="1"/>
  <c r="G6188" i="1"/>
  <c r="J6187" i="1"/>
  <c r="I6187" i="1"/>
  <c r="G6187" i="1"/>
  <c r="J6186" i="1"/>
  <c r="I6186" i="1"/>
  <c r="G6186" i="1"/>
  <c r="I6185" i="1"/>
  <c r="J6185" i="1" s="1"/>
  <c r="G6185" i="1"/>
  <c r="I6184" i="1"/>
  <c r="J6184" i="1" s="1"/>
  <c r="G6184" i="1"/>
  <c r="H6183" i="1"/>
  <c r="I6183" i="1" s="1"/>
  <c r="J6183" i="1" s="1"/>
  <c r="G6183" i="1"/>
  <c r="H6182" i="1"/>
  <c r="I6182" i="1" s="1"/>
  <c r="J6182" i="1" s="1"/>
  <c r="G6182" i="1"/>
  <c r="I6181" i="1"/>
  <c r="J6181" i="1" s="1"/>
  <c r="H6181" i="1"/>
  <c r="G6181" i="1"/>
  <c r="I6180" i="1"/>
  <c r="J6180" i="1" s="1"/>
  <c r="H6180" i="1"/>
  <c r="G6180" i="1"/>
  <c r="H6179" i="1"/>
  <c r="I6179" i="1" s="1"/>
  <c r="J6179" i="1" s="1"/>
  <c r="G6179" i="1"/>
  <c r="H6178" i="1"/>
  <c r="I6178" i="1" s="1"/>
  <c r="J6178" i="1" s="1"/>
  <c r="G6178" i="1"/>
  <c r="J6177" i="1"/>
  <c r="I6177" i="1"/>
  <c r="G6177" i="1"/>
  <c r="J6176" i="1"/>
  <c r="H6176" i="1"/>
  <c r="I6176" i="1" s="1"/>
  <c r="G6176" i="1"/>
  <c r="I6175" i="1"/>
  <c r="J6175" i="1" s="1"/>
  <c r="G6175" i="1"/>
  <c r="J6174" i="1"/>
  <c r="I6174" i="1"/>
  <c r="G6174" i="1"/>
  <c r="J6173" i="1"/>
  <c r="I6173" i="1"/>
  <c r="G6173" i="1"/>
  <c r="I6172" i="1"/>
  <c r="J6172" i="1" s="1"/>
  <c r="G6172" i="1"/>
  <c r="H6171" i="1"/>
  <c r="I6171" i="1" s="1"/>
  <c r="J6171" i="1" s="1"/>
  <c r="G6171" i="1"/>
  <c r="I6170" i="1"/>
  <c r="J6170" i="1" s="1"/>
  <c r="G6170" i="1"/>
  <c r="J6169" i="1"/>
  <c r="I6169" i="1"/>
  <c r="H6169" i="1"/>
  <c r="G6169" i="1"/>
  <c r="J6168" i="1"/>
  <c r="I6168" i="1"/>
  <c r="H6168" i="1"/>
  <c r="G6168" i="1"/>
  <c r="J6167" i="1"/>
  <c r="I6167" i="1"/>
  <c r="G6167" i="1"/>
  <c r="I6166" i="1"/>
  <c r="J6166" i="1" s="1"/>
  <c r="G6166" i="1"/>
  <c r="I6165" i="1"/>
  <c r="J6165" i="1" s="1"/>
  <c r="G6165" i="1"/>
  <c r="J6164" i="1"/>
  <c r="I6164" i="1"/>
  <c r="H6164" i="1"/>
  <c r="G6164" i="1"/>
  <c r="I6163" i="1"/>
  <c r="J6163" i="1" s="1"/>
  <c r="H6163" i="1"/>
  <c r="G6163" i="1"/>
  <c r="J6162" i="1"/>
  <c r="I6162" i="1"/>
  <c r="G6162" i="1"/>
  <c r="I6161" i="1"/>
  <c r="J6161" i="1" s="1"/>
  <c r="G6161" i="1"/>
  <c r="J6160" i="1"/>
  <c r="I6160" i="1"/>
  <c r="G6160" i="1"/>
  <c r="J6159" i="1"/>
  <c r="I6159" i="1"/>
  <c r="H6159" i="1"/>
  <c r="G6159" i="1"/>
  <c r="H6158" i="1"/>
  <c r="I6158" i="1" s="1"/>
  <c r="J6158" i="1" s="1"/>
  <c r="G6158" i="1"/>
  <c r="I6157" i="1"/>
  <c r="J6157" i="1" s="1"/>
  <c r="H6157" i="1"/>
  <c r="G6157" i="1"/>
  <c r="I6156" i="1"/>
  <c r="J6156" i="1" s="1"/>
  <c r="G6156" i="1"/>
  <c r="J6155" i="1"/>
  <c r="I6155" i="1"/>
  <c r="G6155" i="1"/>
  <c r="J6154" i="1"/>
  <c r="I6154" i="1"/>
  <c r="G6154" i="1"/>
  <c r="I6153" i="1"/>
  <c r="J6153" i="1" s="1"/>
  <c r="G6153" i="1"/>
  <c r="I6152" i="1"/>
  <c r="J6152" i="1" s="1"/>
  <c r="G6152" i="1"/>
  <c r="J6151" i="1"/>
  <c r="I6151" i="1"/>
  <c r="G6151" i="1"/>
  <c r="J6150" i="1"/>
  <c r="I6150" i="1"/>
  <c r="G6150" i="1"/>
  <c r="I6149" i="1"/>
  <c r="J6149" i="1" s="1"/>
  <c r="H6149" i="1"/>
  <c r="G6149" i="1"/>
  <c r="I6148" i="1"/>
  <c r="J6148" i="1" s="1"/>
  <c r="G6148" i="1"/>
  <c r="H6147" i="1"/>
  <c r="I6147" i="1" s="1"/>
  <c r="J6147" i="1" s="1"/>
  <c r="G6147" i="1"/>
  <c r="J6146" i="1"/>
  <c r="I6146" i="1"/>
  <c r="G6146" i="1"/>
  <c r="I6145" i="1"/>
  <c r="J6145" i="1" s="1"/>
  <c r="G6145" i="1"/>
  <c r="J6144" i="1"/>
  <c r="I6144" i="1"/>
  <c r="H6144" i="1"/>
  <c r="G6144" i="1"/>
  <c r="H6143" i="1"/>
  <c r="I6143" i="1" s="1"/>
  <c r="J6143" i="1" s="1"/>
  <c r="G6143" i="1"/>
  <c r="J6142" i="1"/>
  <c r="I6142" i="1"/>
  <c r="G6142" i="1"/>
  <c r="J6141" i="1"/>
  <c r="I6141" i="1"/>
  <c r="G6141" i="1"/>
  <c r="H6140" i="1"/>
  <c r="I6140" i="1" s="1"/>
  <c r="J6140" i="1" s="1"/>
  <c r="G6140" i="1"/>
  <c r="H6139" i="1"/>
  <c r="I6139" i="1" s="1"/>
  <c r="J6139" i="1" s="1"/>
  <c r="G6139" i="1"/>
  <c r="H6138" i="1"/>
  <c r="I6138" i="1" s="1"/>
  <c r="J6138" i="1" s="1"/>
  <c r="G6138" i="1"/>
  <c r="I6137" i="1"/>
  <c r="J6137" i="1" s="1"/>
  <c r="G6137" i="1"/>
  <c r="I6136" i="1"/>
  <c r="J6136" i="1" s="1"/>
  <c r="G6136" i="1"/>
  <c r="J6135" i="1"/>
  <c r="I6135" i="1"/>
  <c r="G6135" i="1"/>
  <c r="H6134" i="1"/>
  <c r="I6134" i="1" s="1"/>
  <c r="J6134" i="1" s="1"/>
  <c r="G6134" i="1"/>
  <c r="I6133" i="1"/>
  <c r="J6133" i="1" s="1"/>
  <c r="G6133" i="1"/>
  <c r="I6132" i="1"/>
  <c r="J6132" i="1" s="1"/>
  <c r="G6132" i="1"/>
  <c r="I6131" i="1"/>
  <c r="J6131" i="1" s="1"/>
  <c r="G6131" i="1"/>
  <c r="J6130" i="1"/>
  <c r="I6130" i="1"/>
  <c r="G6130" i="1"/>
  <c r="I6129" i="1"/>
  <c r="J6129" i="1" s="1"/>
  <c r="G6129" i="1"/>
  <c r="J6128" i="1"/>
  <c r="I6128" i="1"/>
  <c r="G6128" i="1"/>
  <c r="I6127" i="1"/>
  <c r="J6127" i="1" s="1"/>
  <c r="H6127" i="1"/>
  <c r="G6127" i="1"/>
  <c r="J6126" i="1"/>
  <c r="I6126" i="1"/>
  <c r="G6126" i="1"/>
  <c r="I6125" i="1"/>
  <c r="J6125" i="1" s="1"/>
  <c r="G6125" i="1"/>
  <c r="J6124" i="1"/>
  <c r="I6124" i="1"/>
  <c r="G6124" i="1"/>
  <c r="H6123" i="1"/>
  <c r="I6123" i="1" s="1"/>
  <c r="J6123" i="1" s="1"/>
  <c r="G6123" i="1"/>
  <c r="I6122" i="1"/>
  <c r="J6122" i="1" s="1"/>
  <c r="G6122" i="1"/>
  <c r="H6121" i="1"/>
  <c r="I6121" i="1" s="1"/>
  <c r="J6121" i="1" s="1"/>
  <c r="G6121" i="1"/>
  <c r="H6120" i="1"/>
  <c r="I6120" i="1" s="1"/>
  <c r="J6120" i="1" s="1"/>
  <c r="G6120" i="1"/>
  <c r="H6119" i="1"/>
  <c r="I6119" i="1" s="1"/>
  <c r="J6119" i="1" s="1"/>
  <c r="G6119" i="1"/>
  <c r="J6118" i="1"/>
  <c r="I6118" i="1"/>
  <c r="G6118" i="1"/>
  <c r="J6117" i="1"/>
  <c r="I6117" i="1"/>
  <c r="G6117" i="1"/>
  <c r="I6116" i="1"/>
  <c r="J6116" i="1" s="1"/>
  <c r="G6116" i="1"/>
  <c r="H6115" i="1"/>
  <c r="I6115" i="1" s="1"/>
  <c r="J6115" i="1" s="1"/>
  <c r="G6115" i="1"/>
  <c r="I6114" i="1"/>
  <c r="J6114" i="1" s="1"/>
  <c r="G6114" i="1"/>
  <c r="I6113" i="1"/>
  <c r="J6113" i="1" s="1"/>
  <c r="G6113" i="1"/>
  <c r="J6112" i="1"/>
  <c r="I6112" i="1"/>
  <c r="G6112" i="1"/>
  <c r="I6111" i="1"/>
  <c r="J6111" i="1" s="1"/>
  <c r="G6111" i="1"/>
  <c r="H6110" i="1"/>
  <c r="I6110" i="1" s="1"/>
  <c r="J6110" i="1" s="1"/>
  <c r="G6110" i="1"/>
  <c r="H6109" i="1"/>
  <c r="I6109" i="1" s="1"/>
  <c r="J6109" i="1" s="1"/>
  <c r="G6109" i="1"/>
  <c r="I6108" i="1"/>
  <c r="J6108" i="1" s="1"/>
  <c r="G6108" i="1"/>
  <c r="I6107" i="1"/>
  <c r="J6107" i="1" s="1"/>
  <c r="G6107" i="1"/>
  <c r="I6106" i="1"/>
  <c r="J6106" i="1" s="1"/>
  <c r="G6106" i="1"/>
  <c r="J6105" i="1"/>
  <c r="I6105" i="1"/>
  <c r="G6105" i="1"/>
  <c r="I6104" i="1"/>
  <c r="J6104" i="1" s="1"/>
  <c r="H6104" i="1"/>
  <c r="F6104" i="1"/>
  <c r="G6104" i="1" s="1"/>
  <c r="J6103" i="1"/>
  <c r="I6103" i="1"/>
  <c r="G6103" i="1"/>
  <c r="I6102" i="1"/>
  <c r="J6102" i="1" s="1"/>
  <c r="H6102" i="1"/>
  <c r="G6102" i="1"/>
  <c r="I6101" i="1"/>
  <c r="J6101" i="1" s="1"/>
  <c r="H6101" i="1"/>
  <c r="G6101" i="1"/>
  <c r="I6100" i="1"/>
  <c r="J6100" i="1" s="1"/>
  <c r="G6100" i="1"/>
  <c r="I6099" i="1"/>
  <c r="J6099" i="1" s="1"/>
  <c r="G6099" i="1"/>
  <c r="H6098" i="1"/>
  <c r="I6098" i="1" s="1"/>
  <c r="J6098" i="1" s="1"/>
  <c r="G6098" i="1"/>
  <c r="J6097" i="1"/>
  <c r="I6097" i="1"/>
  <c r="G6097" i="1"/>
  <c r="J6096" i="1"/>
  <c r="I6096" i="1"/>
  <c r="H6096" i="1"/>
  <c r="G6096" i="1"/>
  <c r="J6095" i="1"/>
  <c r="I6095" i="1"/>
  <c r="H6095" i="1"/>
  <c r="G6095" i="1"/>
  <c r="J6094" i="1"/>
  <c r="I6094" i="1"/>
  <c r="G6094" i="1"/>
  <c r="I6093" i="1"/>
  <c r="J6093" i="1" s="1"/>
  <c r="G6093" i="1"/>
  <c r="I6092" i="1"/>
  <c r="J6092" i="1" s="1"/>
  <c r="G6092" i="1"/>
  <c r="H6091" i="1"/>
  <c r="I6091" i="1" s="1"/>
  <c r="J6091" i="1" s="1"/>
  <c r="G6091" i="1"/>
  <c r="H6090" i="1"/>
  <c r="I6090" i="1" s="1"/>
  <c r="J6090" i="1" s="1"/>
  <c r="G6090" i="1"/>
  <c r="I6089" i="1"/>
  <c r="J6089" i="1" s="1"/>
  <c r="G6089" i="1"/>
  <c r="J6088" i="1"/>
  <c r="I6088" i="1"/>
  <c r="G6088" i="1"/>
  <c r="I6087" i="1"/>
  <c r="J6087" i="1" s="1"/>
  <c r="G6087" i="1"/>
  <c r="I6086" i="1"/>
  <c r="J6086" i="1" s="1"/>
  <c r="G6086" i="1"/>
  <c r="I6085" i="1"/>
  <c r="J6085" i="1" s="1"/>
  <c r="G6085" i="1"/>
  <c r="J6084" i="1"/>
  <c r="I6084" i="1"/>
  <c r="G6084" i="1"/>
  <c r="I6083" i="1"/>
  <c r="J6083" i="1" s="1"/>
  <c r="G6083" i="1"/>
  <c r="I6082" i="1"/>
  <c r="J6082" i="1" s="1"/>
  <c r="G6082" i="1"/>
  <c r="I6081" i="1"/>
  <c r="J6081" i="1" s="1"/>
  <c r="G6081" i="1"/>
  <c r="J6080" i="1"/>
  <c r="I6080" i="1"/>
  <c r="G6080" i="1"/>
  <c r="I6079" i="1"/>
  <c r="J6079" i="1" s="1"/>
  <c r="G6079" i="1"/>
  <c r="H6078" i="1"/>
  <c r="I6078" i="1" s="1"/>
  <c r="J6078" i="1" s="1"/>
  <c r="G6078" i="1"/>
  <c r="H6077" i="1"/>
  <c r="I6077" i="1" s="1"/>
  <c r="J6077" i="1" s="1"/>
  <c r="G6077" i="1"/>
  <c r="F6077" i="1"/>
  <c r="J6076" i="1"/>
  <c r="I6076" i="1"/>
  <c r="H6076" i="1"/>
  <c r="G6076" i="1"/>
  <c r="I6075" i="1"/>
  <c r="J6075" i="1" s="1"/>
  <c r="G6075" i="1"/>
  <c r="H6074" i="1"/>
  <c r="I6074" i="1" s="1"/>
  <c r="J6074" i="1" s="1"/>
  <c r="G6074" i="1"/>
  <c r="I6073" i="1"/>
  <c r="J6073" i="1" s="1"/>
  <c r="G6073" i="1"/>
  <c r="J6072" i="1"/>
  <c r="I6072" i="1"/>
  <c r="G6072" i="1"/>
  <c r="H6071" i="1"/>
  <c r="I6071" i="1" s="1"/>
  <c r="J6071" i="1" s="1"/>
  <c r="G6071" i="1"/>
  <c r="J6070" i="1"/>
  <c r="I6070" i="1"/>
  <c r="G6070" i="1"/>
  <c r="I6069" i="1"/>
  <c r="J6069" i="1" s="1"/>
  <c r="G6069" i="1"/>
  <c r="H6068" i="1"/>
  <c r="I6068" i="1" s="1"/>
  <c r="J6068" i="1" s="1"/>
  <c r="G6068" i="1"/>
  <c r="I6067" i="1"/>
  <c r="J6067" i="1" s="1"/>
  <c r="G6067" i="1"/>
  <c r="H6066" i="1"/>
  <c r="I6066" i="1" s="1"/>
  <c r="J6066" i="1" s="1"/>
  <c r="G6066" i="1"/>
  <c r="J6065" i="1"/>
  <c r="I6065" i="1"/>
  <c r="G6065" i="1"/>
  <c r="J6064" i="1"/>
  <c r="I6064" i="1"/>
  <c r="G6064" i="1"/>
  <c r="I6063" i="1"/>
  <c r="J6063" i="1" s="1"/>
  <c r="G6063" i="1"/>
  <c r="I6062" i="1"/>
  <c r="J6062" i="1" s="1"/>
  <c r="G6062" i="1"/>
  <c r="J6061" i="1"/>
  <c r="I6061" i="1"/>
  <c r="G6061" i="1"/>
  <c r="J6060" i="1"/>
  <c r="I6060" i="1"/>
  <c r="G6060" i="1"/>
  <c r="I6059" i="1"/>
  <c r="J6059" i="1" s="1"/>
  <c r="H6059" i="1"/>
  <c r="G6059" i="1"/>
  <c r="I6058" i="1"/>
  <c r="J6058" i="1" s="1"/>
  <c r="H6058" i="1"/>
  <c r="G6058" i="1"/>
  <c r="I6057" i="1"/>
  <c r="J6057" i="1" s="1"/>
  <c r="H6057" i="1"/>
  <c r="G6057" i="1"/>
  <c r="I6056" i="1"/>
  <c r="J6056" i="1" s="1"/>
  <c r="G6056" i="1"/>
  <c r="I6055" i="1"/>
  <c r="J6055" i="1" s="1"/>
  <c r="G6055" i="1"/>
  <c r="J6054" i="1"/>
  <c r="I6054" i="1"/>
  <c r="G6054" i="1"/>
  <c r="H6053" i="1"/>
  <c r="I6053" i="1" s="1"/>
  <c r="J6053" i="1" s="1"/>
  <c r="G6053" i="1"/>
  <c r="J6052" i="1"/>
  <c r="I6052" i="1"/>
  <c r="G6052" i="1"/>
  <c r="J6051" i="1"/>
  <c r="I6051" i="1"/>
  <c r="H6051" i="1"/>
  <c r="G6051" i="1"/>
  <c r="I6050" i="1"/>
  <c r="J6050" i="1" s="1"/>
  <c r="G6050" i="1"/>
  <c r="I6049" i="1"/>
  <c r="J6049" i="1" s="1"/>
  <c r="G6049" i="1"/>
  <c r="J6048" i="1"/>
  <c r="I6048" i="1"/>
  <c r="G6048" i="1"/>
  <c r="J6047" i="1"/>
  <c r="I6047" i="1"/>
  <c r="H6047" i="1"/>
  <c r="G6047" i="1"/>
  <c r="H6046" i="1"/>
  <c r="I6046" i="1" s="1"/>
  <c r="J6046" i="1" s="1"/>
  <c r="G6046" i="1"/>
  <c r="J6045" i="1"/>
  <c r="I6045" i="1"/>
  <c r="G6045" i="1"/>
  <c r="I6044" i="1"/>
  <c r="J6044" i="1" s="1"/>
  <c r="H6044" i="1"/>
  <c r="G6044" i="1"/>
  <c r="I6043" i="1"/>
  <c r="J6043" i="1" s="1"/>
  <c r="G6043" i="1"/>
  <c r="I6042" i="1"/>
  <c r="J6042" i="1" s="1"/>
  <c r="G6042" i="1"/>
  <c r="H6041" i="1"/>
  <c r="I6041" i="1" s="1"/>
  <c r="J6041" i="1" s="1"/>
  <c r="G6041" i="1"/>
  <c r="J6040" i="1"/>
  <c r="I6040" i="1"/>
  <c r="G6040" i="1"/>
  <c r="J6039" i="1"/>
  <c r="I6039" i="1"/>
  <c r="G6039" i="1"/>
  <c r="I6038" i="1"/>
  <c r="J6038" i="1" s="1"/>
  <c r="G6038" i="1"/>
  <c r="I6037" i="1"/>
  <c r="J6037" i="1" s="1"/>
  <c r="G6037" i="1"/>
  <c r="J6036" i="1"/>
  <c r="I6036" i="1"/>
  <c r="G6036" i="1"/>
  <c r="J6035" i="1"/>
  <c r="I6035" i="1"/>
  <c r="G6035" i="1"/>
  <c r="I6034" i="1"/>
  <c r="J6034" i="1" s="1"/>
  <c r="G6034" i="1"/>
  <c r="I6033" i="1"/>
  <c r="J6033" i="1" s="1"/>
  <c r="G6033" i="1"/>
  <c r="J6032" i="1"/>
  <c r="I6032" i="1"/>
  <c r="G6032" i="1"/>
  <c r="H6031" i="1"/>
  <c r="I6031" i="1" s="1"/>
  <c r="J6031" i="1" s="1"/>
  <c r="G6031" i="1"/>
  <c r="J6030" i="1"/>
  <c r="I6030" i="1"/>
  <c r="G6030" i="1"/>
  <c r="J6029" i="1"/>
  <c r="I6029" i="1"/>
  <c r="G6029" i="1"/>
  <c r="I6028" i="1"/>
  <c r="J6028" i="1" s="1"/>
  <c r="G6028" i="1"/>
  <c r="I6027" i="1"/>
  <c r="J6027" i="1" s="1"/>
  <c r="G6027" i="1"/>
  <c r="J6026" i="1"/>
  <c r="I6026" i="1"/>
  <c r="G6026" i="1"/>
  <c r="I6025" i="1"/>
  <c r="J6025" i="1" s="1"/>
  <c r="G6025" i="1"/>
  <c r="I6024" i="1"/>
  <c r="J6024" i="1" s="1"/>
  <c r="G6024" i="1"/>
  <c r="I6023" i="1"/>
  <c r="J6023" i="1" s="1"/>
  <c r="G6023" i="1"/>
  <c r="J6022" i="1"/>
  <c r="I6022" i="1"/>
  <c r="G6022" i="1"/>
  <c r="J6021" i="1"/>
  <c r="I6021" i="1"/>
  <c r="G6021" i="1"/>
  <c r="I6020" i="1"/>
  <c r="J6020" i="1" s="1"/>
  <c r="G6020" i="1"/>
  <c r="H6019" i="1"/>
  <c r="G6019" i="1"/>
  <c r="F6019" i="1"/>
  <c r="I6019" i="1" s="1"/>
  <c r="J6019" i="1" s="1"/>
  <c r="I6018" i="1"/>
  <c r="J6018" i="1" s="1"/>
  <c r="G6018" i="1"/>
  <c r="J6017" i="1"/>
  <c r="I6017" i="1"/>
  <c r="G6017" i="1"/>
  <c r="J6016" i="1"/>
  <c r="I6016" i="1"/>
  <c r="G6016" i="1"/>
  <c r="I6015" i="1"/>
  <c r="J6015" i="1" s="1"/>
  <c r="G6015" i="1"/>
  <c r="I6014" i="1"/>
  <c r="J6014" i="1" s="1"/>
  <c r="G6014" i="1"/>
  <c r="J6013" i="1"/>
  <c r="I6013" i="1"/>
  <c r="G6013" i="1"/>
  <c r="J6012" i="1"/>
  <c r="I6012" i="1"/>
  <c r="G6012" i="1"/>
  <c r="I6011" i="1"/>
  <c r="J6011" i="1" s="1"/>
  <c r="H6011" i="1"/>
  <c r="G6011" i="1"/>
  <c r="I6010" i="1"/>
  <c r="J6010" i="1" s="1"/>
  <c r="G6010" i="1"/>
  <c r="I6009" i="1"/>
  <c r="J6009" i="1" s="1"/>
  <c r="G6009" i="1"/>
  <c r="I6008" i="1"/>
  <c r="J6008" i="1" s="1"/>
  <c r="G6008" i="1"/>
  <c r="J6007" i="1"/>
  <c r="I6007" i="1"/>
  <c r="G6007" i="1"/>
  <c r="I6006" i="1"/>
  <c r="J6006" i="1" s="1"/>
  <c r="G6006" i="1"/>
  <c r="H6005" i="1"/>
  <c r="I6005" i="1" s="1"/>
  <c r="J6005" i="1" s="1"/>
  <c r="G6005" i="1"/>
  <c r="I6004" i="1"/>
  <c r="J6004" i="1" s="1"/>
  <c r="G6004" i="1"/>
  <c r="J6003" i="1"/>
  <c r="I6003" i="1"/>
  <c r="G6003" i="1"/>
  <c r="J6002" i="1"/>
  <c r="I6002" i="1"/>
  <c r="H6002" i="1"/>
  <c r="G6002" i="1"/>
  <c r="J6001" i="1"/>
  <c r="I6001" i="1"/>
  <c r="G6001" i="1"/>
  <c r="I6000" i="1"/>
  <c r="J6000" i="1" s="1"/>
  <c r="H6000" i="1"/>
  <c r="G6000" i="1"/>
  <c r="I5999" i="1"/>
  <c r="J5999" i="1" s="1"/>
  <c r="H5999" i="1"/>
  <c r="G5999" i="1"/>
  <c r="I5998" i="1"/>
  <c r="J5998" i="1" s="1"/>
  <c r="G5998" i="1"/>
  <c r="I5997" i="1"/>
  <c r="J5997" i="1" s="1"/>
  <c r="G5997" i="1"/>
  <c r="J5996" i="1"/>
  <c r="I5996" i="1"/>
  <c r="G5996" i="1"/>
  <c r="J5995" i="1"/>
  <c r="I5995" i="1"/>
  <c r="G5995" i="1"/>
  <c r="I5994" i="1"/>
  <c r="J5994" i="1" s="1"/>
  <c r="G5994" i="1"/>
  <c r="I5993" i="1"/>
  <c r="J5993" i="1" s="1"/>
  <c r="G5993" i="1"/>
  <c r="J5992" i="1"/>
  <c r="I5992" i="1"/>
  <c r="G5992" i="1"/>
  <c r="J5991" i="1"/>
  <c r="I5991" i="1"/>
  <c r="G5991" i="1"/>
  <c r="I5990" i="1"/>
  <c r="J5990" i="1" s="1"/>
  <c r="G5990" i="1"/>
  <c r="I5989" i="1"/>
  <c r="J5989" i="1" s="1"/>
  <c r="G5989" i="1"/>
  <c r="J5988" i="1"/>
  <c r="I5988" i="1"/>
  <c r="G5988" i="1"/>
  <c r="J5987" i="1"/>
  <c r="I5987" i="1"/>
  <c r="G5987" i="1"/>
  <c r="I5986" i="1"/>
  <c r="J5986" i="1" s="1"/>
  <c r="G5986" i="1"/>
  <c r="I5985" i="1"/>
  <c r="J5985" i="1" s="1"/>
  <c r="G5985" i="1"/>
  <c r="J5984" i="1"/>
  <c r="I5984" i="1"/>
  <c r="G5984" i="1"/>
  <c r="J5983" i="1"/>
  <c r="I5983" i="1"/>
  <c r="G5983" i="1"/>
  <c r="I5982" i="1"/>
  <c r="J5982" i="1" s="1"/>
  <c r="G5982" i="1"/>
  <c r="H5981" i="1"/>
  <c r="I5981" i="1" s="1"/>
  <c r="J5981" i="1" s="1"/>
  <c r="G5981" i="1"/>
  <c r="H5980" i="1"/>
  <c r="I5980" i="1" s="1"/>
  <c r="J5980" i="1" s="1"/>
  <c r="G5980" i="1"/>
  <c r="H5979" i="1"/>
  <c r="I5979" i="1" s="1"/>
  <c r="J5979" i="1" s="1"/>
  <c r="G5979" i="1"/>
  <c r="H5978" i="1"/>
  <c r="I5978" i="1" s="1"/>
  <c r="J5978" i="1" s="1"/>
  <c r="G5978" i="1"/>
  <c r="I5977" i="1"/>
  <c r="J5977" i="1" s="1"/>
  <c r="G5977" i="1"/>
  <c r="J5976" i="1"/>
  <c r="I5976" i="1"/>
  <c r="G5976" i="1"/>
  <c r="J5975" i="1"/>
  <c r="I5975" i="1"/>
  <c r="G5975" i="1"/>
  <c r="I5974" i="1"/>
  <c r="J5974" i="1" s="1"/>
  <c r="G5974" i="1"/>
  <c r="I5973" i="1"/>
  <c r="J5973" i="1" s="1"/>
  <c r="G5973" i="1"/>
  <c r="J5972" i="1"/>
  <c r="I5972" i="1"/>
  <c r="G5972" i="1"/>
  <c r="J5971" i="1"/>
  <c r="I5971" i="1"/>
  <c r="G5971" i="1"/>
  <c r="I5970" i="1"/>
  <c r="J5970" i="1" s="1"/>
  <c r="G5970" i="1"/>
  <c r="I5969" i="1"/>
  <c r="J5969" i="1" s="1"/>
  <c r="G5969" i="1"/>
  <c r="J5968" i="1"/>
  <c r="I5968" i="1"/>
  <c r="G5968" i="1"/>
  <c r="J5967" i="1"/>
  <c r="I5967" i="1"/>
  <c r="G5967" i="1"/>
  <c r="I5966" i="1"/>
  <c r="J5966" i="1" s="1"/>
  <c r="G5966" i="1"/>
  <c r="I5965" i="1"/>
  <c r="J5965" i="1" s="1"/>
  <c r="G5965" i="1"/>
  <c r="J5964" i="1"/>
  <c r="I5964" i="1"/>
  <c r="G5964" i="1"/>
  <c r="J5963" i="1"/>
  <c r="I5963" i="1"/>
  <c r="G5963" i="1"/>
  <c r="I5962" i="1"/>
  <c r="J5962" i="1" s="1"/>
  <c r="G5962" i="1"/>
  <c r="I5961" i="1"/>
  <c r="J5961" i="1" s="1"/>
  <c r="G5961" i="1"/>
  <c r="J5960" i="1"/>
  <c r="I5960" i="1"/>
  <c r="G5960" i="1"/>
  <c r="J5959" i="1"/>
  <c r="I5959" i="1"/>
  <c r="G5959" i="1"/>
  <c r="I5958" i="1"/>
  <c r="J5958" i="1" s="1"/>
  <c r="H5958" i="1"/>
  <c r="G5958" i="1"/>
  <c r="I5957" i="1"/>
  <c r="J5957" i="1" s="1"/>
  <c r="H5957" i="1"/>
  <c r="G5957" i="1"/>
  <c r="I5956" i="1"/>
  <c r="J5956" i="1" s="1"/>
  <c r="G5956" i="1"/>
  <c r="I5955" i="1"/>
  <c r="J5955" i="1" s="1"/>
  <c r="G5955" i="1"/>
  <c r="J5954" i="1"/>
  <c r="I5954" i="1"/>
  <c r="G5954" i="1"/>
  <c r="J5953" i="1"/>
  <c r="I5953" i="1"/>
  <c r="G5953" i="1"/>
  <c r="I5952" i="1"/>
  <c r="J5952" i="1" s="1"/>
  <c r="G5952" i="1"/>
  <c r="I5951" i="1"/>
  <c r="J5951" i="1" s="1"/>
  <c r="G5951" i="1"/>
  <c r="J5950" i="1"/>
  <c r="I5950" i="1"/>
  <c r="G5950" i="1"/>
  <c r="J5949" i="1"/>
  <c r="I5949" i="1"/>
  <c r="G5949" i="1"/>
  <c r="I5948" i="1"/>
  <c r="J5948" i="1" s="1"/>
  <c r="G5948" i="1"/>
  <c r="I5947" i="1"/>
  <c r="J5947" i="1" s="1"/>
  <c r="G5947" i="1"/>
  <c r="J5946" i="1"/>
  <c r="I5946" i="1"/>
  <c r="G5946" i="1"/>
  <c r="J5945" i="1"/>
  <c r="I5945" i="1"/>
  <c r="H5945" i="1"/>
  <c r="G5945" i="1"/>
  <c r="J5944" i="1"/>
  <c r="I5944" i="1"/>
  <c r="G5944" i="1"/>
  <c r="I5943" i="1"/>
  <c r="J5943" i="1" s="1"/>
  <c r="H5943" i="1"/>
  <c r="G5943" i="1"/>
  <c r="I5942" i="1"/>
  <c r="J5942" i="1" s="1"/>
  <c r="G5942" i="1"/>
  <c r="I5941" i="1"/>
  <c r="J5941" i="1" s="1"/>
  <c r="G5941" i="1"/>
  <c r="J5940" i="1"/>
  <c r="I5940" i="1"/>
  <c r="G5940" i="1"/>
  <c r="J5939" i="1"/>
  <c r="I5939" i="1"/>
  <c r="G5939" i="1"/>
  <c r="J5938" i="1"/>
  <c r="I5938" i="1"/>
  <c r="H5938" i="1"/>
  <c r="G5938" i="1"/>
  <c r="I5937" i="1"/>
  <c r="J5937" i="1" s="1"/>
  <c r="G5937" i="1"/>
  <c r="I5936" i="1"/>
  <c r="J5936" i="1" s="1"/>
  <c r="G5936" i="1"/>
  <c r="J5935" i="1"/>
  <c r="I5935" i="1"/>
  <c r="G5935" i="1"/>
  <c r="J5934" i="1"/>
  <c r="I5934" i="1"/>
  <c r="G5934" i="1"/>
  <c r="I5933" i="1"/>
  <c r="J5933" i="1" s="1"/>
  <c r="G5933" i="1"/>
  <c r="I5932" i="1"/>
  <c r="J5932" i="1" s="1"/>
  <c r="G5932" i="1"/>
  <c r="J5931" i="1"/>
  <c r="I5931" i="1"/>
  <c r="G5931" i="1"/>
  <c r="J5930" i="1"/>
  <c r="I5930" i="1"/>
  <c r="G5930" i="1"/>
  <c r="I5929" i="1"/>
  <c r="J5929" i="1" s="1"/>
  <c r="G5929" i="1"/>
  <c r="I5928" i="1"/>
  <c r="J5928" i="1" s="1"/>
  <c r="G5928" i="1"/>
  <c r="J5927" i="1"/>
  <c r="I5927" i="1"/>
  <c r="G5927" i="1"/>
  <c r="J5926" i="1"/>
  <c r="I5926" i="1"/>
  <c r="G5926" i="1"/>
  <c r="I5925" i="1"/>
  <c r="J5925" i="1" s="1"/>
  <c r="G5925" i="1"/>
  <c r="H5924" i="1"/>
  <c r="I5924" i="1" s="1"/>
  <c r="J5924" i="1" s="1"/>
  <c r="G5924" i="1"/>
  <c r="H5923" i="1"/>
  <c r="I5923" i="1" s="1"/>
  <c r="J5923" i="1" s="1"/>
  <c r="G5923" i="1"/>
  <c r="I5922" i="1"/>
  <c r="J5922" i="1" s="1"/>
  <c r="G5922" i="1"/>
  <c r="J5921" i="1"/>
  <c r="I5921" i="1"/>
  <c r="G5921" i="1"/>
  <c r="J5920" i="1"/>
  <c r="I5920" i="1"/>
  <c r="H5920" i="1"/>
  <c r="G5920" i="1"/>
  <c r="J5919" i="1"/>
  <c r="I5919" i="1"/>
  <c r="G5919" i="1"/>
  <c r="I5918" i="1"/>
  <c r="J5918" i="1" s="1"/>
  <c r="H5918" i="1"/>
  <c r="G5918" i="1"/>
  <c r="I5917" i="1"/>
  <c r="J5917" i="1" s="1"/>
  <c r="H5917" i="1"/>
  <c r="G5917" i="1"/>
  <c r="J5916" i="1"/>
  <c r="I5916" i="1"/>
  <c r="G5916" i="1"/>
  <c r="I5915" i="1"/>
  <c r="J5915" i="1" s="1"/>
  <c r="G5915" i="1"/>
  <c r="I5914" i="1"/>
  <c r="J5914" i="1" s="1"/>
  <c r="G5914" i="1"/>
  <c r="J5913" i="1"/>
  <c r="I5913" i="1"/>
  <c r="G5913" i="1"/>
  <c r="I5912" i="1"/>
  <c r="J5912" i="1" s="1"/>
  <c r="G5912" i="1"/>
  <c r="I5911" i="1"/>
  <c r="J5911" i="1" s="1"/>
  <c r="G5911" i="1"/>
  <c r="H5910" i="1"/>
  <c r="I5910" i="1" s="1"/>
  <c r="J5910" i="1" s="1"/>
  <c r="G5910" i="1"/>
  <c r="J5909" i="1"/>
  <c r="I5909" i="1"/>
  <c r="G5909" i="1"/>
  <c r="J5908" i="1"/>
  <c r="I5908" i="1"/>
  <c r="G5908" i="1"/>
  <c r="I5907" i="1"/>
  <c r="J5907" i="1" s="1"/>
  <c r="G5907" i="1"/>
  <c r="I5906" i="1"/>
  <c r="J5906" i="1" s="1"/>
  <c r="G5906" i="1"/>
  <c r="J5905" i="1"/>
  <c r="I5905" i="1"/>
  <c r="G5905" i="1"/>
  <c r="J5904" i="1"/>
  <c r="I5904" i="1"/>
  <c r="G5904" i="1"/>
  <c r="I5903" i="1"/>
  <c r="J5903" i="1" s="1"/>
  <c r="G5903" i="1"/>
  <c r="I5902" i="1"/>
  <c r="J5902" i="1" s="1"/>
  <c r="G5902" i="1"/>
  <c r="J5901" i="1"/>
  <c r="I5901" i="1"/>
  <c r="G5901" i="1"/>
  <c r="J5900" i="1"/>
  <c r="I5900" i="1"/>
  <c r="G5900" i="1"/>
  <c r="I5899" i="1"/>
  <c r="J5899" i="1" s="1"/>
  <c r="G5899" i="1"/>
  <c r="I5898" i="1"/>
  <c r="J5898" i="1" s="1"/>
  <c r="G5898" i="1"/>
  <c r="J5897" i="1"/>
  <c r="I5897" i="1"/>
  <c r="G5897" i="1"/>
  <c r="J5896" i="1"/>
  <c r="I5896" i="1"/>
  <c r="G5896" i="1"/>
  <c r="I5895" i="1"/>
  <c r="J5895" i="1" s="1"/>
  <c r="G5895" i="1"/>
  <c r="I5894" i="1"/>
  <c r="J5894" i="1" s="1"/>
  <c r="G5894" i="1"/>
  <c r="J5893" i="1"/>
  <c r="I5893" i="1"/>
  <c r="G5893" i="1"/>
  <c r="J5892" i="1"/>
  <c r="I5892" i="1"/>
  <c r="G5892" i="1"/>
  <c r="I5891" i="1"/>
  <c r="J5891" i="1" s="1"/>
  <c r="G5891" i="1"/>
  <c r="I5890" i="1"/>
  <c r="J5890" i="1" s="1"/>
  <c r="G5890" i="1"/>
  <c r="J5889" i="1"/>
  <c r="I5889" i="1"/>
  <c r="G5889" i="1"/>
  <c r="J5888" i="1"/>
  <c r="I5888" i="1"/>
  <c r="G5888" i="1"/>
  <c r="I5887" i="1"/>
  <c r="J5887" i="1" s="1"/>
  <c r="G5887" i="1"/>
  <c r="I5886" i="1"/>
  <c r="J5886" i="1" s="1"/>
  <c r="G5886" i="1"/>
  <c r="H5885" i="1"/>
  <c r="I5885" i="1" s="1"/>
  <c r="J5885" i="1" s="1"/>
  <c r="G5885" i="1"/>
  <c r="H5884" i="1"/>
  <c r="I5884" i="1" s="1"/>
  <c r="J5884" i="1" s="1"/>
  <c r="G5884" i="1"/>
  <c r="H5883" i="1"/>
  <c r="I5883" i="1" s="1"/>
  <c r="J5883" i="1" s="1"/>
  <c r="G5883" i="1"/>
  <c r="J5882" i="1"/>
  <c r="I5882" i="1"/>
  <c r="G5882" i="1"/>
  <c r="J5881" i="1"/>
  <c r="I5881" i="1"/>
  <c r="G5881" i="1"/>
  <c r="I5880" i="1"/>
  <c r="J5880" i="1" s="1"/>
  <c r="G5880" i="1"/>
  <c r="I5879" i="1"/>
  <c r="J5879" i="1" s="1"/>
  <c r="G5879" i="1"/>
  <c r="J5878" i="1"/>
  <c r="I5878" i="1"/>
  <c r="G5878" i="1"/>
  <c r="J5877" i="1"/>
  <c r="I5877" i="1"/>
  <c r="G5877" i="1"/>
  <c r="I5876" i="1"/>
  <c r="J5876" i="1" s="1"/>
  <c r="G5876" i="1"/>
  <c r="I5875" i="1"/>
  <c r="J5875" i="1" s="1"/>
  <c r="G5875" i="1"/>
  <c r="J5874" i="1"/>
  <c r="I5874" i="1"/>
  <c r="G5874" i="1"/>
  <c r="J5873" i="1"/>
  <c r="I5873" i="1"/>
  <c r="G5873" i="1"/>
  <c r="I5872" i="1"/>
  <c r="J5872" i="1" s="1"/>
  <c r="G5872" i="1"/>
  <c r="I5871" i="1"/>
  <c r="J5871" i="1" s="1"/>
  <c r="G5871" i="1"/>
  <c r="H5870" i="1"/>
  <c r="I5870" i="1" s="1"/>
  <c r="J5870" i="1" s="1"/>
  <c r="G5870" i="1"/>
  <c r="H5869" i="1"/>
  <c r="I5869" i="1" s="1"/>
  <c r="J5869" i="1" s="1"/>
  <c r="G5869" i="1"/>
  <c r="H5868" i="1"/>
  <c r="I5868" i="1" s="1"/>
  <c r="J5868" i="1" s="1"/>
  <c r="G5868" i="1"/>
  <c r="H5867" i="1"/>
  <c r="I5867" i="1" s="1"/>
  <c r="J5867" i="1" s="1"/>
  <c r="G5867" i="1"/>
  <c r="J5866" i="1"/>
  <c r="I5866" i="1"/>
  <c r="G5866" i="1"/>
  <c r="H5865" i="1"/>
  <c r="I5865" i="1" s="1"/>
  <c r="J5865" i="1" s="1"/>
  <c r="G5865" i="1"/>
  <c r="J5864" i="1"/>
  <c r="I5864" i="1"/>
  <c r="G5864" i="1"/>
  <c r="I5863" i="1"/>
  <c r="J5863" i="1" s="1"/>
  <c r="H5863" i="1"/>
  <c r="G5863" i="1"/>
  <c r="I5862" i="1"/>
  <c r="J5862" i="1" s="1"/>
  <c r="H5862" i="1"/>
  <c r="G5862" i="1"/>
  <c r="I5861" i="1"/>
  <c r="J5861" i="1" s="1"/>
  <c r="H5861" i="1"/>
  <c r="G5861" i="1"/>
  <c r="I5860" i="1"/>
  <c r="J5860" i="1" s="1"/>
  <c r="H5860" i="1"/>
  <c r="G5860" i="1"/>
  <c r="I5859" i="1"/>
  <c r="J5859" i="1" s="1"/>
  <c r="G5859" i="1"/>
  <c r="I5858" i="1"/>
  <c r="J5858" i="1" s="1"/>
  <c r="G5858" i="1"/>
  <c r="H5857" i="1"/>
  <c r="I5857" i="1" s="1"/>
  <c r="J5857" i="1" s="1"/>
  <c r="G5857" i="1"/>
  <c r="J5856" i="1"/>
  <c r="I5856" i="1"/>
  <c r="G5856" i="1"/>
  <c r="J5855" i="1"/>
  <c r="I5855" i="1"/>
  <c r="G5855" i="1"/>
  <c r="I5854" i="1"/>
  <c r="J5854" i="1" s="1"/>
  <c r="G5854" i="1"/>
  <c r="I5853" i="1"/>
  <c r="J5853" i="1" s="1"/>
  <c r="H5853" i="1"/>
  <c r="G5853" i="1"/>
  <c r="I5852" i="1"/>
  <c r="J5852" i="1" s="1"/>
  <c r="G5852" i="1"/>
  <c r="I5851" i="1"/>
  <c r="J5851" i="1" s="1"/>
  <c r="G5851" i="1"/>
  <c r="J5850" i="1"/>
  <c r="I5850" i="1"/>
  <c r="G5850" i="1"/>
  <c r="I5849" i="1"/>
  <c r="J5849" i="1" s="1"/>
  <c r="G5849" i="1"/>
  <c r="I5848" i="1"/>
  <c r="J5848" i="1" s="1"/>
  <c r="G5848" i="1"/>
  <c r="I5847" i="1"/>
  <c r="J5847" i="1" s="1"/>
  <c r="G5847" i="1"/>
  <c r="J5846" i="1"/>
  <c r="I5846" i="1"/>
  <c r="G5846" i="1"/>
  <c r="I5845" i="1"/>
  <c r="J5845" i="1" s="1"/>
  <c r="G5845" i="1"/>
  <c r="I5844" i="1"/>
  <c r="J5844" i="1" s="1"/>
  <c r="G5844" i="1"/>
  <c r="I5843" i="1"/>
  <c r="J5843" i="1" s="1"/>
  <c r="G5843" i="1"/>
  <c r="J5842" i="1"/>
  <c r="I5842" i="1"/>
  <c r="G5842" i="1"/>
  <c r="I5841" i="1"/>
  <c r="J5841" i="1" s="1"/>
  <c r="G5841" i="1"/>
  <c r="I5840" i="1"/>
  <c r="J5840" i="1" s="1"/>
  <c r="G5840" i="1"/>
  <c r="I5839" i="1"/>
  <c r="J5839" i="1" s="1"/>
  <c r="G5839" i="1"/>
  <c r="J5838" i="1"/>
  <c r="I5838" i="1"/>
  <c r="G5838" i="1"/>
  <c r="I5837" i="1"/>
  <c r="J5837" i="1" s="1"/>
  <c r="G5837" i="1"/>
  <c r="I5836" i="1"/>
  <c r="J5836" i="1" s="1"/>
  <c r="G5836" i="1"/>
  <c r="H5835" i="1"/>
  <c r="I5835" i="1" s="1"/>
  <c r="J5835" i="1" s="1"/>
  <c r="G5835" i="1"/>
  <c r="J5834" i="1"/>
  <c r="I5834" i="1"/>
  <c r="G5834" i="1"/>
  <c r="J5833" i="1"/>
  <c r="I5833" i="1"/>
  <c r="H5833" i="1"/>
  <c r="G5833" i="1"/>
  <c r="J5832" i="1"/>
  <c r="I5832" i="1"/>
  <c r="H5832" i="1"/>
  <c r="G5832" i="1"/>
  <c r="J5831" i="1"/>
  <c r="I5831" i="1"/>
  <c r="H5831" i="1"/>
  <c r="G5831" i="1"/>
  <c r="J5830" i="1"/>
  <c r="I5830" i="1"/>
  <c r="G5830" i="1"/>
  <c r="I5829" i="1"/>
  <c r="J5829" i="1" s="1"/>
  <c r="H5829" i="1"/>
  <c r="G5829" i="1"/>
  <c r="I5828" i="1"/>
  <c r="J5828" i="1" s="1"/>
  <c r="H5828" i="1"/>
  <c r="G5828" i="1"/>
  <c r="I5827" i="1"/>
  <c r="J5827" i="1" s="1"/>
  <c r="G5827" i="1"/>
  <c r="I5826" i="1"/>
  <c r="J5826" i="1" s="1"/>
  <c r="G5826" i="1"/>
  <c r="J5825" i="1"/>
  <c r="I5825" i="1"/>
  <c r="G5825" i="1"/>
  <c r="J5824" i="1"/>
  <c r="I5824" i="1"/>
  <c r="G5824" i="1"/>
  <c r="I5823" i="1"/>
  <c r="J5823" i="1" s="1"/>
  <c r="H5823" i="1"/>
  <c r="F5823" i="1"/>
  <c r="G5823" i="1" s="1"/>
  <c r="J5822" i="1"/>
  <c r="I5822" i="1"/>
  <c r="H5822" i="1"/>
  <c r="G5822" i="1"/>
  <c r="J5821" i="1"/>
  <c r="I5821" i="1"/>
  <c r="G5821" i="1"/>
  <c r="I5820" i="1"/>
  <c r="J5820" i="1" s="1"/>
  <c r="G5820" i="1"/>
  <c r="I5819" i="1"/>
  <c r="J5819" i="1" s="1"/>
  <c r="G5819" i="1"/>
  <c r="J5818" i="1"/>
  <c r="I5818" i="1"/>
  <c r="G5818" i="1"/>
  <c r="J5817" i="1"/>
  <c r="I5817" i="1"/>
  <c r="G5817" i="1"/>
  <c r="I5816" i="1"/>
  <c r="J5816" i="1" s="1"/>
  <c r="G5816" i="1"/>
  <c r="I5815" i="1"/>
  <c r="J5815" i="1" s="1"/>
  <c r="G5815" i="1"/>
  <c r="J5814" i="1"/>
  <c r="I5814" i="1"/>
  <c r="G5814" i="1"/>
  <c r="J5813" i="1"/>
  <c r="I5813" i="1"/>
  <c r="G5813" i="1"/>
  <c r="I5812" i="1"/>
  <c r="J5812" i="1" s="1"/>
  <c r="H5812" i="1"/>
  <c r="G5812" i="1"/>
  <c r="I5811" i="1"/>
  <c r="J5811" i="1" s="1"/>
  <c r="G5811" i="1"/>
  <c r="I5810" i="1"/>
  <c r="J5810" i="1" s="1"/>
  <c r="G5810" i="1"/>
  <c r="J5809" i="1"/>
  <c r="I5809" i="1"/>
  <c r="G5809" i="1"/>
  <c r="J5808" i="1"/>
  <c r="I5808" i="1"/>
  <c r="G5808" i="1"/>
  <c r="I5807" i="1"/>
  <c r="J5807" i="1" s="1"/>
  <c r="G5807" i="1"/>
  <c r="I5806" i="1"/>
  <c r="J5806" i="1" s="1"/>
  <c r="G5806" i="1"/>
  <c r="J5805" i="1"/>
  <c r="I5805" i="1"/>
  <c r="G5805" i="1"/>
  <c r="J5804" i="1"/>
  <c r="I5804" i="1"/>
  <c r="G5804" i="1"/>
  <c r="I5803" i="1"/>
  <c r="J5803" i="1" s="1"/>
  <c r="G5803" i="1"/>
  <c r="I5802" i="1"/>
  <c r="J5802" i="1" s="1"/>
  <c r="G5802" i="1"/>
  <c r="H5801" i="1"/>
  <c r="I5801" i="1" s="1"/>
  <c r="J5801" i="1" s="1"/>
  <c r="G5801" i="1"/>
  <c r="J5800" i="1"/>
  <c r="I5800" i="1"/>
  <c r="G5800" i="1"/>
  <c r="J5799" i="1"/>
  <c r="I5799" i="1"/>
  <c r="G5799" i="1"/>
  <c r="I5798" i="1"/>
  <c r="J5798" i="1" s="1"/>
  <c r="G5798" i="1"/>
  <c r="I5797" i="1"/>
  <c r="J5797" i="1" s="1"/>
  <c r="H5797" i="1"/>
  <c r="G5797" i="1"/>
  <c r="I5796" i="1"/>
  <c r="J5796" i="1" s="1"/>
  <c r="G5796" i="1"/>
  <c r="J5795" i="1"/>
  <c r="I5795" i="1"/>
  <c r="G5795" i="1"/>
  <c r="J5794" i="1"/>
  <c r="I5794" i="1"/>
  <c r="G5794" i="1"/>
  <c r="I5793" i="1"/>
  <c r="J5793" i="1" s="1"/>
  <c r="G5793" i="1"/>
  <c r="H5792" i="1"/>
  <c r="I5792" i="1" s="1"/>
  <c r="J5792" i="1" s="1"/>
  <c r="G5792" i="1"/>
  <c r="H5791" i="1"/>
  <c r="I5791" i="1" s="1"/>
  <c r="J5791" i="1" s="1"/>
  <c r="G5791" i="1"/>
  <c r="I5790" i="1"/>
  <c r="J5790" i="1" s="1"/>
  <c r="G5790" i="1"/>
  <c r="J5789" i="1"/>
  <c r="I5789" i="1"/>
  <c r="G5789" i="1"/>
  <c r="J5788" i="1"/>
  <c r="I5788" i="1"/>
  <c r="G5788" i="1"/>
  <c r="I5787" i="1"/>
  <c r="J5787" i="1" s="1"/>
  <c r="G5787" i="1"/>
  <c r="I5786" i="1"/>
  <c r="J5786" i="1" s="1"/>
  <c r="G5786" i="1"/>
  <c r="J5785" i="1"/>
  <c r="I5785" i="1"/>
  <c r="G5785" i="1"/>
  <c r="J5784" i="1"/>
  <c r="I5784" i="1"/>
  <c r="G5784" i="1"/>
  <c r="I5783" i="1"/>
  <c r="J5783" i="1" s="1"/>
  <c r="G5783" i="1"/>
  <c r="I5782" i="1"/>
  <c r="J5782" i="1" s="1"/>
  <c r="G5782" i="1"/>
  <c r="J5781" i="1"/>
  <c r="I5781" i="1"/>
  <c r="G5781" i="1"/>
  <c r="J5780" i="1"/>
  <c r="I5780" i="1"/>
  <c r="G5780" i="1"/>
  <c r="I5779" i="1"/>
  <c r="J5779" i="1" s="1"/>
  <c r="H5779" i="1"/>
  <c r="G5779" i="1"/>
  <c r="I5778" i="1"/>
  <c r="J5778" i="1" s="1"/>
  <c r="H5778" i="1"/>
  <c r="G5778" i="1"/>
  <c r="I5777" i="1"/>
  <c r="J5777" i="1" s="1"/>
  <c r="G5777" i="1"/>
  <c r="H5776" i="1"/>
  <c r="I5776" i="1" s="1"/>
  <c r="J5776" i="1" s="1"/>
  <c r="G5776" i="1"/>
  <c r="H5775" i="1"/>
  <c r="I5775" i="1" s="1"/>
  <c r="J5775" i="1" s="1"/>
  <c r="G5775" i="1"/>
  <c r="I5774" i="1"/>
  <c r="J5774" i="1" s="1"/>
  <c r="G5774" i="1"/>
  <c r="J5773" i="1"/>
  <c r="I5773" i="1"/>
  <c r="G5773" i="1"/>
  <c r="J5772" i="1"/>
  <c r="I5772" i="1"/>
  <c r="H5772" i="1"/>
  <c r="G5772" i="1"/>
  <c r="J5771" i="1"/>
  <c r="I5771" i="1"/>
  <c r="G5771" i="1"/>
  <c r="I5770" i="1"/>
  <c r="J5770" i="1" s="1"/>
  <c r="G5770" i="1"/>
  <c r="H5769" i="1"/>
  <c r="I5769" i="1" s="1"/>
  <c r="J5769" i="1" s="1"/>
  <c r="G5769" i="1"/>
  <c r="I5768" i="1"/>
  <c r="J5768" i="1" s="1"/>
  <c r="G5768" i="1"/>
  <c r="J5767" i="1"/>
  <c r="I5767" i="1"/>
  <c r="G5767" i="1"/>
  <c r="J5766" i="1"/>
  <c r="I5766" i="1"/>
  <c r="G5766" i="1"/>
  <c r="I5765" i="1"/>
  <c r="J5765" i="1" s="1"/>
  <c r="G5765" i="1"/>
  <c r="H5764" i="1"/>
  <c r="I5764" i="1" s="1"/>
  <c r="J5764" i="1" s="1"/>
  <c r="G5764" i="1"/>
  <c r="I5763" i="1"/>
  <c r="J5763" i="1" s="1"/>
  <c r="G5763" i="1"/>
  <c r="J5762" i="1"/>
  <c r="I5762" i="1"/>
  <c r="G5762" i="1"/>
  <c r="J5761" i="1"/>
  <c r="I5761" i="1"/>
  <c r="G5761" i="1"/>
  <c r="I5760" i="1"/>
  <c r="J5760" i="1" s="1"/>
  <c r="H5760" i="1"/>
  <c r="G5760" i="1"/>
  <c r="I5759" i="1"/>
  <c r="J5759" i="1" s="1"/>
  <c r="G5759" i="1"/>
  <c r="I5758" i="1"/>
  <c r="J5758" i="1" s="1"/>
  <c r="G5758" i="1"/>
  <c r="J5757" i="1"/>
  <c r="I5757" i="1"/>
  <c r="G5757" i="1"/>
  <c r="J5756" i="1"/>
  <c r="I5756" i="1"/>
  <c r="H5756" i="1"/>
  <c r="G5756" i="1"/>
  <c r="J5755" i="1"/>
  <c r="I5755" i="1"/>
  <c r="H5755" i="1"/>
  <c r="G5755" i="1"/>
  <c r="J5754" i="1"/>
  <c r="I5754" i="1"/>
  <c r="G5754" i="1"/>
  <c r="I5753" i="1"/>
  <c r="J5753" i="1" s="1"/>
  <c r="G5753" i="1"/>
  <c r="H5752" i="1"/>
  <c r="I5752" i="1" s="1"/>
  <c r="J5752" i="1" s="1"/>
  <c r="G5752" i="1"/>
  <c r="H5751" i="1"/>
  <c r="I5751" i="1" s="1"/>
  <c r="J5751" i="1" s="1"/>
  <c r="G5751" i="1"/>
  <c r="H5750" i="1"/>
  <c r="I5750" i="1" s="1"/>
  <c r="J5750" i="1" s="1"/>
  <c r="G5750" i="1"/>
  <c r="I5749" i="1"/>
  <c r="J5749" i="1" s="1"/>
  <c r="G5749" i="1"/>
  <c r="J5748" i="1"/>
  <c r="I5748" i="1"/>
  <c r="G5748" i="1"/>
  <c r="J5747" i="1"/>
  <c r="I5747" i="1"/>
  <c r="G5747" i="1"/>
  <c r="J5746" i="1"/>
  <c r="I5746" i="1"/>
  <c r="G5746" i="1"/>
  <c r="I5745" i="1"/>
  <c r="J5745" i="1" s="1"/>
  <c r="G5745" i="1"/>
  <c r="J5744" i="1"/>
  <c r="I5744" i="1"/>
  <c r="G5744" i="1"/>
  <c r="J5743" i="1"/>
  <c r="I5743" i="1"/>
  <c r="G5743" i="1"/>
  <c r="I5742" i="1"/>
  <c r="J5742" i="1" s="1"/>
  <c r="G5742" i="1"/>
  <c r="I5741" i="1"/>
  <c r="J5741" i="1" s="1"/>
  <c r="G5741" i="1"/>
  <c r="J5740" i="1"/>
  <c r="I5740" i="1"/>
  <c r="G5740" i="1"/>
  <c r="J5739" i="1"/>
  <c r="I5739" i="1"/>
  <c r="G5739" i="1"/>
  <c r="J5738" i="1"/>
  <c r="I5738" i="1"/>
  <c r="H5738" i="1"/>
  <c r="F5738" i="1"/>
  <c r="G5738" i="1" s="1"/>
  <c r="J5737" i="1"/>
  <c r="I5737" i="1"/>
  <c r="H5737" i="1"/>
  <c r="G5737" i="1"/>
  <c r="J5736" i="1"/>
  <c r="I5736" i="1"/>
  <c r="H5736" i="1"/>
  <c r="G5736" i="1"/>
  <c r="J5735" i="1"/>
  <c r="I5735" i="1"/>
  <c r="G5735" i="1"/>
  <c r="I5734" i="1"/>
  <c r="J5734" i="1" s="1"/>
  <c r="G5734" i="1"/>
  <c r="I5733" i="1"/>
  <c r="J5733" i="1" s="1"/>
  <c r="G5733" i="1"/>
  <c r="J5732" i="1"/>
  <c r="I5732" i="1"/>
  <c r="G5732" i="1"/>
  <c r="J5731" i="1"/>
  <c r="I5731" i="1"/>
  <c r="G5731" i="1"/>
  <c r="I5730" i="1"/>
  <c r="J5730" i="1" s="1"/>
  <c r="G5730" i="1"/>
  <c r="I5729" i="1"/>
  <c r="J5729" i="1" s="1"/>
  <c r="G5729" i="1"/>
  <c r="J5728" i="1"/>
  <c r="I5728" i="1"/>
  <c r="G5728" i="1"/>
  <c r="J5727" i="1"/>
  <c r="I5727" i="1"/>
  <c r="G5727" i="1"/>
  <c r="I5726" i="1"/>
  <c r="J5726" i="1" s="1"/>
  <c r="G5726" i="1"/>
  <c r="I5725" i="1"/>
  <c r="J5725" i="1" s="1"/>
  <c r="G5725" i="1"/>
  <c r="J5724" i="1"/>
  <c r="I5724" i="1"/>
  <c r="G5724" i="1"/>
  <c r="J5723" i="1"/>
  <c r="I5723" i="1"/>
  <c r="G5723" i="1"/>
  <c r="I5722" i="1"/>
  <c r="J5722" i="1" s="1"/>
  <c r="G5722" i="1"/>
  <c r="H5721" i="1"/>
  <c r="I5721" i="1" s="1"/>
  <c r="J5721" i="1" s="1"/>
  <c r="G5721" i="1"/>
  <c r="H5720" i="1"/>
  <c r="I5720" i="1" s="1"/>
  <c r="J5720" i="1" s="1"/>
  <c r="G5720" i="1"/>
  <c r="I5719" i="1"/>
  <c r="J5719" i="1" s="1"/>
  <c r="G5719" i="1"/>
  <c r="H5718" i="1"/>
  <c r="I5718" i="1" s="1"/>
  <c r="J5718" i="1" s="1"/>
  <c r="G5718" i="1"/>
  <c r="J5717" i="1"/>
  <c r="I5717" i="1"/>
  <c r="G5717" i="1"/>
  <c r="J5716" i="1"/>
  <c r="I5716" i="1"/>
  <c r="G5716" i="1"/>
  <c r="I5715" i="1"/>
  <c r="J5715" i="1" s="1"/>
  <c r="G5715" i="1"/>
  <c r="I5714" i="1"/>
  <c r="J5714" i="1" s="1"/>
  <c r="G5714" i="1"/>
  <c r="H5713" i="1"/>
  <c r="I5713" i="1" s="1"/>
  <c r="J5713" i="1" s="1"/>
  <c r="G5713" i="1"/>
  <c r="J5712" i="1"/>
  <c r="I5712" i="1"/>
  <c r="G5712" i="1"/>
  <c r="J5711" i="1"/>
  <c r="I5711" i="1"/>
  <c r="H5711" i="1"/>
  <c r="G5711" i="1"/>
  <c r="J5710" i="1"/>
  <c r="I5710" i="1"/>
  <c r="H5710" i="1"/>
  <c r="G5710" i="1"/>
  <c r="J5709" i="1"/>
  <c r="I5709" i="1"/>
  <c r="G5709" i="1"/>
  <c r="I5708" i="1"/>
  <c r="J5708" i="1" s="1"/>
  <c r="G5708" i="1"/>
  <c r="H5707" i="1"/>
  <c r="I5707" i="1" s="1"/>
  <c r="J5707" i="1" s="1"/>
  <c r="G5707" i="1"/>
  <c r="I5706" i="1"/>
  <c r="J5706" i="1" s="1"/>
  <c r="G5706" i="1"/>
  <c r="J5705" i="1"/>
  <c r="I5705" i="1"/>
  <c r="G5705" i="1"/>
  <c r="J5704" i="1"/>
  <c r="I5704" i="1"/>
  <c r="G5704" i="1"/>
  <c r="I5703" i="1"/>
  <c r="J5703" i="1" s="1"/>
  <c r="G5703" i="1"/>
  <c r="I5702" i="1"/>
  <c r="J5702" i="1" s="1"/>
  <c r="G5702" i="1"/>
  <c r="J5701" i="1"/>
  <c r="I5701" i="1"/>
  <c r="G5701" i="1"/>
  <c r="J5700" i="1"/>
  <c r="I5700" i="1"/>
  <c r="G5700" i="1"/>
  <c r="I5699" i="1"/>
  <c r="J5699" i="1" s="1"/>
  <c r="G5699" i="1"/>
  <c r="I5698" i="1"/>
  <c r="J5698" i="1" s="1"/>
  <c r="G5698" i="1"/>
  <c r="J5697" i="1"/>
  <c r="I5697" i="1"/>
  <c r="G5697" i="1"/>
  <c r="J5696" i="1"/>
  <c r="I5696" i="1"/>
  <c r="G5696" i="1"/>
  <c r="I5695" i="1"/>
  <c r="J5695" i="1" s="1"/>
  <c r="G5695" i="1"/>
  <c r="I5694" i="1"/>
  <c r="J5694" i="1" s="1"/>
  <c r="G5694" i="1"/>
  <c r="J5693" i="1"/>
  <c r="I5693" i="1"/>
  <c r="G5693" i="1"/>
  <c r="J5692" i="1"/>
  <c r="I5692" i="1"/>
  <c r="G5692" i="1"/>
  <c r="I5691" i="1"/>
  <c r="J5691" i="1" s="1"/>
  <c r="G5691" i="1"/>
  <c r="H5690" i="1"/>
  <c r="I5690" i="1" s="1"/>
  <c r="J5690" i="1" s="1"/>
  <c r="G5690" i="1"/>
  <c r="I5689" i="1"/>
  <c r="J5689" i="1" s="1"/>
  <c r="G5689" i="1"/>
  <c r="J5688" i="1"/>
  <c r="I5688" i="1"/>
  <c r="G5688" i="1"/>
  <c r="J5687" i="1"/>
  <c r="I5687" i="1"/>
  <c r="G5687" i="1"/>
  <c r="J5686" i="1"/>
  <c r="I5686" i="1"/>
  <c r="G5686" i="1"/>
  <c r="I5685" i="1"/>
  <c r="J5685" i="1" s="1"/>
  <c r="G5685" i="1"/>
  <c r="J5684" i="1"/>
  <c r="I5684" i="1"/>
  <c r="G5684" i="1"/>
  <c r="J5683" i="1"/>
  <c r="I5683" i="1"/>
  <c r="H5683" i="1"/>
  <c r="G5683" i="1"/>
  <c r="J5682" i="1"/>
  <c r="I5682" i="1"/>
  <c r="G5682" i="1"/>
  <c r="I5681" i="1"/>
  <c r="J5681" i="1" s="1"/>
  <c r="G5681" i="1"/>
  <c r="I5680" i="1"/>
  <c r="J5680" i="1" s="1"/>
  <c r="G5680" i="1"/>
  <c r="J5679" i="1"/>
  <c r="I5679" i="1"/>
  <c r="G5679" i="1"/>
  <c r="J5678" i="1"/>
  <c r="I5678" i="1"/>
  <c r="H5678" i="1"/>
  <c r="G5678" i="1"/>
  <c r="J5677" i="1"/>
  <c r="I5677" i="1"/>
  <c r="G5677" i="1"/>
  <c r="I5676" i="1"/>
  <c r="J5676" i="1" s="1"/>
  <c r="G5676" i="1"/>
  <c r="I5675" i="1"/>
  <c r="J5675" i="1" s="1"/>
  <c r="G5675" i="1"/>
  <c r="J5674" i="1"/>
  <c r="I5674" i="1"/>
  <c r="G5674" i="1"/>
  <c r="J5673" i="1"/>
  <c r="I5673" i="1"/>
  <c r="G5673" i="1"/>
  <c r="I5672" i="1"/>
  <c r="J5672" i="1" s="1"/>
  <c r="G5672" i="1"/>
  <c r="I5671" i="1"/>
  <c r="J5671" i="1" s="1"/>
  <c r="G5671" i="1"/>
  <c r="J5670" i="1"/>
  <c r="I5670" i="1"/>
  <c r="G5670" i="1"/>
  <c r="J5669" i="1"/>
  <c r="I5669" i="1"/>
  <c r="G5669" i="1"/>
  <c r="I5668" i="1"/>
  <c r="J5668" i="1" s="1"/>
  <c r="G5668" i="1"/>
  <c r="I5667" i="1"/>
  <c r="J5667" i="1" s="1"/>
  <c r="G5667" i="1"/>
  <c r="J5666" i="1"/>
  <c r="I5666" i="1"/>
  <c r="G5666" i="1"/>
  <c r="J5665" i="1"/>
  <c r="I5665" i="1"/>
  <c r="G5665" i="1"/>
  <c r="I5664" i="1"/>
  <c r="J5664" i="1" s="1"/>
  <c r="G5664" i="1"/>
  <c r="I5663" i="1"/>
  <c r="J5663" i="1" s="1"/>
  <c r="G5663" i="1"/>
  <c r="J5662" i="1"/>
  <c r="I5662" i="1"/>
  <c r="G5662" i="1"/>
  <c r="J5661" i="1"/>
  <c r="I5661" i="1"/>
  <c r="G5661" i="1"/>
  <c r="I5660" i="1"/>
  <c r="J5660" i="1" s="1"/>
  <c r="G5660" i="1"/>
  <c r="I5659" i="1"/>
  <c r="J5659" i="1" s="1"/>
  <c r="G5659" i="1"/>
  <c r="J5658" i="1"/>
  <c r="I5658" i="1"/>
  <c r="G5658" i="1"/>
  <c r="J5657" i="1"/>
  <c r="I5657" i="1"/>
  <c r="G5657" i="1"/>
  <c r="I5656" i="1"/>
  <c r="J5656" i="1" s="1"/>
  <c r="G5656" i="1"/>
  <c r="I5655" i="1"/>
  <c r="J5655" i="1" s="1"/>
  <c r="G5655" i="1"/>
  <c r="J5654" i="1"/>
  <c r="I5654" i="1"/>
  <c r="G5654" i="1"/>
  <c r="J5653" i="1"/>
  <c r="I5653" i="1"/>
  <c r="G5653" i="1"/>
  <c r="I5652" i="1"/>
  <c r="J5652" i="1" s="1"/>
  <c r="G5652" i="1"/>
  <c r="I5651" i="1"/>
  <c r="J5651" i="1" s="1"/>
  <c r="G5651" i="1"/>
  <c r="J5650" i="1"/>
  <c r="I5650" i="1"/>
  <c r="G5650" i="1"/>
  <c r="J5649" i="1"/>
  <c r="I5649" i="1"/>
  <c r="G5649" i="1"/>
  <c r="I5648" i="1"/>
  <c r="J5648" i="1" s="1"/>
  <c r="G5648" i="1"/>
  <c r="I5647" i="1"/>
  <c r="J5647" i="1" s="1"/>
  <c r="G5647" i="1"/>
  <c r="J5646" i="1"/>
  <c r="I5646" i="1"/>
  <c r="G5646" i="1"/>
  <c r="J5645" i="1"/>
  <c r="I5645" i="1"/>
  <c r="G5645" i="1"/>
  <c r="I5644" i="1"/>
  <c r="J5644" i="1" s="1"/>
  <c r="G5644" i="1"/>
  <c r="I5643" i="1"/>
  <c r="J5643" i="1" s="1"/>
  <c r="G5643" i="1"/>
  <c r="J5642" i="1"/>
  <c r="I5642" i="1"/>
  <c r="G5642" i="1"/>
  <c r="J5641" i="1"/>
  <c r="I5641" i="1"/>
  <c r="G5641" i="1"/>
  <c r="I5640" i="1"/>
  <c r="J5640" i="1" s="1"/>
  <c r="G5640" i="1"/>
  <c r="I5639" i="1"/>
  <c r="J5639" i="1" s="1"/>
  <c r="G5639" i="1"/>
  <c r="J5638" i="1"/>
  <c r="I5638" i="1"/>
  <c r="G5638" i="1"/>
  <c r="J5637" i="1"/>
  <c r="I5637" i="1"/>
  <c r="G5637" i="1"/>
  <c r="I5636" i="1"/>
  <c r="J5636" i="1" s="1"/>
  <c r="G5636" i="1"/>
  <c r="I5635" i="1"/>
  <c r="J5635" i="1" s="1"/>
  <c r="G5635" i="1"/>
  <c r="J5634" i="1"/>
  <c r="I5634" i="1"/>
  <c r="G5634" i="1"/>
  <c r="J5633" i="1"/>
  <c r="I5633" i="1"/>
  <c r="G5633" i="1"/>
  <c r="I5632" i="1"/>
  <c r="J5632" i="1" s="1"/>
  <c r="H5632" i="1"/>
  <c r="G5632" i="1"/>
  <c r="I5631" i="1"/>
  <c r="J5631" i="1" s="1"/>
  <c r="G5631" i="1"/>
  <c r="I5630" i="1"/>
  <c r="J5630" i="1" s="1"/>
  <c r="G5630" i="1"/>
  <c r="J5629" i="1"/>
  <c r="I5629" i="1"/>
  <c r="G5629" i="1"/>
  <c r="J5628" i="1"/>
  <c r="I5628" i="1"/>
  <c r="G5628" i="1"/>
  <c r="J5627" i="1"/>
  <c r="I5627" i="1"/>
  <c r="H5627" i="1"/>
  <c r="G5627" i="1"/>
  <c r="I5626" i="1"/>
  <c r="J5626" i="1" s="1"/>
  <c r="G5626" i="1"/>
  <c r="I5625" i="1"/>
  <c r="J5625" i="1" s="1"/>
  <c r="G5625" i="1"/>
  <c r="J5624" i="1"/>
  <c r="I5624" i="1"/>
  <c r="G5624" i="1"/>
  <c r="J5623" i="1"/>
  <c r="I5623" i="1"/>
  <c r="G5623" i="1"/>
  <c r="I5622" i="1"/>
  <c r="J5622" i="1" s="1"/>
  <c r="G5622" i="1"/>
  <c r="I5621" i="1"/>
  <c r="J5621" i="1" s="1"/>
  <c r="G5621" i="1"/>
  <c r="J5620" i="1"/>
  <c r="I5620" i="1"/>
  <c r="G5620" i="1"/>
  <c r="J5619" i="1"/>
  <c r="I5619" i="1"/>
  <c r="G5619" i="1"/>
  <c r="I5618" i="1"/>
  <c r="J5618" i="1" s="1"/>
  <c r="G5618" i="1"/>
  <c r="I5617" i="1"/>
  <c r="J5617" i="1" s="1"/>
  <c r="G5617" i="1"/>
  <c r="J5616" i="1"/>
  <c r="I5616" i="1"/>
  <c r="G5616" i="1"/>
  <c r="J5615" i="1"/>
  <c r="I5615" i="1"/>
  <c r="G5615" i="1"/>
  <c r="I5614" i="1"/>
  <c r="J5614" i="1" s="1"/>
  <c r="G5614" i="1"/>
  <c r="I5613" i="1"/>
  <c r="J5613" i="1" s="1"/>
  <c r="G5613" i="1"/>
  <c r="J5612" i="1"/>
  <c r="I5612" i="1"/>
  <c r="G5612" i="1"/>
  <c r="J5611" i="1"/>
  <c r="I5611" i="1"/>
  <c r="G5611" i="1"/>
  <c r="I5610" i="1"/>
  <c r="J5610" i="1" s="1"/>
  <c r="G5610" i="1"/>
  <c r="I5609" i="1"/>
  <c r="J5609" i="1" s="1"/>
  <c r="G5609" i="1"/>
  <c r="H5608" i="1"/>
  <c r="I5608" i="1" s="1"/>
  <c r="J5608" i="1" s="1"/>
  <c r="G5608" i="1"/>
  <c r="J5607" i="1"/>
  <c r="I5607" i="1"/>
  <c r="G5607" i="1"/>
  <c r="J5606" i="1"/>
  <c r="I5606" i="1"/>
  <c r="G5606" i="1"/>
  <c r="I5605" i="1"/>
  <c r="J5605" i="1" s="1"/>
  <c r="G5605" i="1"/>
  <c r="I5604" i="1"/>
  <c r="J5604" i="1" s="1"/>
  <c r="H5604" i="1"/>
  <c r="G5604" i="1"/>
  <c r="I5603" i="1"/>
  <c r="J5603" i="1" s="1"/>
  <c r="G5603" i="1"/>
  <c r="J5602" i="1"/>
  <c r="I5602" i="1"/>
  <c r="G5602" i="1"/>
  <c r="J5601" i="1"/>
  <c r="I5601" i="1"/>
  <c r="H5601" i="1"/>
  <c r="G5601" i="1"/>
  <c r="J5600" i="1"/>
  <c r="I5600" i="1"/>
  <c r="G5600" i="1"/>
  <c r="I5599" i="1"/>
  <c r="J5599" i="1" s="1"/>
  <c r="G5599" i="1"/>
  <c r="I5598" i="1"/>
  <c r="J5598" i="1" s="1"/>
  <c r="G5598" i="1"/>
  <c r="J5597" i="1"/>
  <c r="I5597" i="1"/>
  <c r="G5597" i="1"/>
  <c r="J5596" i="1"/>
  <c r="I5596" i="1"/>
  <c r="G5596" i="1"/>
  <c r="I5595" i="1"/>
  <c r="J5595" i="1" s="1"/>
  <c r="G5595" i="1"/>
  <c r="I5594" i="1"/>
  <c r="J5594" i="1" s="1"/>
  <c r="G5594" i="1"/>
  <c r="J5593" i="1"/>
  <c r="I5593" i="1"/>
  <c r="G5593" i="1"/>
  <c r="J5592" i="1"/>
  <c r="I5592" i="1"/>
  <c r="G5592" i="1"/>
  <c r="I5591" i="1"/>
  <c r="J5591" i="1" s="1"/>
  <c r="G5591" i="1"/>
  <c r="I5590" i="1"/>
  <c r="J5590" i="1" s="1"/>
  <c r="G5590" i="1"/>
  <c r="J5589" i="1"/>
  <c r="I5589" i="1"/>
  <c r="G5589" i="1"/>
  <c r="J5588" i="1"/>
  <c r="I5588" i="1"/>
  <c r="G5588" i="1"/>
  <c r="I5587" i="1"/>
  <c r="J5587" i="1" s="1"/>
  <c r="G5587" i="1"/>
  <c r="H5586" i="1"/>
  <c r="I5586" i="1" s="1"/>
  <c r="J5586" i="1" s="1"/>
  <c r="G5586" i="1"/>
  <c r="I5585" i="1"/>
  <c r="J5585" i="1" s="1"/>
  <c r="G5585" i="1"/>
  <c r="J5584" i="1"/>
  <c r="I5584" i="1"/>
  <c r="G5584" i="1"/>
  <c r="J5583" i="1"/>
  <c r="I5583" i="1"/>
  <c r="G5583" i="1"/>
  <c r="I5582" i="1"/>
  <c r="J5582" i="1" s="1"/>
  <c r="G5582" i="1"/>
  <c r="I5581" i="1"/>
  <c r="J5581" i="1" s="1"/>
  <c r="G5581" i="1"/>
  <c r="H5580" i="1"/>
  <c r="I5580" i="1" s="1"/>
  <c r="J5580" i="1" s="1"/>
  <c r="G5580" i="1"/>
  <c r="H5579" i="1"/>
  <c r="I5579" i="1" s="1"/>
  <c r="J5579" i="1" s="1"/>
  <c r="G5579" i="1"/>
  <c r="H5578" i="1"/>
  <c r="I5578" i="1" s="1"/>
  <c r="J5578" i="1" s="1"/>
  <c r="G5578" i="1"/>
  <c r="J5577" i="1"/>
  <c r="I5577" i="1"/>
  <c r="G5577" i="1"/>
  <c r="J5576" i="1"/>
  <c r="I5576" i="1"/>
  <c r="H5576" i="1"/>
  <c r="G5576" i="1"/>
  <c r="J5575" i="1"/>
  <c r="I5575" i="1"/>
  <c r="G5575" i="1"/>
  <c r="J5574" i="1"/>
  <c r="I5574" i="1"/>
  <c r="G5574" i="1"/>
  <c r="I5573" i="1"/>
  <c r="J5573" i="1" s="1"/>
  <c r="G5573" i="1"/>
  <c r="J5572" i="1"/>
  <c r="I5572" i="1"/>
  <c r="G5572" i="1"/>
  <c r="I5571" i="1"/>
  <c r="J5571" i="1" s="1"/>
  <c r="G5571" i="1"/>
  <c r="J5570" i="1"/>
  <c r="I5570" i="1"/>
  <c r="H5570" i="1"/>
  <c r="G5570" i="1"/>
  <c r="I5569" i="1"/>
  <c r="J5569" i="1" s="1"/>
  <c r="G5569" i="1"/>
  <c r="I5568" i="1"/>
  <c r="J5568" i="1" s="1"/>
  <c r="G5568" i="1"/>
  <c r="J5567" i="1"/>
  <c r="I5567" i="1"/>
  <c r="G5567" i="1"/>
  <c r="I5566" i="1"/>
  <c r="J5566" i="1" s="1"/>
  <c r="G5566" i="1"/>
  <c r="I5565" i="1"/>
  <c r="J5565" i="1" s="1"/>
  <c r="G5565" i="1"/>
  <c r="I5564" i="1"/>
  <c r="J5564" i="1" s="1"/>
  <c r="G5564" i="1"/>
  <c r="J5563" i="1"/>
  <c r="I5563" i="1"/>
  <c r="G5563" i="1"/>
  <c r="I5562" i="1"/>
  <c r="J5562" i="1" s="1"/>
  <c r="G5562" i="1"/>
  <c r="I5561" i="1"/>
  <c r="J5561" i="1" s="1"/>
  <c r="H5561" i="1"/>
  <c r="G5561" i="1"/>
  <c r="I5560" i="1"/>
  <c r="J5560" i="1" s="1"/>
  <c r="G5560" i="1"/>
  <c r="I5559" i="1"/>
  <c r="J5559" i="1" s="1"/>
  <c r="G5559" i="1"/>
  <c r="J5558" i="1"/>
  <c r="H5558" i="1"/>
  <c r="I5558" i="1" s="1"/>
  <c r="G5558" i="1"/>
  <c r="J5557" i="1"/>
  <c r="I5557" i="1"/>
  <c r="G5557" i="1"/>
  <c r="I5556" i="1"/>
  <c r="J5556" i="1" s="1"/>
  <c r="G5556" i="1"/>
  <c r="I5555" i="1"/>
  <c r="J5555" i="1" s="1"/>
  <c r="G5555" i="1"/>
  <c r="I5554" i="1"/>
  <c r="J5554" i="1" s="1"/>
  <c r="G5554" i="1"/>
  <c r="J5553" i="1"/>
  <c r="I5553" i="1"/>
  <c r="G5553" i="1"/>
  <c r="J5552" i="1"/>
  <c r="I5552" i="1"/>
  <c r="G5552" i="1"/>
  <c r="I5551" i="1"/>
  <c r="J5551" i="1" s="1"/>
  <c r="G5551" i="1"/>
  <c r="I5550" i="1"/>
  <c r="J5550" i="1" s="1"/>
  <c r="G5550" i="1"/>
  <c r="J5549" i="1"/>
  <c r="I5549" i="1"/>
  <c r="G5549" i="1"/>
  <c r="J5548" i="1"/>
  <c r="I5548" i="1"/>
  <c r="G5548" i="1"/>
  <c r="I5547" i="1"/>
  <c r="J5547" i="1" s="1"/>
  <c r="G5547" i="1"/>
  <c r="I5546" i="1"/>
  <c r="J5546" i="1" s="1"/>
  <c r="G5546" i="1"/>
  <c r="J5545" i="1"/>
  <c r="I5545" i="1"/>
  <c r="G5545" i="1"/>
  <c r="I5544" i="1"/>
  <c r="J5544" i="1" s="1"/>
  <c r="H5544" i="1"/>
  <c r="G5544" i="1"/>
  <c r="I5543" i="1"/>
  <c r="J5543" i="1" s="1"/>
  <c r="G5543" i="1"/>
  <c r="I5542" i="1"/>
  <c r="J5542" i="1" s="1"/>
  <c r="G5542" i="1"/>
  <c r="I5541" i="1"/>
  <c r="J5541" i="1" s="1"/>
  <c r="H5541" i="1"/>
  <c r="G5541" i="1"/>
  <c r="H5540" i="1"/>
  <c r="I5540" i="1" s="1"/>
  <c r="J5540" i="1" s="1"/>
  <c r="G5540" i="1"/>
  <c r="H5539" i="1"/>
  <c r="I5539" i="1" s="1"/>
  <c r="J5539" i="1" s="1"/>
  <c r="G5539" i="1"/>
  <c r="H5538" i="1"/>
  <c r="I5538" i="1" s="1"/>
  <c r="J5538" i="1" s="1"/>
  <c r="G5538" i="1"/>
  <c r="I5537" i="1"/>
  <c r="J5537" i="1" s="1"/>
  <c r="G5537" i="1"/>
  <c r="J5536" i="1"/>
  <c r="I5536" i="1"/>
  <c r="G5536" i="1"/>
  <c r="J5535" i="1"/>
  <c r="I5535" i="1"/>
  <c r="G5535" i="1"/>
  <c r="I5534" i="1"/>
  <c r="J5534" i="1" s="1"/>
  <c r="G5534" i="1"/>
  <c r="H5533" i="1"/>
  <c r="I5533" i="1" s="1"/>
  <c r="J5533" i="1" s="1"/>
  <c r="G5533" i="1"/>
  <c r="I5532" i="1"/>
  <c r="J5532" i="1" s="1"/>
  <c r="G5532" i="1"/>
  <c r="I5531" i="1"/>
  <c r="J5531" i="1" s="1"/>
  <c r="G5531" i="1"/>
  <c r="H5530" i="1"/>
  <c r="I5530" i="1" s="1"/>
  <c r="J5530" i="1" s="1"/>
  <c r="G5530" i="1"/>
  <c r="I5529" i="1"/>
  <c r="J5529" i="1" s="1"/>
  <c r="G5529" i="1"/>
  <c r="I5528" i="1"/>
  <c r="J5528" i="1" s="1"/>
  <c r="G5528" i="1"/>
  <c r="I5527" i="1"/>
  <c r="J5527" i="1" s="1"/>
  <c r="G5527" i="1"/>
  <c r="I5526" i="1"/>
  <c r="J5526" i="1" s="1"/>
  <c r="G5526" i="1"/>
  <c r="I5525" i="1"/>
  <c r="J5525" i="1" s="1"/>
  <c r="G5525" i="1"/>
  <c r="J5524" i="1"/>
  <c r="I5524" i="1"/>
  <c r="G5524" i="1"/>
  <c r="I5523" i="1"/>
  <c r="J5523" i="1" s="1"/>
  <c r="G5523" i="1"/>
  <c r="I5522" i="1"/>
  <c r="J5522" i="1" s="1"/>
  <c r="G5522" i="1"/>
  <c r="I5521" i="1"/>
  <c r="J5521" i="1" s="1"/>
  <c r="G5521" i="1"/>
  <c r="J5520" i="1"/>
  <c r="I5520" i="1"/>
  <c r="G5520" i="1"/>
  <c r="I5519" i="1"/>
  <c r="J5519" i="1" s="1"/>
  <c r="G5519" i="1"/>
  <c r="I5518" i="1"/>
  <c r="J5518" i="1" s="1"/>
  <c r="G5518" i="1"/>
  <c r="I5517" i="1"/>
  <c r="J5517" i="1" s="1"/>
  <c r="H5517" i="1"/>
  <c r="G5517" i="1"/>
  <c r="I5516" i="1"/>
  <c r="J5516" i="1" s="1"/>
  <c r="G5516" i="1"/>
  <c r="J5515" i="1"/>
  <c r="I5515" i="1"/>
  <c r="G5515" i="1"/>
  <c r="I5514" i="1"/>
  <c r="J5514" i="1" s="1"/>
  <c r="G5514" i="1"/>
  <c r="J5513" i="1"/>
  <c r="I5513" i="1"/>
  <c r="G5513" i="1"/>
  <c r="I5512" i="1"/>
  <c r="J5512" i="1" s="1"/>
  <c r="G5512" i="1"/>
  <c r="J5511" i="1"/>
  <c r="I5511" i="1"/>
  <c r="G5511" i="1"/>
  <c r="H5510" i="1"/>
  <c r="I5510" i="1" s="1"/>
  <c r="J5510" i="1" s="1"/>
  <c r="G5510" i="1"/>
  <c r="I5509" i="1"/>
  <c r="J5509" i="1" s="1"/>
  <c r="H5509" i="1"/>
  <c r="G5509" i="1"/>
  <c r="J5508" i="1"/>
  <c r="I5508" i="1"/>
  <c r="G5508" i="1"/>
  <c r="J5507" i="1"/>
  <c r="I5507" i="1"/>
  <c r="G5507" i="1"/>
  <c r="I5506" i="1"/>
  <c r="J5506" i="1" s="1"/>
  <c r="G5506" i="1"/>
  <c r="J5505" i="1"/>
  <c r="I5505" i="1"/>
  <c r="G5505" i="1"/>
  <c r="J5504" i="1"/>
  <c r="I5504" i="1"/>
  <c r="G5504" i="1"/>
  <c r="J5503" i="1"/>
  <c r="I5503" i="1"/>
  <c r="G5503" i="1"/>
  <c r="I5502" i="1"/>
  <c r="J5502" i="1" s="1"/>
  <c r="G5502" i="1"/>
  <c r="I5501" i="1"/>
  <c r="J5501" i="1" s="1"/>
  <c r="H5501" i="1"/>
  <c r="G5501" i="1"/>
  <c r="I5500" i="1"/>
  <c r="J5500" i="1" s="1"/>
  <c r="H5500" i="1"/>
  <c r="G5500" i="1"/>
  <c r="H5499" i="1"/>
  <c r="I5499" i="1" s="1"/>
  <c r="J5499" i="1" s="1"/>
  <c r="G5499" i="1"/>
  <c r="I5498" i="1"/>
  <c r="J5498" i="1" s="1"/>
  <c r="H5498" i="1"/>
  <c r="G5498" i="1"/>
  <c r="I5497" i="1"/>
  <c r="J5497" i="1" s="1"/>
  <c r="G5497" i="1"/>
  <c r="I5496" i="1"/>
  <c r="J5496" i="1" s="1"/>
  <c r="G5496" i="1"/>
  <c r="J5495" i="1"/>
  <c r="I5495" i="1"/>
  <c r="G5495" i="1"/>
  <c r="J5494" i="1"/>
  <c r="I5494" i="1"/>
  <c r="G5494" i="1"/>
  <c r="I5493" i="1"/>
  <c r="J5493" i="1" s="1"/>
  <c r="G5493" i="1"/>
  <c r="I5492" i="1"/>
  <c r="J5492" i="1" s="1"/>
  <c r="G5492" i="1"/>
  <c r="J5491" i="1"/>
  <c r="I5491" i="1"/>
  <c r="G5491" i="1"/>
  <c r="J5490" i="1"/>
  <c r="I5490" i="1"/>
  <c r="G5490" i="1"/>
  <c r="I5489" i="1"/>
  <c r="J5489" i="1" s="1"/>
  <c r="G5489" i="1"/>
  <c r="I5488" i="1"/>
  <c r="J5488" i="1" s="1"/>
  <c r="G5488" i="1"/>
  <c r="J5487" i="1"/>
  <c r="I5487" i="1"/>
  <c r="G5487" i="1"/>
  <c r="J5486" i="1"/>
  <c r="I5486" i="1"/>
  <c r="G5486" i="1"/>
  <c r="I5485" i="1"/>
  <c r="J5485" i="1" s="1"/>
  <c r="G5485" i="1"/>
  <c r="I5484" i="1"/>
  <c r="J5484" i="1" s="1"/>
  <c r="G5484" i="1"/>
  <c r="J5483" i="1"/>
  <c r="I5483" i="1"/>
  <c r="G5483" i="1"/>
  <c r="J5482" i="1"/>
  <c r="I5482" i="1"/>
  <c r="G5482" i="1"/>
  <c r="I5481" i="1"/>
  <c r="J5481" i="1" s="1"/>
  <c r="G5481" i="1"/>
  <c r="I5480" i="1"/>
  <c r="J5480" i="1" s="1"/>
  <c r="G5480" i="1"/>
  <c r="J5479" i="1"/>
  <c r="I5479" i="1"/>
  <c r="G5479" i="1"/>
  <c r="J5478" i="1"/>
  <c r="I5478" i="1"/>
  <c r="G5478" i="1"/>
  <c r="I5477" i="1"/>
  <c r="J5477" i="1" s="1"/>
  <c r="G5477" i="1"/>
  <c r="I5476" i="1"/>
  <c r="J5476" i="1" s="1"/>
  <c r="G5476" i="1"/>
  <c r="J5475" i="1"/>
  <c r="I5475" i="1"/>
  <c r="G5475" i="1"/>
  <c r="J5474" i="1"/>
  <c r="H5474" i="1"/>
  <c r="I5474" i="1" s="1"/>
  <c r="G5474" i="1"/>
  <c r="J5473" i="1"/>
  <c r="I5473" i="1"/>
  <c r="G5473" i="1"/>
  <c r="I5472" i="1"/>
  <c r="J5472" i="1" s="1"/>
  <c r="G5472" i="1"/>
  <c r="I5471" i="1"/>
  <c r="J5471" i="1" s="1"/>
  <c r="G5471" i="1"/>
  <c r="J5470" i="1"/>
  <c r="I5470" i="1"/>
  <c r="G5470" i="1"/>
  <c r="I5469" i="1"/>
  <c r="J5469" i="1" s="1"/>
  <c r="G5469" i="1"/>
  <c r="I5468" i="1"/>
  <c r="J5468" i="1" s="1"/>
  <c r="G5468" i="1"/>
  <c r="I5467" i="1"/>
  <c r="J5467" i="1" s="1"/>
  <c r="G5467" i="1"/>
  <c r="I5466" i="1"/>
  <c r="J5466" i="1" s="1"/>
  <c r="G5466" i="1"/>
  <c r="J5465" i="1"/>
  <c r="I5465" i="1"/>
  <c r="G5465" i="1"/>
  <c r="J5464" i="1"/>
  <c r="I5464" i="1"/>
  <c r="G5464" i="1"/>
  <c r="I5463" i="1"/>
  <c r="J5463" i="1" s="1"/>
  <c r="G5463" i="1"/>
  <c r="I5462" i="1"/>
  <c r="J5462" i="1" s="1"/>
  <c r="G5462" i="1"/>
  <c r="I5461" i="1"/>
  <c r="J5461" i="1" s="1"/>
  <c r="G5461" i="1"/>
  <c r="J5460" i="1"/>
  <c r="I5460" i="1"/>
  <c r="G5460" i="1"/>
  <c r="I5459" i="1"/>
  <c r="J5459" i="1" s="1"/>
  <c r="G5459" i="1"/>
  <c r="J5458" i="1"/>
  <c r="I5458" i="1"/>
  <c r="G5458" i="1"/>
  <c r="J5457" i="1"/>
  <c r="I5457" i="1"/>
  <c r="G5457" i="1"/>
  <c r="I5456" i="1"/>
  <c r="J5456" i="1" s="1"/>
  <c r="G5456" i="1"/>
  <c r="I5455" i="1"/>
  <c r="J5455" i="1" s="1"/>
  <c r="G5455" i="1"/>
  <c r="F5454" i="1"/>
  <c r="G5453" i="1"/>
  <c r="F5453" i="1"/>
  <c r="I5453" i="1" s="1"/>
  <c r="J5453" i="1" s="1"/>
  <c r="J5452" i="1"/>
  <c r="H5452" i="1"/>
  <c r="I5452" i="1" s="1"/>
  <c r="G5452" i="1"/>
  <c r="H5451" i="1"/>
  <c r="I5451" i="1" s="1"/>
  <c r="J5451" i="1" s="1"/>
  <c r="G5451" i="1"/>
  <c r="I5450" i="1"/>
  <c r="J5450" i="1" s="1"/>
  <c r="H5450" i="1"/>
  <c r="G5450" i="1"/>
  <c r="H5449" i="1"/>
  <c r="G5449" i="1"/>
  <c r="F5449" i="1"/>
  <c r="H5448" i="1"/>
  <c r="I5448" i="1" s="1"/>
  <c r="J5448" i="1" s="1"/>
  <c r="G5448" i="1"/>
  <c r="I5447" i="1"/>
  <c r="J5447" i="1" s="1"/>
  <c r="H5447" i="1"/>
  <c r="G5447" i="1"/>
  <c r="H5446" i="1"/>
  <c r="I5446" i="1" s="1"/>
  <c r="J5446" i="1" s="1"/>
  <c r="G5446" i="1"/>
  <c r="H5445" i="1"/>
  <c r="I5445" i="1" s="1"/>
  <c r="J5445" i="1" s="1"/>
  <c r="G5445" i="1"/>
  <c r="I5444" i="1"/>
  <c r="J5444" i="1" s="1"/>
  <c r="H5444" i="1"/>
  <c r="G5444" i="1"/>
  <c r="I5443" i="1"/>
  <c r="J5443" i="1" s="1"/>
  <c r="H5443" i="1"/>
  <c r="G5443" i="1"/>
  <c r="H5442" i="1"/>
  <c r="I5442" i="1" s="1"/>
  <c r="J5442" i="1" s="1"/>
  <c r="G5442" i="1"/>
  <c r="H5441" i="1"/>
  <c r="I5441" i="1" s="1"/>
  <c r="J5441" i="1" s="1"/>
  <c r="G5441" i="1"/>
  <c r="H5440" i="1"/>
  <c r="I5440" i="1" s="1"/>
  <c r="J5440" i="1" s="1"/>
  <c r="G5440" i="1"/>
  <c r="J5439" i="1"/>
  <c r="I5439" i="1"/>
  <c r="H5439" i="1"/>
  <c r="G5439" i="1"/>
  <c r="I5438" i="1"/>
  <c r="J5438" i="1" s="1"/>
  <c r="H5438" i="1"/>
  <c r="G5438" i="1"/>
  <c r="I5437" i="1"/>
  <c r="J5437" i="1" s="1"/>
  <c r="H5437" i="1"/>
  <c r="G5437" i="1"/>
  <c r="I5436" i="1"/>
  <c r="J5436" i="1" s="1"/>
  <c r="H5436" i="1"/>
  <c r="G5436" i="1"/>
  <c r="H5435" i="1"/>
  <c r="I5435" i="1" s="1"/>
  <c r="J5435" i="1" s="1"/>
  <c r="G5435" i="1"/>
  <c r="H5434" i="1"/>
  <c r="I5434" i="1" s="1"/>
  <c r="J5434" i="1" s="1"/>
  <c r="G5434" i="1"/>
  <c r="H5433" i="1"/>
  <c r="I5433" i="1" s="1"/>
  <c r="J5433" i="1" s="1"/>
  <c r="G5433" i="1"/>
  <c r="H5432" i="1"/>
  <c r="I5432" i="1" s="1"/>
  <c r="J5432" i="1" s="1"/>
  <c r="G5432" i="1"/>
  <c r="H5431" i="1"/>
  <c r="I5431" i="1" s="1"/>
  <c r="J5431" i="1" s="1"/>
  <c r="G5431" i="1"/>
  <c r="I5430" i="1"/>
  <c r="J5430" i="1" s="1"/>
  <c r="H5430" i="1"/>
  <c r="G5430" i="1"/>
  <c r="J5429" i="1"/>
  <c r="I5429" i="1"/>
  <c r="G5429" i="1"/>
  <c r="J5428" i="1"/>
  <c r="I5428" i="1"/>
  <c r="G5428" i="1"/>
  <c r="I5427" i="1"/>
  <c r="J5427" i="1" s="1"/>
  <c r="G5427" i="1"/>
  <c r="H5426" i="1"/>
  <c r="I5426" i="1" s="1"/>
  <c r="J5426" i="1" s="1"/>
  <c r="G5426" i="1"/>
  <c r="I5425" i="1"/>
  <c r="J5425" i="1" s="1"/>
  <c r="G5425" i="1"/>
  <c r="I5424" i="1"/>
  <c r="J5424" i="1" s="1"/>
  <c r="H5424" i="1"/>
  <c r="G5424" i="1"/>
  <c r="J5423" i="1"/>
  <c r="I5423" i="1"/>
  <c r="G5423" i="1"/>
  <c r="I5422" i="1"/>
  <c r="J5422" i="1" s="1"/>
  <c r="H5422" i="1"/>
  <c r="G5422" i="1"/>
  <c r="J5421" i="1"/>
  <c r="I5421" i="1"/>
  <c r="G5421" i="1"/>
  <c r="I5420" i="1"/>
  <c r="J5420" i="1" s="1"/>
  <c r="G5420" i="1"/>
  <c r="I5419" i="1"/>
  <c r="J5419" i="1" s="1"/>
  <c r="G5419" i="1"/>
  <c r="J5418" i="1"/>
  <c r="I5418" i="1"/>
  <c r="G5418" i="1"/>
  <c r="H5417" i="1"/>
  <c r="I5417" i="1" s="1"/>
  <c r="J5417" i="1" s="1"/>
  <c r="G5417" i="1"/>
  <c r="I5416" i="1"/>
  <c r="J5416" i="1" s="1"/>
  <c r="G5416" i="1"/>
  <c r="I5415" i="1"/>
  <c r="J5415" i="1" s="1"/>
  <c r="G5415" i="1"/>
  <c r="J5414" i="1"/>
  <c r="I5414" i="1"/>
  <c r="G5414" i="1"/>
  <c r="I5413" i="1"/>
  <c r="J5413" i="1" s="1"/>
  <c r="G5413" i="1"/>
  <c r="J5412" i="1"/>
  <c r="I5412" i="1"/>
  <c r="G5412" i="1"/>
  <c r="J5411" i="1"/>
  <c r="I5411" i="1"/>
  <c r="G5411" i="1"/>
  <c r="I5410" i="1"/>
  <c r="J5410" i="1" s="1"/>
  <c r="G5410" i="1"/>
  <c r="I5409" i="1"/>
  <c r="J5409" i="1" s="1"/>
  <c r="G5409" i="1"/>
  <c r="I5408" i="1"/>
  <c r="J5408" i="1" s="1"/>
  <c r="G5408" i="1"/>
  <c r="J5407" i="1"/>
  <c r="I5407" i="1"/>
  <c r="H5407" i="1"/>
  <c r="G5407" i="1"/>
  <c r="I5406" i="1"/>
  <c r="J5406" i="1" s="1"/>
  <c r="H5406" i="1"/>
  <c r="G5406" i="1"/>
  <c r="H5405" i="1"/>
  <c r="I5405" i="1" s="1"/>
  <c r="J5405" i="1" s="1"/>
  <c r="G5405" i="1"/>
  <c r="I5404" i="1"/>
  <c r="J5404" i="1" s="1"/>
  <c r="G5404" i="1"/>
  <c r="H5403" i="1"/>
  <c r="I5403" i="1" s="1"/>
  <c r="J5403" i="1" s="1"/>
  <c r="G5403" i="1"/>
  <c r="I5402" i="1"/>
  <c r="J5402" i="1" s="1"/>
  <c r="G5402" i="1"/>
  <c r="J5401" i="1"/>
  <c r="I5401" i="1"/>
  <c r="G5401" i="1"/>
  <c r="J5400" i="1"/>
  <c r="I5400" i="1"/>
  <c r="G5400" i="1"/>
  <c r="I5399" i="1"/>
  <c r="J5399" i="1" s="1"/>
  <c r="H5399" i="1"/>
  <c r="G5399" i="1"/>
  <c r="H5398" i="1"/>
  <c r="I5398" i="1" s="1"/>
  <c r="J5398" i="1" s="1"/>
  <c r="G5398" i="1"/>
  <c r="J5397" i="1"/>
  <c r="I5397" i="1"/>
  <c r="H5397" i="1"/>
  <c r="G5397" i="1"/>
  <c r="I5396" i="1"/>
  <c r="J5396" i="1" s="1"/>
  <c r="H5396" i="1"/>
  <c r="G5396" i="1"/>
  <c r="H5395" i="1"/>
  <c r="I5395" i="1" s="1"/>
  <c r="J5395" i="1" s="1"/>
  <c r="G5395" i="1"/>
  <c r="J5394" i="1"/>
  <c r="I5394" i="1"/>
  <c r="G5394" i="1"/>
  <c r="J5393" i="1"/>
  <c r="I5393" i="1"/>
  <c r="G5393" i="1"/>
  <c r="I5392" i="1"/>
  <c r="J5392" i="1" s="1"/>
  <c r="G5392" i="1"/>
  <c r="I5391" i="1"/>
  <c r="J5391" i="1" s="1"/>
  <c r="G5391" i="1"/>
  <c r="H5390" i="1"/>
  <c r="I5390" i="1" s="1"/>
  <c r="J5390" i="1" s="1"/>
  <c r="G5390" i="1"/>
  <c r="J5389" i="1"/>
  <c r="I5389" i="1"/>
  <c r="H5389" i="1"/>
  <c r="G5389" i="1"/>
  <c r="I5388" i="1"/>
  <c r="J5388" i="1" s="1"/>
  <c r="G5388" i="1"/>
  <c r="H5387" i="1"/>
  <c r="I5387" i="1" s="1"/>
  <c r="J5387" i="1" s="1"/>
  <c r="G5387" i="1"/>
  <c r="I5386" i="1"/>
  <c r="J5386" i="1" s="1"/>
  <c r="G5386" i="1"/>
  <c r="I5385" i="1"/>
  <c r="J5385" i="1" s="1"/>
  <c r="G5385" i="1"/>
  <c r="I5384" i="1"/>
  <c r="J5384" i="1" s="1"/>
  <c r="G5384" i="1"/>
  <c r="J5383" i="1"/>
  <c r="I5383" i="1"/>
  <c r="G5383" i="1"/>
  <c r="H5382" i="1"/>
  <c r="I5382" i="1" s="1"/>
  <c r="J5382" i="1" s="1"/>
  <c r="G5382" i="1"/>
  <c r="J5381" i="1"/>
  <c r="I5381" i="1"/>
  <c r="G5381" i="1"/>
  <c r="I5380" i="1"/>
  <c r="J5380" i="1" s="1"/>
  <c r="G5380" i="1"/>
  <c r="I5379" i="1"/>
  <c r="J5379" i="1" s="1"/>
  <c r="G5379" i="1"/>
  <c r="I5378" i="1"/>
  <c r="J5378" i="1" s="1"/>
  <c r="G5378" i="1"/>
  <c r="J5377" i="1"/>
  <c r="I5377" i="1"/>
  <c r="G5377" i="1"/>
  <c r="I5376" i="1"/>
  <c r="J5376" i="1" s="1"/>
  <c r="G5376" i="1"/>
  <c r="I5375" i="1"/>
  <c r="J5375" i="1" s="1"/>
  <c r="G5375" i="1"/>
  <c r="I5374" i="1"/>
  <c r="J5374" i="1" s="1"/>
  <c r="H5374" i="1"/>
  <c r="G5374" i="1"/>
  <c r="J5373" i="1"/>
  <c r="I5373" i="1"/>
  <c r="G5373" i="1"/>
  <c r="I5372" i="1"/>
  <c r="J5372" i="1" s="1"/>
  <c r="H5372" i="1"/>
  <c r="G5372" i="1"/>
  <c r="J5371" i="1"/>
  <c r="I5371" i="1"/>
  <c r="G5371" i="1"/>
  <c r="I5370" i="1"/>
  <c r="J5370" i="1" s="1"/>
  <c r="G5370" i="1"/>
  <c r="I5369" i="1"/>
  <c r="J5369" i="1" s="1"/>
  <c r="G5369" i="1"/>
  <c r="J5368" i="1"/>
  <c r="I5368" i="1"/>
  <c r="G5368" i="1"/>
  <c r="J5367" i="1"/>
  <c r="H5367" i="1"/>
  <c r="I5367" i="1" s="1"/>
  <c r="G5367" i="1"/>
  <c r="J5366" i="1"/>
  <c r="I5366" i="1"/>
  <c r="H5366" i="1"/>
  <c r="G5366" i="1"/>
  <c r="I5365" i="1"/>
  <c r="J5365" i="1" s="1"/>
  <c r="H5365" i="1"/>
  <c r="G5365" i="1"/>
  <c r="H5364" i="1"/>
  <c r="I5364" i="1" s="1"/>
  <c r="J5364" i="1" s="1"/>
  <c r="G5364" i="1"/>
  <c r="J5363" i="1"/>
  <c r="I5363" i="1"/>
  <c r="H5363" i="1"/>
  <c r="G5363" i="1"/>
  <c r="I5362" i="1"/>
  <c r="J5362" i="1" s="1"/>
  <c r="H5362" i="1"/>
  <c r="G5362" i="1"/>
  <c r="H5361" i="1"/>
  <c r="I5361" i="1" s="1"/>
  <c r="J5361" i="1" s="1"/>
  <c r="G5361" i="1"/>
  <c r="J5360" i="1"/>
  <c r="I5360" i="1"/>
  <c r="H5360" i="1"/>
  <c r="G5360" i="1"/>
  <c r="I5359" i="1"/>
  <c r="J5359" i="1" s="1"/>
  <c r="H5359" i="1"/>
  <c r="G5359" i="1"/>
  <c r="J5358" i="1"/>
  <c r="H5358" i="1"/>
  <c r="I5358" i="1" s="1"/>
  <c r="G5358" i="1"/>
  <c r="J5357" i="1"/>
  <c r="I5357" i="1"/>
  <c r="H5357" i="1"/>
  <c r="G5357" i="1"/>
  <c r="I5356" i="1"/>
  <c r="J5356" i="1" s="1"/>
  <c r="G5356" i="1"/>
  <c r="J5355" i="1"/>
  <c r="I5355" i="1"/>
  <c r="G5355" i="1"/>
  <c r="H5354" i="1"/>
  <c r="I5354" i="1" s="1"/>
  <c r="J5354" i="1" s="1"/>
  <c r="G5354" i="1"/>
  <c r="H5353" i="1"/>
  <c r="I5353" i="1" s="1"/>
  <c r="J5353" i="1" s="1"/>
  <c r="G5353" i="1"/>
  <c r="H5352" i="1"/>
  <c r="I5352" i="1" s="1"/>
  <c r="J5352" i="1" s="1"/>
  <c r="G5352" i="1"/>
  <c r="H5351" i="1"/>
  <c r="I5351" i="1" s="1"/>
  <c r="J5351" i="1" s="1"/>
  <c r="G5351" i="1"/>
  <c r="I5350" i="1"/>
  <c r="J5350" i="1" s="1"/>
  <c r="G5350" i="1"/>
  <c r="H5349" i="1"/>
  <c r="I5349" i="1" s="1"/>
  <c r="J5349" i="1" s="1"/>
  <c r="G5349" i="1"/>
  <c r="I5348" i="1"/>
  <c r="J5348" i="1" s="1"/>
  <c r="H5348" i="1"/>
  <c r="G5348" i="1"/>
  <c r="J5347" i="1"/>
  <c r="I5347" i="1"/>
  <c r="G5347" i="1"/>
  <c r="I5346" i="1"/>
  <c r="J5346" i="1" s="1"/>
  <c r="G5346" i="1"/>
  <c r="I5345" i="1"/>
  <c r="J5345" i="1" s="1"/>
  <c r="G5345" i="1"/>
  <c r="J5344" i="1"/>
  <c r="I5344" i="1"/>
  <c r="G5344" i="1"/>
  <c r="J5343" i="1"/>
  <c r="I5343" i="1"/>
  <c r="G5343" i="1"/>
  <c r="I5342" i="1"/>
  <c r="J5342" i="1" s="1"/>
  <c r="G5342" i="1"/>
  <c r="I5341" i="1"/>
  <c r="J5341" i="1" s="1"/>
  <c r="G5341" i="1"/>
  <c r="J5340" i="1"/>
  <c r="I5340" i="1"/>
  <c r="G5340" i="1"/>
  <c r="J5339" i="1"/>
  <c r="I5339" i="1"/>
  <c r="G5339" i="1"/>
  <c r="I5338" i="1"/>
  <c r="J5338" i="1" s="1"/>
  <c r="G5338" i="1"/>
  <c r="I5337" i="1"/>
  <c r="J5337" i="1" s="1"/>
  <c r="G5337" i="1"/>
  <c r="J5336" i="1"/>
  <c r="I5336" i="1"/>
  <c r="G5336" i="1"/>
  <c r="J5335" i="1"/>
  <c r="I5335" i="1"/>
  <c r="G5335" i="1"/>
  <c r="I5334" i="1"/>
  <c r="J5334" i="1" s="1"/>
  <c r="G5334" i="1"/>
  <c r="J5333" i="1"/>
  <c r="I5333" i="1"/>
  <c r="G5333" i="1"/>
  <c r="J5332" i="1"/>
  <c r="I5332" i="1"/>
  <c r="G5332" i="1"/>
  <c r="J5331" i="1"/>
  <c r="I5331" i="1"/>
  <c r="G5331" i="1"/>
  <c r="I5330" i="1"/>
  <c r="J5330" i="1" s="1"/>
  <c r="G5330" i="1"/>
  <c r="I5329" i="1"/>
  <c r="J5329" i="1" s="1"/>
  <c r="G5329" i="1"/>
  <c r="J5328" i="1"/>
  <c r="I5328" i="1"/>
  <c r="G5328" i="1"/>
  <c r="J5327" i="1"/>
  <c r="I5327" i="1"/>
  <c r="G5327" i="1"/>
  <c r="F5326" i="1"/>
  <c r="J5325" i="1"/>
  <c r="I5325" i="1"/>
  <c r="G5325" i="1"/>
  <c r="I5324" i="1"/>
  <c r="J5324" i="1" s="1"/>
  <c r="G5324" i="1"/>
  <c r="I5323" i="1"/>
  <c r="J5323" i="1" s="1"/>
  <c r="G5323" i="1"/>
  <c r="J5322" i="1"/>
  <c r="I5322" i="1"/>
  <c r="G5322" i="1"/>
  <c r="J5321" i="1"/>
  <c r="H5321" i="1"/>
  <c r="I5321" i="1" s="1"/>
  <c r="G5321" i="1"/>
  <c r="J5320" i="1"/>
  <c r="I5320" i="1"/>
  <c r="G5320" i="1"/>
  <c r="I5319" i="1"/>
  <c r="J5319" i="1" s="1"/>
  <c r="G5319" i="1"/>
  <c r="I5318" i="1"/>
  <c r="J5318" i="1" s="1"/>
  <c r="G5318" i="1"/>
  <c r="I5317" i="1"/>
  <c r="J5317" i="1" s="1"/>
  <c r="G5317" i="1"/>
  <c r="J5316" i="1"/>
  <c r="I5316" i="1"/>
  <c r="G5316" i="1"/>
  <c r="H5315" i="1"/>
  <c r="I5315" i="1" s="1"/>
  <c r="J5315" i="1" s="1"/>
  <c r="G5315" i="1"/>
  <c r="J5314" i="1"/>
  <c r="I5314" i="1"/>
  <c r="G5314" i="1"/>
  <c r="H5313" i="1"/>
  <c r="I5313" i="1" s="1"/>
  <c r="J5313" i="1" s="1"/>
  <c r="G5313" i="1"/>
  <c r="H5312" i="1"/>
  <c r="I5312" i="1" s="1"/>
  <c r="J5312" i="1" s="1"/>
  <c r="G5312" i="1"/>
  <c r="I5311" i="1"/>
  <c r="J5311" i="1" s="1"/>
  <c r="H5311" i="1"/>
  <c r="G5311" i="1"/>
  <c r="J5310" i="1"/>
  <c r="I5310" i="1"/>
  <c r="G5310" i="1"/>
  <c r="H5309" i="1"/>
  <c r="I5309" i="1" s="1"/>
  <c r="J5309" i="1" s="1"/>
  <c r="G5309" i="1"/>
  <c r="H5308" i="1"/>
  <c r="I5308" i="1" s="1"/>
  <c r="J5308" i="1" s="1"/>
  <c r="G5308" i="1"/>
  <c r="I5307" i="1"/>
  <c r="J5307" i="1" s="1"/>
  <c r="H5307" i="1"/>
  <c r="G5307" i="1"/>
  <c r="H5306" i="1"/>
  <c r="I5306" i="1" s="1"/>
  <c r="J5306" i="1" s="1"/>
  <c r="G5306" i="1"/>
  <c r="J5305" i="1"/>
  <c r="I5305" i="1"/>
  <c r="G5305" i="1"/>
  <c r="H5304" i="1"/>
  <c r="I5304" i="1" s="1"/>
  <c r="J5304" i="1" s="1"/>
  <c r="G5304" i="1"/>
  <c r="J5303" i="1"/>
  <c r="I5303" i="1"/>
  <c r="G5303" i="1"/>
  <c r="I5302" i="1"/>
  <c r="J5302" i="1" s="1"/>
  <c r="G5302" i="1"/>
  <c r="I5301" i="1"/>
  <c r="J5301" i="1" s="1"/>
  <c r="G5301" i="1"/>
  <c r="I5300" i="1"/>
  <c r="J5300" i="1" s="1"/>
  <c r="G5300" i="1"/>
  <c r="J5299" i="1"/>
  <c r="I5299" i="1"/>
  <c r="G5299" i="1"/>
  <c r="I5298" i="1"/>
  <c r="J5298" i="1" s="1"/>
  <c r="G5298" i="1"/>
  <c r="I5297" i="1"/>
  <c r="J5297" i="1" s="1"/>
  <c r="G5297" i="1"/>
  <c r="I5296" i="1"/>
  <c r="J5296" i="1" s="1"/>
  <c r="G5296" i="1"/>
  <c r="J5295" i="1"/>
  <c r="I5295" i="1"/>
  <c r="H5295" i="1"/>
  <c r="G5295" i="1"/>
  <c r="I5294" i="1"/>
  <c r="J5294" i="1" s="1"/>
  <c r="H5294" i="1"/>
  <c r="G5294" i="1"/>
  <c r="H5293" i="1"/>
  <c r="I5293" i="1" s="1"/>
  <c r="J5293" i="1" s="1"/>
  <c r="G5293" i="1"/>
  <c r="J5292" i="1"/>
  <c r="I5292" i="1"/>
  <c r="H5292" i="1"/>
  <c r="G5292" i="1"/>
  <c r="I5291" i="1"/>
  <c r="J5291" i="1" s="1"/>
  <c r="H5291" i="1"/>
  <c r="G5291" i="1"/>
  <c r="H5290" i="1"/>
  <c r="I5290" i="1" s="1"/>
  <c r="J5290" i="1" s="1"/>
  <c r="G5290" i="1"/>
  <c r="J5289" i="1"/>
  <c r="I5289" i="1"/>
  <c r="G5289" i="1"/>
  <c r="I5288" i="1"/>
  <c r="J5288" i="1" s="1"/>
  <c r="G5288" i="1"/>
  <c r="I5287" i="1"/>
  <c r="J5287" i="1" s="1"/>
  <c r="G5287" i="1"/>
  <c r="I5286" i="1"/>
  <c r="J5286" i="1" s="1"/>
  <c r="G5286" i="1"/>
  <c r="J5285" i="1"/>
  <c r="I5285" i="1"/>
  <c r="H5285" i="1"/>
  <c r="G5285" i="1"/>
  <c r="I5284" i="1"/>
  <c r="J5284" i="1" s="1"/>
  <c r="G5284" i="1"/>
  <c r="I5283" i="1"/>
  <c r="J5283" i="1" s="1"/>
  <c r="G5283" i="1"/>
  <c r="J5282" i="1"/>
  <c r="I5282" i="1"/>
  <c r="G5282" i="1"/>
  <c r="J5281" i="1"/>
  <c r="I5281" i="1"/>
  <c r="G5281" i="1"/>
  <c r="I5280" i="1"/>
  <c r="J5280" i="1" s="1"/>
  <c r="H5280" i="1"/>
  <c r="G5280" i="1"/>
  <c r="H5279" i="1"/>
  <c r="I5279" i="1" s="1"/>
  <c r="J5279" i="1" s="1"/>
  <c r="G5279" i="1"/>
  <c r="J5278" i="1"/>
  <c r="I5278" i="1"/>
  <c r="H5278" i="1"/>
  <c r="G5278" i="1"/>
  <c r="I5277" i="1"/>
  <c r="J5277" i="1" s="1"/>
  <c r="H5277" i="1"/>
  <c r="G5277" i="1"/>
  <c r="J5276" i="1"/>
  <c r="H5276" i="1"/>
  <c r="I5276" i="1" s="1"/>
  <c r="G5276" i="1"/>
  <c r="J5275" i="1"/>
  <c r="I5275" i="1"/>
  <c r="G5275" i="1"/>
  <c r="I5274" i="1"/>
  <c r="J5274" i="1" s="1"/>
  <c r="G5274" i="1"/>
  <c r="I5273" i="1"/>
  <c r="J5273" i="1" s="1"/>
  <c r="G5273" i="1"/>
  <c r="I5272" i="1"/>
  <c r="J5272" i="1" s="1"/>
  <c r="G5272" i="1"/>
  <c r="J5271" i="1"/>
  <c r="I5271" i="1"/>
  <c r="G5271" i="1"/>
  <c r="H5270" i="1"/>
  <c r="I5270" i="1" s="1"/>
  <c r="J5270" i="1" s="1"/>
  <c r="G5270" i="1"/>
  <c r="J5269" i="1"/>
  <c r="I5269" i="1"/>
  <c r="H5269" i="1"/>
  <c r="G5269" i="1"/>
  <c r="I5268" i="1"/>
  <c r="J5268" i="1" s="1"/>
  <c r="H5268" i="1"/>
  <c r="G5268" i="1"/>
  <c r="H5267" i="1"/>
  <c r="I5267" i="1" s="1"/>
  <c r="J5267" i="1" s="1"/>
  <c r="G5267" i="1"/>
  <c r="I5266" i="1"/>
  <c r="J5266" i="1" s="1"/>
  <c r="H5266" i="1"/>
  <c r="G5266" i="1"/>
  <c r="I5265" i="1"/>
  <c r="J5265" i="1" s="1"/>
  <c r="H5265" i="1"/>
  <c r="G5265" i="1"/>
  <c r="I5264" i="1"/>
  <c r="J5264" i="1" s="1"/>
  <c r="G5264" i="1"/>
  <c r="I5263" i="1"/>
  <c r="J5263" i="1" s="1"/>
  <c r="G5263" i="1"/>
  <c r="I5262" i="1"/>
  <c r="J5262" i="1" s="1"/>
  <c r="G5262" i="1"/>
  <c r="J5261" i="1"/>
  <c r="I5261" i="1"/>
  <c r="G5261" i="1"/>
  <c r="I5260" i="1"/>
  <c r="J5260" i="1" s="1"/>
  <c r="G5260" i="1"/>
  <c r="I5259" i="1"/>
  <c r="J5259" i="1" s="1"/>
  <c r="G5259" i="1"/>
  <c r="I5258" i="1"/>
  <c r="J5258" i="1" s="1"/>
  <c r="H5258" i="1"/>
  <c r="G5258" i="1"/>
  <c r="J5257" i="1"/>
  <c r="I5257" i="1"/>
  <c r="G5257" i="1"/>
  <c r="I5256" i="1"/>
  <c r="J5256" i="1" s="1"/>
  <c r="H5256" i="1"/>
  <c r="G5256" i="1"/>
  <c r="J5255" i="1"/>
  <c r="I5255" i="1"/>
  <c r="G5255" i="1"/>
  <c r="I5254" i="1"/>
  <c r="J5254" i="1" s="1"/>
  <c r="G5254" i="1"/>
  <c r="I5253" i="1"/>
  <c r="J5253" i="1" s="1"/>
  <c r="G5253" i="1"/>
  <c r="J5252" i="1"/>
  <c r="I5252" i="1"/>
  <c r="G5252" i="1"/>
  <c r="J5251" i="1"/>
  <c r="I5251" i="1"/>
  <c r="G5251" i="1"/>
  <c r="I5250" i="1"/>
  <c r="J5250" i="1" s="1"/>
  <c r="G5250" i="1"/>
  <c r="I5249" i="1"/>
  <c r="J5249" i="1" s="1"/>
  <c r="G5249" i="1"/>
  <c r="J5248" i="1"/>
  <c r="I5248" i="1"/>
  <c r="G5248" i="1"/>
  <c r="J5247" i="1"/>
  <c r="I5247" i="1"/>
  <c r="G5247" i="1"/>
  <c r="I5246" i="1"/>
  <c r="J5246" i="1" s="1"/>
  <c r="G5246" i="1"/>
  <c r="I5245" i="1"/>
  <c r="J5245" i="1" s="1"/>
  <c r="G5245" i="1"/>
  <c r="H5244" i="1"/>
  <c r="I5244" i="1" s="1"/>
  <c r="J5244" i="1" s="1"/>
  <c r="G5244" i="1"/>
  <c r="I5243" i="1"/>
  <c r="J5243" i="1" s="1"/>
  <c r="G5243" i="1"/>
  <c r="J5242" i="1"/>
  <c r="I5242" i="1"/>
  <c r="G5242" i="1"/>
  <c r="I5241" i="1"/>
  <c r="J5241" i="1" s="1"/>
  <c r="G5241" i="1"/>
  <c r="I5240" i="1"/>
  <c r="J5240" i="1" s="1"/>
  <c r="G5240" i="1"/>
  <c r="I5239" i="1"/>
  <c r="J5239" i="1" s="1"/>
  <c r="H5239" i="1"/>
  <c r="G5239" i="1"/>
  <c r="J5238" i="1"/>
  <c r="I5238" i="1"/>
  <c r="G5238" i="1"/>
  <c r="I5237" i="1"/>
  <c r="J5237" i="1" s="1"/>
  <c r="G5237" i="1"/>
  <c r="J5236" i="1"/>
  <c r="I5236" i="1"/>
  <c r="H5236" i="1"/>
  <c r="G5236" i="1"/>
  <c r="I5235" i="1"/>
  <c r="J5235" i="1" s="1"/>
  <c r="G5235" i="1"/>
  <c r="I5234" i="1"/>
  <c r="J5234" i="1" s="1"/>
  <c r="G5234" i="1"/>
  <c r="J5233" i="1"/>
  <c r="I5233" i="1"/>
  <c r="G5233" i="1"/>
  <c r="J5232" i="1"/>
  <c r="I5232" i="1"/>
  <c r="G5232" i="1"/>
  <c r="I5231" i="1"/>
  <c r="J5231" i="1" s="1"/>
  <c r="G5231" i="1"/>
  <c r="I5230" i="1"/>
  <c r="J5230" i="1" s="1"/>
  <c r="G5230" i="1"/>
  <c r="J5229" i="1"/>
  <c r="I5229" i="1"/>
  <c r="G5229" i="1"/>
  <c r="J5228" i="1"/>
  <c r="I5228" i="1"/>
  <c r="G5228" i="1"/>
  <c r="I5227" i="1"/>
  <c r="J5227" i="1" s="1"/>
  <c r="H5227" i="1"/>
  <c r="G5227" i="1"/>
  <c r="I5226" i="1"/>
  <c r="J5226" i="1" s="1"/>
  <c r="G5226" i="1"/>
  <c r="I5225" i="1"/>
  <c r="J5225" i="1" s="1"/>
  <c r="G5225" i="1"/>
  <c r="I5224" i="1"/>
  <c r="J5224" i="1" s="1"/>
  <c r="H5224" i="1"/>
  <c r="G5224" i="1"/>
  <c r="J5223" i="1"/>
  <c r="I5223" i="1"/>
  <c r="G5223" i="1"/>
  <c r="I5222" i="1"/>
  <c r="J5222" i="1" s="1"/>
  <c r="G5222" i="1"/>
  <c r="I5221" i="1"/>
  <c r="J5221" i="1" s="1"/>
  <c r="G5221" i="1"/>
  <c r="J5220" i="1"/>
  <c r="I5220" i="1"/>
  <c r="G5220" i="1"/>
  <c r="J5219" i="1"/>
  <c r="I5219" i="1"/>
  <c r="G5219" i="1"/>
  <c r="I5218" i="1"/>
  <c r="J5218" i="1" s="1"/>
  <c r="G5218" i="1"/>
  <c r="I5217" i="1"/>
  <c r="J5217" i="1" s="1"/>
  <c r="G5217" i="1"/>
  <c r="J5216" i="1"/>
  <c r="I5216" i="1"/>
  <c r="G5216" i="1"/>
  <c r="J5215" i="1"/>
  <c r="I5215" i="1"/>
  <c r="G5215" i="1"/>
  <c r="I5214" i="1"/>
  <c r="J5214" i="1" s="1"/>
  <c r="G5214" i="1"/>
  <c r="I5213" i="1"/>
  <c r="J5213" i="1" s="1"/>
  <c r="G5213" i="1"/>
  <c r="J5212" i="1"/>
  <c r="I5212" i="1"/>
  <c r="G5212" i="1"/>
  <c r="H5211" i="1"/>
  <c r="I5211" i="1" s="1"/>
  <c r="J5211" i="1" s="1"/>
  <c r="G5211" i="1"/>
  <c r="J5210" i="1"/>
  <c r="I5210" i="1"/>
  <c r="G5210" i="1"/>
  <c r="J5209" i="1"/>
  <c r="I5209" i="1"/>
  <c r="G5209" i="1"/>
  <c r="I5208" i="1"/>
  <c r="J5208" i="1" s="1"/>
  <c r="G5208" i="1"/>
  <c r="I5207" i="1"/>
  <c r="J5207" i="1" s="1"/>
  <c r="G5207" i="1"/>
  <c r="J5206" i="1"/>
  <c r="I5206" i="1"/>
  <c r="G5206" i="1"/>
  <c r="J5205" i="1"/>
  <c r="I5205" i="1"/>
  <c r="G5205" i="1"/>
  <c r="I5204" i="1"/>
  <c r="J5204" i="1" s="1"/>
  <c r="G5204" i="1"/>
  <c r="I5203" i="1"/>
  <c r="J5203" i="1" s="1"/>
  <c r="G5203" i="1"/>
  <c r="J5202" i="1"/>
  <c r="I5202" i="1"/>
  <c r="G5202" i="1"/>
  <c r="J5201" i="1"/>
  <c r="I5201" i="1"/>
  <c r="G5201" i="1"/>
  <c r="I5200" i="1"/>
  <c r="J5200" i="1" s="1"/>
  <c r="G5200" i="1"/>
  <c r="I5199" i="1"/>
  <c r="J5199" i="1" s="1"/>
  <c r="G5199" i="1"/>
  <c r="J5198" i="1"/>
  <c r="I5198" i="1"/>
  <c r="G5198" i="1"/>
  <c r="J5197" i="1"/>
  <c r="I5197" i="1"/>
  <c r="G5197" i="1"/>
  <c r="I5196" i="1"/>
  <c r="J5196" i="1" s="1"/>
  <c r="G5196" i="1"/>
  <c r="I5195" i="1"/>
  <c r="J5195" i="1" s="1"/>
  <c r="G5195" i="1"/>
  <c r="J5194" i="1"/>
  <c r="I5194" i="1"/>
  <c r="G5194" i="1"/>
  <c r="J5193" i="1"/>
  <c r="H5193" i="1"/>
  <c r="I5193" i="1" s="1"/>
  <c r="G5193" i="1"/>
  <c r="J5192" i="1"/>
  <c r="I5192" i="1"/>
  <c r="G5192" i="1"/>
  <c r="I5191" i="1"/>
  <c r="J5191" i="1" s="1"/>
  <c r="G5191" i="1"/>
  <c r="I5190" i="1"/>
  <c r="J5190" i="1" s="1"/>
  <c r="G5190" i="1"/>
  <c r="I5189" i="1"/>
  <c r="J5189" i="1" s="1"/>
  <c r="G5189" i="1"/>
  <c r="J5188" i="1"/>
  <c r="I5188" i="1"/>
  <c r="G5188" i="1"/>
  <c r="I5187" i="1"/>
  <c r="J5187" i="1" s="1"/>
  <c r="G5187" i="1"/>
  <c r="I5186" i="1"/>
  <c r="J5186" i="1" s="1"/>
  <c r="G5186" i="1"/>
  <c r="I5185" i="1"/>
  <c r="J5185" i="1" s="1"/>
  <c r="G5185" i="1"/>
  <c r="J5184" i="1"/>
  <c r="I5184" i="1"/>
  <c r="G5184" i="1"/>
  <c r="I5183" i="1"/>
  <c r="J5183" i="1" s="1"/>
  <c r="G5183" i="1"/>
  <c r="I5182" i="1"/>
  <c r="J5182" i="1" s="1"/>
  <c r="G5182" i="1"/>
  <c r="I5181" i="1"/>
  <c r="J5181" i="1" s="1"/>
  <c r="H5181" i="1"/>
  <c r="G5181" i="1"/>
  <c r="H5180" i="1"/>
  <c r="I5180" i="1" s="1"/>
  <c r="J5180" i="1" s="1"/>
  <c r="G5180" i="1"/>
  <c r="J5179" i="1"/>
  <c r="I5179" i="1"/>
  <c r="G5179" i="1"/>
  <c r="J5178" i="1"/>
  <c r="I5178" i="1"/>
  <c r="G5178" i="1"/>
  <c r="I5177" i="1"/>
  <c r="J5177" i="1" s="1"/>
  <c r="G5177" i="1"/>
  <c r="I5176" i="1"/>
  <c r="J5176" i="1" s="1"/>
  <c r="G5176" i="1"/>
  <c r="J5175" i="1"/>
  <c r="I5175" i="1"/>
  <c r="G5175" i="1"/>
  <c r="J5174" i="1"/>
  <c r="I5174" i="1"/>
  <c r="G5174" i="1"/>
  <c r="I5173" i="1"/>
  <c r="J5173" i="1" s="1"/>
  <c r="G5173" i="1"/>
  <c r="I5172" i="1"/>
  <c r="J5172" i="1" s="1"/>
  <c r="G5172" i="1"/>
  <c r="J5171" i="1"/>
  <c r="I5171" i="1"/>
  <c r="G5171" i="1"/>
  <c r="J5170" i="1"/>
  <c r="I5170" i="1"/>
  <c r="G5170" i="1"/>
  <c r="I5169" i="1"/>
  <c r="J5169" i="1" s="1"/>
  <c r="G5169" i="1"/>
  <c r="I5168" i="1"/>
  <c r="J5168" i="1" s="1"/>
  <c r="G5168" i="1"/>
  <c r="J5167" i="1"/>
  <c r="I5167" i="1"/>
  <c r="G5167" i="1"/>
  <c r="H5166" i="1"/>
  <c r="I5166" i="1" s="1"/>
  <c r="J5166" i="1" s="1"/>
  <c r="G5166" i="1"/>
  <c r="J5165" i="1"/>
  <c r="I5165" i="1"/>
  <c r="G5165" i="1"/>
  <c r="H5164" i="1"/>
  <c r="I5164" i="1" s="1"/>
  <c r="J5164" i="1" s="1"/>
  <c r="G5164" i="1"/>
  <c r="I5163" i="1"/>
  <c r="J5163" i="1" s="1"/>
  <c r="H5163" i="1"/>
  <c r="G5163" i="1"/>
  <c r="I5162" i="1"/>
  <c r="J5162" i="1" s="1"/>
  <c r="H5162" i="1"/>
  <c r="G5162" i="1"/>
  <c r="I5161" i="1"/>
  <c r="J5161" i="1" s="1"/>
  <c r="G5161" i="1"/>
  <c r="I5160" i="1"/>
  <c r="J5160" i="1" s="1"/>
  <c r="G5160" i="1"/>
  <c r="I5159" i="1"/>
  <c r="J5159" i="1" s="1"/>
  <c r="G5159" i="1"/>
  <c r="J5158" i="1"/>
  <c r="I5158" i="1"/>
  <c r="G5158" i="1"/>
  <c r="I5157" i="1"/>
  <c r="J5157" i="1" s="1"/>
  <c r="G5157" i="1"/>
  <c r="I5156" i="1"/>
  <c r="J5156" i="1" s="1"/>
  <c r="G5156" i="1"/>
  <c r="I5155" i="1"/>
  <c r="J5155" i="1" s="1"/>
  <c r="G5155" i="1"/>
  <c r="J5154" i="1"/>
  <c r="I5154" i="1"/>
  <c r="G5154" i="1"/>
  <c r="I5153" i="1"/>
  <c r="J5153" i="1" s="1"/>
  <c r="G5153" i="1"/>
  <c r="I5152" i="1"/>
  <c r="J5152" i="1" s="1"/>
  <c r="G5152" i="1"/>
  <c r="I5151" i="1"/>
  <c r="J5151" i="1" s="1"/>
  <c r="G5151" i="1"/>
  <c r="J5150" i="1"/>
  <c r="I5150" i="1"/>
  <c r="G5150" i="1"/>
  <c r="I5149" i="1"/>
  <c r="J5149" i="1" s="1"/>
  <c r="G5149" i="1"/>
  <c r="I5148" i="1"/>
  <c r="J5148" i="1" s="1"/>
  <c r="G5148" i="1"/>
  <c r="I5147" i="1"/>
  <c r="J5147" i="1" s="1"/>
  <c r="G5147" i="1"/>
  <c r="J5146" i="1"/>
  <c r="I5146" i="1"/>
  <c r="G5146" i="1"/>
  <c r="I5145" i="1"/>
  <c r="J5145" i="1" s="1"/>
  <c r="G5145" i="1"/>
  <c r="H5144" i="1"/>
  <c r="I5144" i="1" s="1"/>
  <c r="J5144" i="1" s="1"/>
  <c r="G5144" i="1"/>
  <c r="J5143" i="1"/>
  <c r="I5143" i="1"/>
  <c r="G5143" i="1"/>
  <c r="J5142" i="1"/>
  <c r="I5142" i="1"/>
  <c r="G5142" i="1"/>
  <c r="I5141" i="1"/>
  <c r="J5141" i="1" s="1"/>
  <c r="G5141" i="1"/>
  <c r="I5140" i="1"/>
  <c r="J5140" i="1" s="1"/>
  <c r="G5140" i="1"/>
  <c r="J5139" i="1"/>
  <c r="I5139" i="1"/>
  <c r="G5139" i="1"/>
  <c r="J5138" i="1"/>
  <c r="I5138" i="1"/>
  <c r="G5138" i="1"/>
  <c r="I5137" i="1"/>
  <c r="J5137" i="1" s="1"/>
  <c r="G5137" i="1"/>
  <c r="I5136" i="1"/>
  <c r="J5136" i="1" s="1"/>
  <c r="G5136" i="1"/>
  <c r="J5135" i="1"/>
  <c r="I5135" i="1"/>
  <c r="G5135" i="1"/>
  <c r="J5134" i="1"/>
  <c r="I5134" i="1"/>
  <c r="G5134" i="1"/>
  <c r="I5133" i="1"/>
  <c r="J5133" i="1" s="1"/>
  <c r="G5133" i="1"/>
  <c r="J5132" i="1"/>
  <c r="I5132" i="1"/>
  <c r="G5132" i="1"/>
  <c r="J5131" i="1"/>
  <c r="I5131" i="1"/>
  <c r="G5131" i="1"/>
  <c r="J5130" i="1"/>
  <c r="I5130" i="1"/>
  <c r="G5130" i="1"/>
  <c r="I5129" i="1"/>
  <c r="J5129" i="1" s="1"/>
  <c r="G5129" i="1"/>
  <c r="I5128" i="1"/>
  <c r="J5128" i="1" s="1"/>
  <c r="G5128" i="1"/>
  <c r="H5127" i="1"/>
  <c r="I5127" i="1" s="1"/>
  <c r="J5127" i="1" s="1"/>
  <c r="G5127" i="1"/>
  <c r="H5126" i="1"/>
  <c r="I5126" i="1" s="1"/>
  <c r="J5126" i="1" s="1"/>
  <c r="G5126" i="1"/>
  <c r="I5125" i="1"/>
  <c r="J5125" i="1" s="1"/>
  <c r="H5125" i="1"/>
  <c r="G5125" i="1"/>
  <c r="H5124" i="1"/>
  <c r="I5124" i="1" s="1"/>
  <c r="J5124" i="1" s="1"/>
  <c r="G5124" i="1"/>
  <c r="H5123" i="1"/>
  <c r="I5123" i="1" s="1"/>
  <c r="J5123" i="1" s="1"/>
  <c r="G5123" i="1"/>
  <c r="I5122" i="1"/>
  <c r="J5122" i="1" s="1"/>
  <c r="G5122" i="1"/>
  <c r="I5121" i="1"/>
  <c r="J5121" i="1" s="1"/>
  <c r="G5121" i="1"/>
  <c r="J5120" i="1"/>
  <c r="I5120" i="1"/>
  <c r="G5120" i="1"/>
  <c r="I5119" i="1"/>
  <c r="J5119" i="1" s="1"/>
  <c r="G5119" i="1"/>
  <c r="I5118" i="1"/>
  <c r="J5118" i="1" s="1"/>
  <c r="G5118" i="1"/>
  <c r="I5117" i="1"/>
  <c r="J5117" i="1" s="1"/>
  <c r="G5117" i="1"/>
  <c r="J5116" i="1"/>
  <c r="I5116" i="1"/>
  <c r="G5116" i="1"/>
  <c r="I5115" i="1"/>
  <c r="J5115" i="1" s="1"/>
  <c r="G5115" i="1"/>
  <c r="I5114" i="1"/>
  <c r="J5114" i="1" s="1"/>
  <c r="G5114" i="1"/>
  <c r="I5113" i="1"/>
  <c r="J5113" i="1" s="1"/>
  <c r="G5113" i="1"/>
  <c r="J5112" i="1"/>
  <c r="I5112" i="1"/>
  <c r="G5112" i="1"/>
  <c r="I5111" i="1"/>
  <c r="J5111" i="1" s="1"/>
  <c r="G5111" i="1"/>
  <c r="I5110" i="1"/>
  <c r="J5110" i="1" s="1"/>
  <c r="G5110" i="1"/>
  <c r="I5109" i="1"/>
  <c r="J5109" i="1" s="1"/>
  <c r="G5109" i="1"/>
  <c r="J5108" i="1"/>
  <c r="I5108" i="1"/>
  <c r="G5108" i="1"/>
  <c r="I5107" i="1"/>
  <c r="J5107" i="1" s="1"/>
  <c r="G5107" i="1"/>
  <c r="I5106" i="1"/>
  <c r="J5106" i="1" s="1"/>
  <c r="G5106" i="1"/>
  <c r="I5105" i="1"/>
  <c r="J5105" i="1" s="1"/>
  <c r="H5105" i="1"/>
  <c r="G5105" i="1"/>
  <c r="J5104" i="1"/>
  <c r="I5104" i="1"/>
  <c r="G5104" i="1"/>
  <c r="I5103" i="1"/>
  <c r="J5103" i="1" s="1"/>
  <c r="G5103" i="1"/>
  <c r="I5102" i="1"/>
  <c r="J5102" i="1" s="1"/>
  <c r="G5102" i="1"/>
  <c r="J5101" i="1"/>
  <c r="H5101" i="1"/>
  <c r="I5101" i="1" s="1"/>
  <c r="G5101" i="1"/>
  <c r="H5100" i="1"/>
  <c r="I5100" i="1" s="1"/>
  <c r="J5100" i="1" s="1"/>
  <c r="G5100" i="1"/>
  <c r="I5099" i="1"/>
  <c r="J5099" i="1" s="1"/>
  <c r="G5099" i="1"/>
  <c r="I5098" i="1"/>
  <c r="J5098" i="1" s="1"/>
  <c r="G5098" i="1"/>
  <c r="J5097" i="1"/>
  <c r="I5097" i="1"/>
  <c r="G5097" i="1"/>
  <c r="H5096" i="1"/>
  <c r="I5096" i="1" s="1"/>
  <c r="J5096" i="1" s="1"/>
  <c r="G5096" i="1"/>
  <c r="I5095" i="1"/>
  <c r="J5095" i="1" s="1"/>
  <c r="G5095" i="1"/>
  <c r="J5094" i="1"/>
  <c r="I5094" i="1"/>
  <c r="G5094" i="1"/>
  <c r="J5093" i="1"/>
  <c r="I5093" i="1"/>
  <c r="G5093" i="1"/>
  <c r="I5092" i="1"/>
  <c r="J5092" i="1" s="1"/>
  <c r="G5092" i="1"/>
  <c r="I5091" i="1"/>
  <c r="J5091" i="1" s="1"/>
  <c r="G5091" i="1"/>
  <c r="J5090" i="1"/>
  <c r="I5090" i="1"/>
  <c r="G5090" i="1"/>
  <c r="J5089" i="1"/>
  <c r="I5089" i="1"/>
  <c r="G5089" i="1"/>
  <c r="I5088" i="1"/>
  <c r="J5088" i="1" s="1"/>
  <c r="G5088" i="1"/>
  <c r="J5087" i="1"/>
  <c r="I5087" i="1"/>
  <c r="G5087" i="1"/>
  <c r="J5086" i="1"/>
  <c r="I5086" i="1"/>
  <c r="G5086" i="1"/>
  <c r="J5085" i="1"/>
  <c r="I5085" i="1"/>
  <c r="G5085" i="1"/>
  <c r="I5084" i="1"/>
  <c r="J5084" i="1" s="1"/>
  <c r="G5084" i="1"/>
  <c r="I5083" i="1"/>
  <c r="J5083" i="1" s="1"/>
  <c r="G5083" i="1"/>
  <c r="J5082" i="1"/>
  <c r="I5082" i="1"/>
  <c r="G5082" i="1"/>
  <c r="J5081" i="1"/>
  <c r="I5081" i="1"/>
  <c r="G5081" i="1"/>
  <c r="I5080" i="1"/>
  <c r="J5080" i="1" s="1"/>
  <c r="G5080" i="1"/>
  <c r="I5079" i="1"/>
  <c r="J5079" i="1" s="1"/>
  <c r="H5079" i="1"/>
  <c r="G5079" i="1"/>
  <c r="I5078" i="1"/>
  <c r="J5078" i="1" s="1"/>
  <c r="H5078" i="1"/>
  <c r="G5078" i="1"/>
  <c r="I5077" i="1"/>
  <c r="J5077" i="1" s="1"/>
  <c r="G5077" i="1"/>
  <c r="I5076" i="1"/>
  <c r="J5076" i="1" s="1"/>
  <c r="G5076" i="1"/>
  <c r="I5075" i="1"/>
  <c r="J5075" i="1" s="1"/>
  <c r="H5075" i="1"/>
  <c r="G5075" i="1"/>
  <c r="J5074" i="1"/>
  <c r="I5074" i="1"/>
  <c r="G5074" i="1"/>
  <c r="J5073" i="1"/>
  <c r="I5073" i="1"/>
  <c r="G5073" i="1"/>
  <c r="I5072" i="1"/>
  <c r="J5072" i="1" s="1"/>
  <c r="G5072" i="1"/>
  <c r="J5071" i="1"/>
  <c r="I5071" i="1"/>
  <c r="G5071" i="1"/>
  <c r="H5070" i="1"/>
  <c r="I5070" i="1" s="1"/>
  <c r="J5070" i="1" s="1"/>
  <c r="G5070" i="1"/>
  <c r="H5069" i="1"/>
  <c r="I5069" i="1" s="1"/>
  <c r="J5069" i="1" s="1"/>
  <c r="G5069" i="1"/>
  <c r="I5068" i="1"/>
  <c r="J5068" i="1" s="1"/>
  <c r="H5068" i="1"/>
  <c r="G5068" i="1"/>
  <c r="J5067" i="1"/>
  <c r="I5067" i="1"/>
  <c r="G5067" i="1"/>
  <c r="J5066" i="1"/>
  <c r="I5066" i="1"/>
  <c r="G5066" i="1"/>
  <c r="I5065" i="1"/>
  <c r="J5065" i="1" s="1"/>
  <c r="G5065" i="1"/>
  <c r="H5064" i="1"/>
  <c r="I5064" i="1" s="1"/>
  <c r="J5064" i="1" s="1"/>
  <c r="G5064" i="1"/>
  <c r="H5063" i="1"/>
  <c r="I5063" i="1" s="1"/>
  <c r="J5063" i="1" s="1"/>
  <c r="G5063" i="1"/>
  <c r="I5062" i="1"/>
  <c r="J5062" i="1" s="1"/>
  <c r="G5062" i="1"/>
  <c r="I5061" i="1"/>
  <c r="J5061" i="1" s="1"/>
  <c r="G5061" i="1"/>
  <c r="I5060" i="1"/>
  <c r="J5060" i="1" s="1"/>
  <c r="G5060" i="1"/>
  <c r="I5059" i="1"/>
  <c r="J5059" i="1" s="1"/>
  <c r="G5059" i="1"/>
  <c r="I5058" i="1"/>
  <c r="J5058" i="1" s="1"/>
  <c r="H5058" i="1"/>
  <c r="G5058" i="1"/>
  <c r="J5057" i="1"/>
  <c r="I5057" i="1"/>
  <c r="G5057" i="1"/>
  <c r="J5056" i="1"/>
  <c r="I5056" i="1"/>
  <c r="G5056" i="1"/>
  <c r="I5055" i="1"/>
  <c r="J5055" i="1" s="1"/>
  <c r="H5055" i="1"/>
  <c r="G5055" i="1"/>
  <c r="J5054" i="1"/>
  <c r="I5054" i="1"/>
  <c r="G5054" i="1"/>
  <c r="I5053" i="1"/>
  <c r="J5053" i="1" s="1"/>
  <c r="G5053" i="1"/>
  <c r="I5052" i="1"/>
  <c r="J5052" i="1" s="1"/>
  <c r="G5052" i="1"/>
  <c r="J5051" i="1"/>
  <c r="I5051" i="1"/>
  <c r="G5051" i="1"/>
  <c r="J5050" i="1"/>
  <c r="I5050" i="1"/>
  <c r="G5050" i="1"/>
  <c r="I5049" i="1"/>
  <c r="J5049" i="1" s="1"/>
  <c r="G5049" i="1"/>
  <c r="I5048" i="1"/>
  <c r="J5048" i="1" s="1"/>
  <c r="G5048" i="1"/>
  <c r="J5047" i="1"/>
  <c r="I5047" i="1"/>
  <c r="G5047" i="1"/>
  <c r="H5046" i="1"/>
  <c r="I5046" i="1" s="1"/>
  <c r="J5046" i="1" s="1"/>
  <c r="G5046" i="1"/>
  <c r="J5045" i="1"/>
  <c r="I5045" i="1"/>
  <c r="G5045" i="1"/>
  <c r="I5044" i="1"/>
  <c r="J5044" i="1" s="1"/>
  <c r="G5044" i="1"/>
  <c r="I5043" i="1"/>
  <c r="J5043" i="1" s="1"/>
  <c r="G5043" i="1"/>
  <c r="I5042" i="1"/>
  <c r="J5042" i="1" s="1"/>
  <c r="G5042" i="1"/>
  <c r="I5041" i="1"/>
  <c r="J5041" i="1" s="1"/>
  <c r="G5041" i="1"/>
  <c r="J5040" i="1"/>
  <c r="I5040" i="1"/>
  <c r="G5040" i="1"/>
  <c r="I5039" i="1"/>
  <c r="J5039" i="1" s="1"/>
  <c r="G5039" i="1"/>
  <c r="I5038" i="1"/>
  <c r="J5038" i="1" s="1"/>
  <c r="G5038" i="1"/>
  <c r="I5037" i="1"/>
  <c r="J5037" i="1" s="1"/>
  <c r="G5037" i="1"/>
  <c r="I5036" i="1"/>
  <c r="J5036" i="1" s="1"/>
  <c r="G5036" i="1"/>
  <c r="I5035" i="1"/>
  <c r="J5035" i="1" s="1"/>
  <c r="G5035" i="1"/>
  <c r="I5034" i="1"/>
  <c r="J5034" i="1" s="1"/>
  <c r="G5034" i="1"/>
  <c r="J5033" i="1"/>
  <c r="I5033" i="1"/>
  <c r="G5033" i="1"/>
  <c r="I5032" i="1"/>
  <c r="J5032" i="1" s="1"/>
  <c r="G5032" i="1"/>
  <c r="I5031" i="1"/>
  <c r="J5031" i="1" s="1"/>
  <c r="G5031" i="1"/>
  <c r="I5030" i="1"/>
  <c r="J5030" i="1" s="1"/>
  <c r="H5030" i="1"/>
  <c r="G5030" i="1"/>
  <c r="H5029" i="1"/>
  <c r="I5029" i="1" s="1"/>
  <c r="J5029" i="1" s="1"/>
  <c r="G5029" i="1"/>
  <c r="J5028" i="1"/>
  <c r="I5028" i="1"/>
  <c r="G5028" i="1"/>
  <c r="J5027" i="1"/>
  <c r="I5027" i="1"/>
  <c r="G5027" i="1"/>
  <c r="I5026" i="1"/>
  <c r="J5026" i="1" s="1"/>
  <c r="G5026" i="1"/>
  <c r="I5025" i="1"/>
  <c r="J5025" i="1" s="1"/>
  <c r="G5025" i="1"/>
  <c r="J5024" i="1"/>
  <c r="I5024" i="1"/>
  <c r="G5024" i="1"/>
  <c r="J5023" i="1"/>
  <c r="I5023" i="1"/>
  <c r="G5023" i="1"/>
  <c r="I5022" i="1"/>
  <c r="J5022" i="1" s="1"/>
  <c r="G5022" i="1"/>
  <c r="I5021" i="1"/>
  <c r="J5021" i="1" s="1"/>
  <c r="G5021" i="1"/>
  <c r="J5020" i="1"/>
  <c r="I5020" i="1"/>
  <c r="G5020" i="1"/>
  <c r="J5019" i="1"/>
  <c r="I5019" i="1"/>
  <c r="G5019" i="1"/>
  <c r="I5018" i="1"/>
  <c r="J5018" i="1" s="1"/>
  <c r="G5018" i="1"/>
  <c r="I5017" i="1"/>
  <c r="J5017" i="1" s="1"/>
  <c r="G5017" i="1"/>
  <c r="J5016" i="1"/>
  <c r="I5016" i="1"/>
  <c r="G5016" i="1"/>
  <c r="J5015" i="1"/>
  <c r="I5015" i="1"/>
  <c r="G5015" i="1"/>
  <c r="I5014" i="1"/>
  <c r="J5014" i="1" s="1"/>
  <c r="G5014" i="1"/>
  <c r="I5013" i="1"/>
  <c r="J5013" i="1" s="1"/>
  <c r="G5013" i="1"/>
  <c r="J5012" i="1"/>
  <c r="H5012" i="1"/>
  <c r="I5012" i="1" s="1"/>
  <c r="G5012" i="1"/>
  <c r="I5011" i="1"/>
  <c r="J5011" i="1" s="1"/>
  <c r="H5011" i="1"/>
  <c r="G5011" i="1"/>
  <c r="J5010" i="1"/>
  <c r="H5010" i="1"/>
  <c r="I5010" i="1" s="1"/>
  <c r="G5010" i="1"/>
  <c r="H5009" i="1"/>
  <c r="I5009" i="1" s="1"/>
  <c r="J5009" i="1" s="1"/>
  <c r="G5009" i="1"/>
  <c r="I5008" i="1"/>
  <c r="J5008" i="1" s="1"/>
  <c r="H5008" i="1"/>
  <c r="G5008" i="1"/>
  <c r="J5007" i="1"/>
  <c r="I5007" i="1"/>
  <c r="G5007" i="1"/>
  <c r="J5006" i="1"/>
  <c r="I5006" i="1"/>
  <c r="G5006" i="1"/>
  <c r="I5005" i="1"/>
  <c r="J5005" i="1" s="1"/>
  <c r="G5005" i="1"/>
  <c r="J5004" i="1"/>
  <c r="I5004" i="1"/>
  <c r="G5004" i="1"/>
  <c r="J5003" i="1"/>
  <c r="I5003" i="1"/>
  <c r="G5003" i="1"/>
  <c r="J5002" i="1"/>
  <c r="I5002" i="1"/>
  <c r="G5002" i="1"/>
  <c r="I5001" i="1"/>
  <c r="J5001" i="1" s="1"/>
  <c r="G5001" i="1"/>
  <c r="J5000" i="1"/>
  <c r="I5000" i="1"/>
  <c r="G5000" i="1"/>
  <c r="J4999" i="1"/>
  <c r="I4999" i="1"/>
  <c r="G4999" i="1"/>
  <c r="J4998" i="1"/>
  <c r="I4998" i="1"/>
  <c r="G4998" i="1"/>
  <c r="I4997" i="1"/>
  <c r="J4997" i="1" s="1"/>
  <c r="H4997" i="1"/>
  <c r="G4997" i="1"/>
  <c r="I4996" i="1"/>
  <c r="J4996" i="1" s="1"/>
  <c r="G4996" i="1"/>
  <c r="I4995" i="1"/>
  <c r="J4995" i="1" s="1"/>
  <c r="G4995" i="1"/>
  <c r="J4994" i="1"/>
  <c r="I4994" i="1"/>
  <c r="G4994" i="1"/>
  <c r="J4993" i="1"/>
  <c r="I4993" i="1"/>
  <c r="G4993" i="1"/>
  <c r="J4992" i="1"/>
  <c r="I4992" i="1"/>
  <c r="G4992" i="1"/>
  <c r="I4991" i="1"/>
  <c r="J4991" i="1" s="1"/>
  <c r="G4991" i="1"/>
  <c r="J4990" i="1"/>
  <c r="I4990" i="1"/>
  <c r="G4990" i="1"/>
  <c r="H4989" i="1"/>
  <c r="I4989" i="1" s="1"/>
  <c r="J4989" i="1" s="1"/>
  <c r="G4989" i="1"/>
  <c r="J4988" i="1"/>
  <c r="I4988" i="1"/>
  <c r="G4988" i="1"/>
  <c r="I4987" i="1"/>
  <c r="J4987" i="1" s="1"/>
  <c r="H4987" i="1"/>
  <c r="G4987" i="1"/>
  <c r="J4986" i="1"/>
  <c r="I4986" i="1"/>
  <c r="H4986" i="1"/>
  <c r="G4986" i="1"/>
  <c r="I4985" i="1"/>
  <c r="J4985" i="1" s="1"/>
  <c r="H4985" i="1"/>
  <c r="G4985" i="1"/>
  <c r="I4984" i="1"/>
  <c r="J4984" i="1" s="1"/>
  <c r="H4984" i="1"/>
  <c r="G4984" i="1"/>
  <c r="J4983" i="1"/>
  <c r="I4983" i="1"/>
  <c r="H4983" i="1"/>
  <c r="G4983" i="1"/>
  <c r="I4982" i="1"/>
  <c r="J4982" i="1" s="1"/>
  <c r="H4982" i="1"/>
  <c r="G4982" i="1"/>
  <c r="J4981" i="1"/>
  <c r="I4981" i="1"/>
  <c r="H4981" i="1"/>
  <c r="G4981" i="1"/>
  <c r="J4980" i="1"/>
  <c r="I4980" i="1"/>
  <c r="G4980" i="1"/>
  <c r="I4979" i="1"/>
  <c r="J4979" i="1" s="1"/>
  <c r="G4979" i="1"/>
  <c r="J4978" i="1"/>
  <c r="I4978" i="1"/>
  <c r="G4978" i="1"/>
  <c r="J4977" i="1"/>
  <c r="H4977" i="1"/>
  <c r="I4977" i="1" s="1"/>
  <c r="G4977" i="1"/>
  <c r="H4976" i="1"/>
  <c r="I4976" i="1" s="1"/>
  <c r="J4976" i="1" s="1"/>
  <c r="G4976" i="1"/>
  <c r="I4975" i="1"/>
  <c r="J4975" i="1" s="1"/>
  <c r="H4975" i="1"/>
  <c r="G4975" i="1"/>
  <c r="J4974" i="1"/>
  <c r="I4974" i="1"/>
  <c r="H4974" i="1"/>
  <c r="G4974" i="1"/>
  <c r="J4973" i="1"/>
  <c r="H4973" i="1"/>
  <c r="I4973" i="1" s="1"/>
  <c r="G4973" i="1"/>
  <c r="I4972" i="1"/>
  <c r="J4972" i="1" s="1"/>
  <c r="G4972" i="1"/>
  <c r="J4971" i="1"/>
  <c r="I4971" i="1"/>
  <c r="G4971" i="1"/>
  <c r="J4970" i="1"/>
  <c r="I4970" i="1"/>
  <c r="G4970" i="1"/>
  <c r="I4969" i="1"/>
  <c r="J4969" i="1" s="1"/>
  <c r="G4969" i="1"/>
  <c r="I4968" i="1"/>
  <c r="J4968" i="1" s="1"/>
  <c r="G4968" i="1"/>
  <c r="J4967" i="1"/>
  <c r="I4967" i="1"/>
  <c r="G4967" i="1"/>
  <c r="J4966" i="1"/>
  <c r="I4966" i="1"/>
  <c r="G4966" i="1"/>
  <c r="I4965" i="1"/>
  <c r="J4965" i="1" s="1"/>
  <c r="H4965" i="1"/>
  <c r="G4965" i="1"/>
  <c r="H4964" i="1"/>
  <c r="I4964" i="1" s="1"/>
  <c r="J4964" i="1" s="1"/>
  <c r="G4964" i="1"/>
  <c r="J4963" i="1"/>
  <c r="I4963" i="1"/>
  <c r="G4963" i="1"/>
  <c r="J4962" i="1"/>
  <c r="I4962" i="1"/>
  <c r="G4962" i="1"/>
  <c r="J4961" i="1"/>
  <c r="I4961" i="1"/>
  <c r="G4961" i="1"/>
  <c r="I4960" i="1"/>
  <c r="J4960" i="1" s="1"/>
  <c r="G4960" i="1"/>
  <c r="I4959" i="1"/>
  <c r="J4959" i="1" s="1"/>
  <c r="G4959" i="1"/>
  <c r="H4958" i="1"/>
  <c r="I4958" i="1" s="1"/>
  <c r="J4958" i="1" s="1"/>
  <c r="G4958" i="1"/>
  <c r="I4957" i="1"/>
  <c r="J4957" i="1" s="1"/>
  <c r="G4957" i="1"/>
  <c r="I4956" i="1"/>
  <c r="J4956" i="1" s="1"/>
  <c r="G4956" i="1"/>
  <c r="I4955" i="1"/>
  <c r="J4955" i="1" s="1"/>
  <c r="G4955" i="1"/>
  <c r="I4954" i="1"/>
  <c r="J4954" i="1" s="1"/>
  <c r="G4954" i="1"/>
  <c r="J4953" i="1"/>
  <c r="I4953" i="1"/>
  <c r="G4953" i="1"/>
  <c r="J4952" i="1"/>
  <c r="I4952" i="1"/>
  <c r="G4952" i="1"/>
  <c r="I4951" i="1"/>
  <c r="J4951" i="1" s="1"/>
  <c r="G4951" i="1"/>
  <c r="I4950" i="1"/>
  <c r="J4950" i="1" s="1"/>
  <c r="G4950" i="1"/>
  <c r="I4949" i="1"/>
  <c r="J4949" i="1" s="1"/>
  <c r="G4949" i="1"/>
  <c r="J4948" i="1"/>
  <c r="I4948" i="1"/>
  <c r="G4948" i="1"/>
  <c r="I4947" i="1"/>
  <c r="J4947" i="1" s="1"/>
  <c r="G4947" i="1"/>
  <c r="I4946" i="1"/>
  <c r="J4946" i="1" s="1"/>
  <c r="H4946" i="1"/>
  <c r="G4946" i="1"/>
  <c r="J4945" i="1"/>
  <c r="I4945" i="1"/>
  <c r="G4945" i="1"/>
  <c r="J4944" i="1"/>
  <c r="I4944" i="1"/>
  <c r="G4944" i="1"/>
  <c r="I4943" i="1"/>
  <c r="J4943" i="1" s="1"/>
  <c r="G4943" i="1"/>
  <c r="J4942" i="1"/>
  <c r="I4942" i="1"/>
  <c r="G4942" i="1"/>
  <c r="H4941" i="1"/>
  <c r="I4941" i="1" s="1"/>
  <c r="J4941" i="1" s="1"/>
  <c r="G4941" i="1"/>
  <c r="J4940" i="1"/>
  <c r="I4940" i="1"/>
  <c r="H4940" i="1"/>
  <c r="G4940" i="1"/>
  <c r="H4939" i="1"/>
  <c r="I4939" i="1" s="1"/>
  <c r="J4939" i="1" s="1"/>
  <c r="G4939" i="1"/>
  <c r="J4938" i="1"/>
  <c r="H4938" i="1"/>
  <c r="I4938" i="1" s="1"/>
  <c r="G4938" i="1"/>
  <c r="H4937" i="1"/>
  <c r="I4937" i="1" s="1"/>
  <c r="J4937" i="1" s="1"/>
  <c r="G4937" i="1"/>
  <c r="H4936" i="1"/>
  <c r="I4936" i="1" s="1"/>
  <c r="J4936" i="1" s="1"/>
  <c r="G4936" i="1"/>
  <c r="H4935" i="1"/>
  <c r="I4935" i="1" s="1"/>
  <c r="J4935" i="1" s="1"/>
  <c r="G4935" i="1"/>
  <c r="I4934" i="1"/>
  <c r="J4934" i="1" s="1"/>
  <c r="G4934" i="1"/>
  <c r="J4933" i="1"/>
  <c r="I4933" i="1"/>
  <c r="G4933" i="1"/>
  <c r="H4932" i="1"/>
  <c r="I4932" i="1" s="1"/>
  <c r="J4932" i="1" s="1"/>
  <c r="G4932" i="1"/>
  <c r="J4931" i="1"/>
  <c r="I4931" i="1"/>
  <c r="H4931" i="1"/>
  <c r="G4931" i="1"/>
  <c r="J4930" i="1"/>
  <c r="I4930" i="1"/>
  <c r="H4930" i="1"/>
  <c r="G4930" i="1"/>
  <c r="I4929" i="1"/>
  <c r="J4929" i="1" s="1"/>
  <c r="G4929" i="1"/>
  <c r="I4928" i="1"/>
  <c r="J4928" i="1" s="1"/>
  <c r="G4928" i="1"/>
  <c r="J4927" i="1"/>
  <c r="I4927" i="1"/>
  <c r="G4927" i="1"/>
  <c r="J4926" i="1"/>
  <c r="I4926" i="1"/>
  <c r="G4926" i="1"/>
  <c r="J4925" i="1"/>
  <c r="I4925" i="1"/>
  <c r="G4925" i="1"/>
  <c r="I4924" i="1"/>
  <c r="J4924" i="1" s="1"/>
  <c r="G4924" i="1"/>
  <c r="J4923" i="1"/>
  <c r="I4923" i="1"/>
  <c r="H4923" i="1"/>
  <c r="G4923" i="1"/>
  <c r="I4922" i="1"/>
  <c r="J4922" i="1" s="1"/>
  <c r="H4922" i="1"/>
  <c r="G4922" i="1"/>
  <c r="J4921" i="1"/>
  <c r="H4921" i="1"/>
  <c r="I4921" i="1" s="1"/>
  <c r="G4921" i="1"/>
  <c r="H4920" i="1"/>
  <c r="I4920" i="1" s="1"/>
  <c r="J4920" i="1" s="1"/>
  <c r="G4920" i="1"/>
  <c r="H4919" i="1"/>
  <c r="I4919" i="1" s="1"/>
  <c r="J4919" i="1" s="1"/>
  <c r="G4919" i="1"/>
  <c r="J4918" i="1"/>
  <c r="I4918" i="1"/>
  <c r="G4918" i="1"/>
  <c r="I4917" i="1"/>
  <c r="J4917" i="1" s="1"/>
  <c r="G4917" i="1"/>
  <c r="I4916" i="1"/>
  <c r="J4916" i="1" s="1"/>
  <c r="G4916" i="1"/>
  <c r="I4915" i="1"/>
  <c r="J4915" i="1" s="1"/>
  <c r="G4915" i="1"/>
  <c r="J4914" i="1"/>
  <c r="I4914" i="1"/>
  <c r="G4914" i="1"/>
  <c r="I4913" i="1"/>
  <c r="J4913" i="1" s="1"/>
  <c r="G4913" i="1"/>
  <c r="I4912" i="1"/>
  <c r="J4912" i="1" s="1"/>
  <c r="G4912" i="1"/>
  <c r="I4911" i="1"/>
  <c r="J4911" i="1" s="1"/>
  <c r="H4911" i="1"/>
  <c r="G4911" i="1"/>
  <c r="I4910" i="1"/>
  <c r="J4910" i="1" s="1"/>
  <c r="G4910" i="1"/>
  <c r="H4909" i="1"/>
  <c r="I4909" i="1" s="1"/>
  <c r="J4909" i="1" s="1"/>
  <c r="G4909" i="1"/>
  <c r="I4908" i="1"/>
  <c r="J4908" i="1" s="1"/>
  <c r="G4908" i="1"/>
  <c r="I4907" i="1"/>
  <c r="J4907" i="1" s="1"/>
  <c r="G4907" i="1"/>
  <c r="I4906" i="1"/>
  <c r="J4906" i="1" s="1"/>
  <c r="H4906" i="1"/>
  <c r="G4906" i="1"/>
  <c r="I4905" i="1"/>
  <c r="J4905" i="1" s="1"/>
  <c r="G4905" i="1"/>
  <c r="J4904" i="1"/>
  <c r="I4904" i="1"/>
  <c r="G4904" i="1"/>
  <c r="J4903" i="1"/>
  <c r="I4903" i="1"/>
  <c r="G4903" i="1"/>
  <c r="J4902" i="1"/>
  <c r="I4902" i="1"/>
  <c r="G4902" i="1"/>
  <c r="I4901" i="1"/>
  <c r="J4901" i="1" s="1"/>
  <c r="G4901" i="1"/>
  <c r="J4900" i="1"/>
  <c r="I4900" i="1"/>
  <c r="H4900" i="1"/>
  <c r="G4900" i="1"/>
  <c r="I4899" i="1"/>
  <c r="J4899" i="1" s="1"/>
  <c r="G4899" i="1"/>
  <c r="J4898" i="1"/>
  <c r="I4898" i="1"/>
  <c r="H4898" i="1"/>
  <c r="G4898" i="1"/>
  <c r="I4897" i="1"/>
  <c r="J4897" i="1" s="1"/>
  <c r="H4897" i="1"/>
  <c r="G4897" i="1"/>
  <c r="J4896" i="1"/>
  <c r="H4896" i="1"/>
  <c r="I4896" i="1" s="1"/>
  <c r="G4896" i="1"/>
  <c r="H4895" i="1"/>
  <c r="I4895" i="1" s="1"/>
  <c r="J4895" i="1" s="1"/>
  <c r="G4895" i="1"/>
  <c r="H4894" i="1"/>
  <c r="I4894" i="1" s="1"/>
  <c r="J4894" i="1" s="1"/>
  <c r="G4894" i="1"/>
  <c r="H4893" i="1"/>
  <c r="I4893" i="1" s="1"/>
  <c r="J4893" i="1" s="1"/>
  <c r="G4893" i="1"/>
  <c r="I4892" i="1"/>
  <c r="J4892" i="1" s="1"/>
  <c r="H4892" i="1"/>
  <c r="G4892" i="1"/>
  <c r="I4891" i="1"/>
  <c r="J4891" i="1" s="1"/>
  <c r="H4891" i="1"/>
  <c r="G4891" i="1"/>
  <c r="H4890" i="1"/>
  <c r="I4890" i="1" s="1"/>
  <c r="J4890" i="1" s="1"/>
  <c r="G4890" i="1"/>
  <c r="H4889" i="1"/>
  <c r="I4889" i="1" s="1"/>
  <c r="J4889" i="1" s="1"/>
  <c r="G4889" i="1"/>
  <c r="I4888" i="1"/>
  <c r="J4888" i="1" s="1"/>
  <c r="H4888" i="1"/>
  <c r="G4888" i="1"/>
  <c r="H4887" i="1"/>
  <c r="I4887" i="1" s="1"/>
  <c r="J4887" i="1" s="1"/>
  <c r="G4887" i="1"/>
  <c r="H4886" i="1"/>
  <c r="I4886" i="1" s="1"/>
  <c r="J4886" i="1" s="1"/>
  <c r="G4886" i="1"/>
  <c r="I4885" i="1"/>
  <c r="J4885" i="1" s="1"/>
  <c r="H4885" i="1"/>
  <c r="G4885" i="1"/>
  <c r="J4884" i="1"/>
  <c r="I4884" i="1"/>
  <c r="G4884" i="1"/>
  <c r="F4884" i="1"/>
  <c r="I4883" i="1"/>
  <c r="J4883" i="1" s="1"/>
  <c r="H4883" i="1"/>
  <c r="G4883" i="1"/>
  <c r="I4882" i="1"/>
  <c r="J4882" i="1" s="1"/>
  <c r="G4882" i="1"/>
  <c r="I4881" i="1"/>
  <c r="J4881" i="1" s="1"/>
  <c r="G4881" i="1"/>
  <c r="J4880" i="1"/>
  <c r="I4880" i="1"/>
  <c r="G4880" i="1"/>
  <c r="J4879" i="1"/>
  <c r="I4879" i="1"/>
  <c r="G4879" i="1"/>
  <c r="I4878" i="1"/>
  <c r="J4878" i="1" s="1"/>
  <c r="H4878" i="1"/>
  <c r="G4878" i="1"/>
  <c r="J4877" i="1"/>
  <c r="I4877" i="1"/>
  <c r="G4877" i="1"/>
  <c r="H4876" i="1"/>
  <c r="I4876" i="1" s="1"/>
  <c r="J4876" i="1" s="1"/>
  <c r="G4876" i="1"/>
  <c r="H4875" i="1"/>
  <c r="I4875" i="1" s="1"/>
  <c r="J4875" i="1" s="1"/>
  <c r="G4875" i="1"/>
  <c r="I4874" i="1"/>
  <c r="J4874" i="1" s="1"/>
  <c r="H4874" i="1"/>
  <c r="G4874" i="1"/>
  <c r="I4873" i="1"/>
  <c r="J4873" i="1" s="1"/>
  <c r="G4873" i="1"/>
  <c r="J4872" i="1"/>
  <c r="H4872" i="1"/>
  <c r="I4872" i="1" s="1"/>
  <c r="G4872" i="1"/>
  <c r="H4871" i="1"/>
  <c r="I4871" i="1" s="1"/>
  <c r="J4871" i="1" s="1"/>
  <c r="G4871" i="1"/>
  <c r="H4870" i="1"/>
  <c r="I4870" i="1" s="1"/>
  <c r="J4870" i="1" s="1"/>
  <c r="G4870" i="1"/>
  <c r="H4869" i="1"/>
  <c r="I4869" i="1" s="1"/>
  <c r="J4869" i="1" s="1"/>
  <c r="G4869" i="1"/>
  <c r="I4868" i="1"/>
  <c r="J4868" i="1" s="1"/>
  <c r="G4868" i="1"/>
  <c r="I4867" i="1"/>
  <c r="J4867" i="1" s="1"/>
  <c r="G4867" i="1"/>
  <c r="I4866" i="1"/>
  <c r="J4866" i="1" s="1"/>
  <c r="G4866" i="1"/>
  <c r="I4865" i="1"/>
  <c r="J4865" i="1" s="1"/>
  <c r="G4865" i="1"/>
  <c r="H4864" i="1"/>
  <c r="I4864" i="1" s="1"/>
  <c r="J4864" i="1" s="1"/>
  <c r="G4864" i="1"/>
  <c r="H4863" i="1"/>
  <c r="I4863" i="1" s="1"/>
  <c r="J4863" i="1" s="1"/>
  <c r="G4863" i="1"/>
  <c r="J4862" i="1"/>
  <c r="I4862" i="1"/>
  <c r="G4862" i="1"/>
  <c r="J4861" i="1"/>
  <c r="I4861" i="1"/>
  <c r="G4861" i="1"/>
  <c r="J4860" i="1"/>
  <c r="I4860" i="1"/>
  <c r="G4860" i="1"/>
  <c r="H4859" i="1"/>
  <c r="I4859" i="1" s="1"/>
  <c r="J4859" i="1" s="1"/>
  <c r="G4859" i="1"/>
  <c r="I4858" i="1"/>
  <c r="J4858" i="1" s="1"/>
  <c r="G4858" i="1"/>
  <c r="I4857" i="1"/>
  <c r="J4857" i="1" s="1"/>
  <c r="G4857" i="1"/>
  <c r="I4856" i="1"/>
  <c r="J4856" i="1" s="1"/>
  <c r="G4856" i="1"/>
  <c r="H4855" i="1"/>
  <c r="I4855" i="1" s="1"/>
  <c r="J4855" i="1" s="1"/>
  <c r="G4855" i="1"/>
  <c r="I4854" i="1"/>
  <c r="J4854" i="1" s="1"/>
  <c r="G4854" i="1"/>
  <c r="I4853" i="1"/>
  <c r="J4853" i="1" s="1"/>
  <c r="G4853" i="1"/>
  <c r="J4852" i="1"/>
  <c r="I4852" i="1"/>
  <c r="G4852" i="1"/>
  <c r="I4851" i="1"/>
  <c r="J4851" i="1" s="1"/>
  <c r="G4851" i="1"/>
  <c r="I4850" i="1"/>
  <c r="J4850" i="1" s="1"/>
  <c r="G4850" i="1"/>
  <c r="I4849" i="1"/>
  <c r="J4849" i="1" s="1"/>
  <c r="G4849" i="1"/>
  <c r="J4848" i="1"/>
  <c r="I4848" i="1"/>
  <c r="G4848" i="1"/>
  <c r="I4847" i="1"/>
  <c r="J4847" i="1" s="1"/>
  <c r="G4847" i="1"/>
  <c r="I4846" i="1"/>
  <c r="J4846" i="1" s="1"/>
  <c r="G4846" i="1"/>
  <c r="I4845" i="1"/>
  <c r="J4845" i="1" s="1"/>
  <c r="H4845" i="1"/>
  <c r="G4845" i="1"/>
  <c r="I4844" i="1"/>
  <c r="J4844" i="1" s="1"/>
  <c r="G4844" i="1"/>
  <c r="J4843" i="1"/>
  <c r="I4843" i="1"/>
  <c r="G4843" i="1"/>
  <c r="J4842" i="1"/>
  <c r="I4842" i="1"/>
  <c r="G4842" i="1"/>
  <c r="H4841" i="1"/>
  <c r="I4841" i="1" s="1"/>
  <c r="J4841" i="1" s="1"/>
  <c r="G4841" i="1"/>
  <c r="H4840" i="1"/>
  <c r="I4840" i="1" s="1"/>
  <c r="J4840" i="1" s="1"/>
  <c r="G4840" i="1"/>
  <c r="I4839" i="1"/>
  <c r="J4839" i="1" s="1"/>
  <c r="G4839" i="1"/>
  <c r="I4838" i="1"/>
  <c r="J4838" i="1" s="1"/>
  <c r="G4838" i="1"/>
  <c r="J4837" i="1"/>
  <c r="I4837" i="1"/>
  <c r="G4837" i="1"/>
  <c r="J4836" i="1"/>
  <c r="I4836" i="1"/>
  <c r="G4836" i="1"/>
  <c r="I4835" i="1"/>
  <c r="J4835" i="1" s="1"/>
  <c r="H4835" i="1"/>
  <c r="G4835" i="1"/>
  <c r="I4834" i="1"/>
  <c r="J4834" i="1" s="1"/>
  <c r="G4834" i="1"/>
  <c r="I4833" i="1"/>
  <c r="J4833" i="1" s="1"/>
  <c r="G4833" i="1"/>
  <c r="J4832" i="1"/>
  <c r="I4832" i="1"/>
  <c r="G4832" i="1"/>
  <c r="J4831" i="1"/>
  <c r="I4831" i="1"/>
  <c r="G4831" i="1"/>
  <c r="I4830" i="1"/>
  <c r="J4830" i="1" s="1"/>
  <c r="G4830" i="1"/>
  <c r="I4829" i="1"/>
  <c r="J4829" i="1" s="1"/>
  <c r="G4829" i="1"/>
  <c r="J4828" i="1"/>
  <c r="I4828" i="1"/>
  <c r="G4828" i="1"/>
  <c r="J4827" i="1"/>
  <c r="I4827" i="1"/>
  <c r="G4827" i="1"/>
  <c r="I4826" i="1"/>
  <c r="J4826" i="1" s="1"/>
  <c r="G4826" i="1"/>
  <c r="I4825" i="1"/>
  <c r="J4825" i="1" s="1"/>
  <c r="G4825" i="1"/>
  <c r="J4824" i="1"/>
  <c r="I4824" i="1"/>
  <c r="G4824" i="1"/>
  <c r="J4823" i="1"/>
  <c r="I4823" i="1"/>
  <c r="G4823" i="1"/>
  <c r="I4822" i="1"/>
  <c r="J4822" i="1" s="1"/>
  <c r="G4822" i="1"/>
  <c r="I4821" i="1"/>
  <c r="J4821" i="1" s="1"/>
  <c r="G4821" i="1"/>
  <c r="J4820" i="1"/>
  <c r="I4820" i="1"/>
  <c r="G4820" i="1"/>
  <c r="J4819" i="1"/>
  <c r="I4819" i="1"/>
  <c r="G4819" i="1"/>
  <c r="I4818" i="1"/>
  <c r="J4818" i="1" s="1"/>
  <c r="G4818" i="1"/>
  <c r="I4817" i="1"/>
  <c r="J4817" i="1" s="1"/>
  <c r="G4817" i="1"/>
  <c r="J4816" i="1"/>
  <c r="I4816" i="1"/>
  <c r="G4816" i="1"/>
  <c r="J4815" i="1"/>
  <c r="I4815" i="1"/>
  <c r="G4815" i="1"/>
  <c r="I4814" i="1"/>
  <c r="J4814" i="1" s="1"/>
  <c r="G4814" i="1"/>
  <c r="I4813" i="1"/>
  <c r="J4813" i="1" s="1"/>
  <c r="G4813" i="1"/>
  <c r="J4812" i="1"/>
  <c r="I4812" i="1"/>
  <c r="G4812" i="1"/>
  <c r="H4811" i="1"/>
  <c r="I4811" i="1" s="1"/>
  <c r="J4811" i="1" s="1"/>
  <c r="G4811" i="1"/>
  <c r="I4810" i="1"/>
  <c r="J4810" i="1" s="1"/>
  <c r="G4810" i="1"/>
  <c r="I4809" i="1"/>
  <c r="J4809" i="1" s="1"/>
  <c r="G4809" i="1"/>
  <c r="I4808" i="1"/>
  <c r="J4808" i="1" s="1"/>
  <c r="G4808" i="1"/>
  <c r="I4807" i="1"/>
  <c r="J4807" i="1" s="1"/>
  <c r="G4807" i="1"/>
  <c r="I4806" i="1"/>
  <c r="J4806" i="1" s="1"/>
  <c r="G4806" i="1"/>
  <c r="I4805" i="1"/>
  <c r="J4805" i="1" s="1"/>
  <c r="G4805" i="1"/>
  <c r="I4804" i="1"/>
  <c r="J4804" i="1" s="1"/>
  <c r="G4804" i="1"/>
  <c r="H4803" i="1"/>
  <c r="I4803" i="1" s="1"/>
  <c r="J4803" i="1" s="1"/>
  <c r="G4803" i="1"/>
  <c r="H4802" i="1"/>
  <c r="I4802" i="1" s="1"/>
  <c r="J4802" i="1" s="1"/>
  <c r="G4802" i="1"/>
  <c r="J4801" i="1"/>
  <c r="I4801" i="1"/>
  <c r="G4801" i="1"/>
  <c r="J4800" i="1"/>
  <c r="I4800" i="1"/>
  <c r="G4800" i="1"/>
  <c r="I4799" i="1"/>
  <c r="J4799" i="1" s="1"/>
  <c r="G4799" i="1"/>
  <c r="I4798" i="1"/>
  <c r="J4798" i="1" s="1"/>
  <c r="G4798" i="1"/>
  <c r="J4797" i="1"/>
  <c r="I4797" i="1"/>
  <c r="G4797" i="1"/>
  <c r="J4796" i="1"/>
  <c r="I4796" i="1"/>
  <c r="G4796" i="1"/>
  <c r="I4795" i="1"/>
  <c r="J4795" i="1" s="1"/>
  <c r="G4795" i="1"/>
  <c r="I4794" i="1"/>
  <c r="J4794" i="1" s="1"/>
  <c r="G4794" i="1"/>
  <c r="J4793" i="1"/>
  <c r="I4793" i="1"/>
  <c r="G4793" i="1"/>
  <c r="J4792" i="1"/>
  <c r="I4792" i="1"/>
  <c r="G4792" i="1"/>
  <c r="I4791" i="1"/>
  <c r="J4791" i="1" s="1"/>
  <c r="G4791" i="1"/>
  <c r="I4790" i="1"/>
  <c r="J4790" i="1" s="1"/>
  <c r="G4790" i="1"/>
  <c r="J4789" i="1"/>
  <c r="I4789" i="1"/>
  <c r="G4789" i="1"/>
  <c r="J4788" i="1"/>
  <c r="I4788" i="1"/>
  <c r="G4788" i="1"/>
  <c r="I4787" i="1"/>
  <c r="J4787" i="1" s="1"/>
  <c r="G4787" i="1"/>
  <c r="I4786" i="1"/>
  <c r="J4786" i="1" s="1"/>
  <c r="G4786" i="1"/>
  <c r="J4785" i="1"/>
  <c r="I4785" i="1"/>
  <c r="G4785" i="1"/>
  <c r="J4784" i="1"/>
  <c r="I4784" i="1"/>
  <c r="G4784" i="1"/>
  <c r="I4783" i="1"/>
  <c r="J4783" i="1" s="1"/>
  <c r="G4783" i="1"/>
  <c r="F4782" i="1"/>
  <c r="I4781" i="1"/>
  <c r="J4781" i="1" s="1"/>
  <c r="G4781" i="1"/>
  <c r="I4780" i="1"/>
  <c r="J4780" i="1" s="1"/>
  <c r="G4780" i="1"/>
  <c r="I4779" i="1"/>
  <c r="J4779" i="1" s="1"/>
  <c r="H4779" i="1"/>
  <c r="G4779" i="1"/>
  <c r="I4778" i="1"/>
  <c r="J4778" i="1" s="1"/>
  <c r="G4778" i="1"/>
  <c r="I4777" i="1"/>
  <c r="J4777" i="1" s="1"/>
  <c r="G4777" i="1"/>
  <c r="I4776" i="1"/>
  <c r="J4776" i="1" s="1"/>
  <c r="G4776" i="1"/>
  <c r="J4775" i="1"/>
  <c r="I4775" i="1"/>
  <c r="G4775" i="1"/>
  <c r="I4774" i="1"/>
  <c r="J4774" i="1" s="1"/>
  <c r="G4774" i="1"/>
  <c r="I4773" i="1"/>
  <c r="J4773" i="1" s="1"/>
  <c r="G4773" i="1"/>
  <c r="I4772" i="1"/>
  <c r="J4772" i="1" s="1"/>
  <c r="G4772" i="1"/>
  <c r="J4771" i="1"/>
  <c r="I4771" i="1"/>
  <c r="G4771" i="1"/>
  <c r="I4770" i="1"/>
  <c r="J4770" i="1" s="1"/>
  <c r="G4770" i="1"/>
  <c r="I4769" i="1"/>
  <c r="J4769" i="1" s="1"/>
  <c r="G4769" i="1"/>
  <c r="I4768" i="1"/>
  <c r="J4768" i="1" s="1"/>
  <c r="G4768" i="1"/>
  <c r="J4767" i="1"/>
  <c r="I4767" i="1"/>
  <c r="G4767" i="1"/>
  <c r="I4766" i="1"/>
  <c r="J4766" i="1" s="1"/>
  <c r="G4766" i="1"/>
  <c r="I4765" i="1"/>
  <c r="J4765" i="1" s="1"/>
  <c r="G4765" i="1"/>
  <c r="I4764" i="1"/>
  <c r="J4764" i="1" s="1"/>
  <c r="G4764" i="1"/>
  <c r="H4763" i="1"/>
  <c r="I4763" i="1" s="1"/>
  <c r="J4763" i="1" s="1"/>
  <c r="G4763" i="1"/>
  <c r="J4762" i="1"/>
  <c r="I4762" i="1"/>
  <c r="G4762" i="1"/>
  <c r="J4761" i="1"/>
  <c r="I4761" i="1"/>
  <c r="G4761" i="1"/>
  <c r="I4760" i="1"/>
  <c r="J4760" i="1" s="1"/>
  <c r="G4760" i="1"/>
  <c r="I4759" i="1"/>
  <c r="J4759" i="1" s="1"/>
  <c r="G4759" i="1"/>
  <c r="J4758" i="1"/>
  <c r="I4758" i="1"/>
  <c r="G4758" i="1"/>
  <c r="J4757" i="1"/>
  <c r="I4757" i="1"/>
  <c r="G4757" i="1"/>
  <c r="H4756" i="1"/>
  <c r="I4756" i="1" s="1"/>
  <c r="J4756" i="1" s="1"/>
  <c r="G4756" i="1"/>
  <c r="I4755" i="1"/>
  <c r="J4755" i="1" s="1"/>
  <c r="H4755" i="1"/>
  <c r="G4755" i="1"/>
  <c r="I4754" i="1"/>
  <c r="J4754" i="1" s="1"/>
  <c r="G4754" i="1"/>
  <c r="I4753" i="1"/>
  <c r="J4753" i="1" s="1"/>
  <c r="G4753" i="1"/>
  <c r="J4752" i="1"/>
  <c r="I4752" i="1"/>
  <c r="G4752" i="1"/>
  <c r="J4751" i="1"/>
  <c r="I4751" i="1"/>
  <c r="G4751" i="1"/>
  <c r="I4750" i="1"/>
  <c r="J4750" i="1" s="1"/>
  <c r="G4750" i="1"/>
  <c r="I4749" i="1"/>
  <c r="J4749" i="1" s="1"/>
  <c r="G4749" i="1"/>
  <c r="J4748" i="1"/>
  <c r="I4748" i="1"/>
  <c r="G4748" i="1"/>
  <c r="J4747" i="1"/>
  <c r="I4747" i="1"/>
  <c r="G4747" i="1"/>
  <c r="I4746" i="1"/>
  <c r="J4746" i="1" s="1"/>
  <c r="G4746" i="1"/>
  <c r="I4745" i="1"/>
  <c r="J4745" i="1" s="1"/>
  <c r="G4745" i="1"/>
  <c r="H4744" i="1"/>
  <c r="I4744" i="1" s="1"/>
  <c r="J4744" i="1" s="1"/>
  <c r="G4744" i="1"/>
  <c r="J4743" i="1"/>
  <c r="I4743" i="1"/>
  <c r="G4743" i="1"/>
  <c r="J4742" i="1"/>
  <c r="I4742" i="1"/>
  <c r="G4742" i="1"/>
  <c r="I4741" i="1"/>
  <c r="J4741" i="1" s="1"/>
  <c r="G4741" i="1"/>
  <c r="I4740" i="1"/>
  <c r="J4740" i="1" s="1"/>
  <c r="G4740" i="1"/>
  <c r="J4739" i="1"/>
  <c r="I4739" i="1"/>
  <c r="G4739" i="1"/>
  <c r="J4738" i="1"/>
  <c r="I4738" i="1"/>
  <c r="G4738" i="1"/>
  <c r="I4737" i="1"/>
  <c r="J4737" i="1" s="1"/>
  <c r="G4737" i="1"/>
  <c r="I4736" i="1"/>
  <c r="J4736" i="1" s="1"/>
  <c r="G4736" i="1"/>
  <c r="H4735" i="1"/>
  <c r="I4735" i="1" s="1"/>
  <c r="J4735" i="1" s="1"/>
  <c r="G4735" i="1"/>
  <c r="I4734" i="1"/>
  <c r="J4734" i="1" s="1"/>
  <c r="G4734" i="1"/>
  <c r="I4733" i="1"/>
  <c r="J4733" i="1" s="1"/>
  <c r="G4733" i="1"/>
  <c r="I4732" i="1"/>
  <c r="J4732" i="1" s="1"/>
  <c r="G4732" i="1"/>
  <c r="I4731" i="1"/>
  <c r="J4731" i="1" s="1"/>
  <c r="G4731" i="1"/>
  <c r="I4730" i="1"/>
  <c r="J4730" i="1" s="1"/>
  <c r="G4730" i="1"/>
  <c r="I4729" i="1"/>
  <c r="J4729" i="1" s="1"/>
  <c r="G4729" i="1"/>
  <c r="I4728" i="1"/>
  <c r="J4728" i="1" s="1"/>
  <c r="G4728" i="1"/>
  <c r="I4727" i="1"/>
  <c r="J4727" i="1" s="1"/>
  <c r="G4727" i="1"/>
  <c r="I4726" i="1"/>
  <c r="J4726" i="1" s="1"/>
  <c r="G4726" i="1"/>
  <c r="I4725" i="1"/>
  <c r="J4725" i="1" s="1"/>
  <c r="G4725" i="1"/>
  <c r="I4724" i="1"/>
  <c r="J4724" i="1" s="1"/>
  <c r="G4724" i="1"/>
  <c r="I4723" i="1"/>
  <c r="J4723" i="1" s="1"/>
  <c r="G4723" i="1"/>
  <c r="I4722" i="1"/>
  <c r="J4722" i="1" s="1"/>
  <c r="G4722" i="1"/>
  <c r="I4721" i="1"/>
  <c r="J4721" i="1" s="1"/>
  <c r="G4721" i="1"/>
  <c r="I4720" i="1"/>
  <c r="J4720" i="1" s="1"/>
  <c r="G4720" i="1"/>
  <c r="I4719" i="1"/>
  <c r="J4719" i="1" s="1"/>
  <c r="G4719" i="1"/>
  <c r="H4718" i="1"/>
  <c r="I4718" i="1" s="1"/>
  <c r="J4718" i="1" s="1"/>
  <c r="G4718" i="1"/>
  <c r="J4717" i="1"/>
  <c r="I4717" i="1"/>
  <c r="G4717" i="1"/>
  <c r="I4716" i="1"/>
  <c r="J4716" i="1" s="1"/>
  <c r="H4716" i="1"/>
  <c r="G4716" i="1"/>
  <c r="J4715" i="1"/>
  <c r="I4715" i="1"/>
  <c r="G4715" i="1"/>
  <c r="I4714" i="1"/>
  <c r="J4714" i="1" s="1"/>
  <c r="G4714" i="1"/>
  <c r="I4713" i="1"/>
  <c r="J4713" i="1" s="1"/>
  <c r="G4713" i="1"/>
  <c r="J4712" i="1"/>
  <c r="I4712" i="1"/>
  <c r="G4712" i="1"/>
  <c r="J4711" i="1"/>
  <c r="I4711" i="1"/>
  <c r="G4711" i="1"/>
  <c r="I4710" i="1"/>
  <c r="J4710" i="1" s="1"/>
  <c r="G4710" i="1"/>
  <c r="I4709" i="1"/>
  <c r="J4709" i="1" s="1"/>
  <c r="G4709" i="1"/>
  <c r="J4708" i="1"/>
  <c r="I4708" i="1"/>
  <c r="G4708" i="1"/>
  <c r="H4707" i="1"/>
  <c r="I4707" i="1" s="1"/>
  <c r="J4707" i="1" s="1"/>
  <c r="G4707" i="1"/>
  <c r="I4706" i="1"/>
  <c r="J4706" i="1" s="1"/>
  <c r="G4706" i="1"/>
  <c r="I4705" i="1"/>
  <c r="J4705" i="1" s="1"/>
  <c r="G4705" i="1"/>
  <c r="I4704" i="1"/>
  <c r="J4704" i="1" s="1"/>
  <c r="G4704" i="1"/>
  <c r="I4703" i="1"/>
  <c r="J4703" i="1" s="1"/>
  <c r="G4703" i="1"/>
  <c r="I4702" i="1"/>
  <c r="J4702" i="1" s="1"/>
  <c r="G4702" i="1"/>
  <c r="I4701" i="1"/>
  <c r="J4701" i="1" s="1"/>
  <c r="G4701" i="1"/>
  <c r="I4700" i="1"/>
  <c r="J4700" i="1" s="1"/>
  <c r="G4700" i="1"/>
  <c r="I4699" i="1"/>
  <c r="J4699" i="1" s="1"/>
  <c r="G4699" i="1"/>
  <c r="I4698" i="1"/>
  <c r="J4698" i="1" s="1"/>
  <c r="G4698" i="1"/>
  <c r="I4697" i="1"/>
  <c r="J4697" i="1" s="1"/>
  <c r="G4697" i="1"/>
  <c r="I4696" i="1"/>
  <c r="J4696" i="1" s="1"/>
  <c r="G4696" i="1"/>
  <c r="H4695" i="1"/>
  <c r="I4695" i="1" s="1"/>
  <c r="J4695" i="1" s="1"/>
  <c r="G4695" i="1"/>
  <c r="J4694" i="1"/>
  <c r="I4694" i="1"/>
  <c r="G4694" i="1"/>
  <c r="J4693" i="1"/>
  <c r="I4693" i="1"/>
  <c r="G4693" i="1"/>
  <c r="I4692" i="1"/>
  <c r="J4692" i="1" s="1"/>
  <c r="G4692" i="1"/>
  <c r="I4691" i="1"/>
  <c r="J4691" i="1" s="1"/>
  <c r="G4691" i="1"/>
  <c r="J4690" i="1"/>
  <c r="I4690" i="1"/>
  <c r="G4690" i="1"/>
  <c r="J4689" i="1"/>
  <c r="I4689" i="1"/>
  <c r="G4689" i="1"/>
  <c r="I4688" i="1"/>
  <c r="J4688" i="1" s="1"/>
  <c r="G4688" i="1"/>
  <c r="I4687" i="1"/>
  <c r="J4687" i="1" s="1"/>
  <c r="G4687" i="1"/>
  <c r="I4686" i="1"/>
  <c r="G4686" i="1"/>
  <c r="I4685" i="1"/>
  <c r="G4685" i="1"/>
  <c r="I4684" i="1"/>
  <c r="G4684" i="1"/>
  <c r="I4683" i="1"/>
  <c r="G4683" i="1"/>
  <c r="I4682" i="1"/>
  <c r="G4682" i="1"/>
  <c r="I4681" i="1"/>
  <c r="G4681" i="1"/>
  <c r="I4680" i="1"/>
  <c r="G4680" i="1"/>
  <c r="I4679" i="1"/>
  <c r="G4679" i="1"/>
  <c r="I4678" i="1"/>
  <c r="G4678" i="1"/>
  <c r="I4677" i="1"/>
  <c r="J4677" i="1" s="1"/>
  <c r="G4677" i="1"/>
  <c r="I4676" i="1"/>
  <c r="J4676" i="1" s="1"/>
  <c r="G4676" i="1"/>
  <c r="J4675" i="1"/>
  <c r="I4675" i="1"/>
  <c r="G4675" i="1"/>
  <c r="I4674" i="1"/>
  <c r="H4674" i="1"/>
  <c r="G4674" i="1"/>
  <c r="I4673" i="1"/>
  <c r="J4673" i="1" s="1"/>
  <c r="G4673" i="1"/>
  <c r="H4672" i="1"/>
  <c r="I4672" i="1" s="1"/>
  <c r="J4672" i="1" s="1"/>
  <c r="G4672" i="1"/>
  <c r="H4671" i="1"/>
  <c r="I4671" i="1" s="1"/>
  <c r="J4671" i="1" s="1"/>
  <c r="G4671" i="1"/>
  <c r="I4670" i="1"/>
  <c r="J4670" i="1" s="1"/>
  <c r="G4670" i="1"/>
  <c r="I4669" i="1"/>
  <c r="J4669" i="1" s="1"/>
  <c r="G4669" i="1"/>
  <c r="I4668" i="1"/>
  <c r="J4668" i="1" s="1"/>
  <c r="H4668" i="1"/>
  <c r="G4668" i="1"/>
  <c r="J4667" i="1"/>
  <c r="I4667" i="1"/>
  <c r="G4667" i="1"/>
  <c r="I4666" i="1"/>
  <c r="J4666" i="1" s="1"/>
  <c r="H4666" i="1"/>
  <c r="G4666" i="1"/>
  <c r="I4665" i="1"/>
  <c r="J4665" i="1" s="1"/>
  <c r="G4665" i="1"/>
  <c r="I4664" i="1"/>
  <c r="J4664" i="1" s="1"/>
  <c r="G4664" i="1"/>
  <c r="J4663" i="1"/>
  <c r="I4663" i="1"/>
  <c r="G4663" i="1"/>
  <c r="J4662" i="1"/>
  <c r="I4662" i="1"/>
  <c r="G4662" i="1"/>
  <c r="I4661" i="1"/>
  <c r="J4661" i="1" s="1"/>
  <c r="G4661" i="1"/>
  <c r="I4660" i="1"/>
  <c r="J4660" i="1" s="1"/>
  <c r="G4660" i="1"/>
  <c r="J4659" i="1"/>
  <c r="I4659" i="1"/>
  <c r="G4659" i="1"/>
  <c r="J4658" i="1"/>
  <c r="I4658" i="1"/>
  <c r="G4658" i="1"/>
  <c r="H4657" i="1"/>
  <c r="I4657" i="1" s="1"/>
  <c r="J4657" i="1" s="1"/>
  <c r="G4657" i="1"/>
  <c r="I4656" i="1"/>
  <c r="J4656" i="1" s="1"/>
  <c r="H4656" i="1"/>
  <c r="G4656" i="1"/>
  <c r="I4655" i="1"/>
  <c r="J4655" i="1" s="1"/>
  <c r="G4655" i="1"/>
  <c r="I4654" i="1"/>
  <c r="J4654" i="1" s="1"/>
  <c r="G4654" i="1"/>
  <c r="J4653" i="1"/>
  <c r="I4653" i="1"/>
  <c r="G4653" i="1"/>
  <c r="J4652" i="1"/>
  <c r="I4652" i="1"/>
  <c r="G4652" i="1"/>
  <c r="I4651" i="1"/>
  <c r="J4651" i="1" s="1"/>
  <c r="G4651" i="1"/>
  <c r="H4650" i="1"/>
  <c r="I4650" i="1" s="1"/>
  <c r="J4650" i="1" s="1"/>
  <c r="G4650" i="1"/>
  <c r="H4649" i="1"/>
  <c r="I4649" i="1" s="1"/>
  <c r="J4649" i="1" s="1"/>
  <c r="G4649" i="1"/>
  <c r="H4648" i="1"/>
  <c r="I4648" i="1" s="1"/>
  <c r="J4648" i="1" s="1"/>
  <c r="G4648" i="1"/>
  <c r="I4647" i="1"/>
  <c r="J4647" i="1" s="1"/>
  <c r="G4647" i="1"/>
  <c r="J4646" i="1"/>
  <c r="I4646" i="1"/>
  <c r="G4646" i="1"/>
  <c r="I4645" i="1"/>
  <c r="J4645" i="1" s="1"/>
  <c r="H4645" i="1"/>
  <c r="G4645" i="1"/>
  <c r="J4644" i="1"/>
  <c r="I4644" i="1"/>
  <c r="G4644" i="1"/>
  <c r="I4643" i="1"/>
  <c r="J4643" i="1" s="1"/>
  <c r="G4643" i="1"/>
  <c r="I4642" i="1"/>
  <c r="J4642" i="1" s="1"/>
  <c r="G4642" i="1"/>
  <c r="J4641" i="1"/>
  <c r="I4641" i="1"/>
  <c r="G4641" i="1"/>
  <c r="J4640" i="1"/>
  <c r="I4640" i="1"/>
  <c r="G4640" i="1"/>
  <c r="I4639" i="1"/>
  <c r="J4639" i="1" s="1"/>
  <c r="G4639" i="1"/>
  <c r="I4638" i="1"/>
  <c r="J4638" i="1" s="1"/>
  <c r="G4638" i="1"/>
  <c r="J4637" i="1"/>
  <c r="I4637" i="1"/>
  <c r="G4637" i="1"/>
  <c r="J4636" i="1"/>
  <c r="I4636" i="1"/>
  <c r="G4636" i="1"/>
  <c r="I4635" i="1"/>
  <c r="J4635" i="1" s="1"/>
  <c r="G4635" i="1"/>
  <c r="I4634" i="1"/>
  <c r="J4634" i="1" s="1"/>
  <c r="G4634" i="1"/>
  <c r="J4633" i="1"/>
  <c r="I4633" i="1"/>
  <c r="G4633" i="1"/>
  <c r="J4632" i="1"/>
  <c r="I4632" i="1"/>
  <c r="G4632" i="1"/>
  <c r="H4631" i="1"/>
  <c r="I4631" i="1" s="1"/>
  <c r="J4631" i="1" s="1"/>
  <c r="G4631" i="1"/>
  <c r="I4630" i="1"/>
  <c r="J4630" i="1" s="1"/>
  <c r="G4630" i="1"/>
  <c r="I4629" i="1"/>
  <c r="J4629" i="1" s="1"/>
  <c r="G4629" i="1"/>
  <c r="I4628" i="1"/>
  <c r="J4628" i="1" s="1"/>
  <c r="G4628" i="1"/>
  <c r="I4627" i="1"/>
  <c r="J4627" i="1" s="1"/>
  <c r="G4627" i="1"/>
  <c r="I4626" i="1"/>
  <c r="J4626" i="1" s="1"/>
  <c r="G4626" i="1"/>
  <c r="I4625" i="1"/>
  <c r="J4625" i="1" s="1"/>
  <c r="G4625" i="1"/>
  <c r="I4624" i="1"/>
  <c r="J4624" i="1" s="1"/>
  <c r="G4624" i="1"/>
  <c r="I4623" i="1"/>
  <c r="J4623" i="1" s="1"/>
  <c r="G4623" i="1"/>
  <c r="I4622" i="1"/>
  <c r="J4622" i="1" s="1"/>
  <c r="G4622" i="1"/>
  <c r="I4621" i="1"/>
  <c r="J4621" i="1" s="1"/>
  <c r="G4621" i="1"/>
  <c r="H4620" i="1"/>
  <c r="I4620" i="1" s="1"/>
  <c r="J4620" i="1" s="1"/>
  <c r="G4620" i="1"/>
  <c r="J4619" i="1"/>
  <c r="I4619" i="1"/>
  <c r="H4619" i="1"/>
  <c r="G4619" i="1"/>
  <c r="H4618" i="1"/>
  <c r="I4618" i="1" s="1"/>
  <c r="J4618" i="1" s="1"/>
  <c r="G4618" i="1"/>
  <c r="I4617" i="1"/>
  <c r="J4617" i="1" s="1"/>
  <c r="G4617" i="1"/>
  <c r="I4616" i="1"/>
  <c r="J4616" i="1" s="1"/>
  <c r="G4616" i="1"/>
  <c r="F4616" i="1"/>
  <c r="I4615" i="1"/>
  <c r="J4615" i="1" s="1"/>
  <c r="G4615" i="1"/>
  <c r="I4614" i="1"/>
  <c r="J4614" i="1" s="1"/>
  <c r="G4614" i="1"/>
  <c r="I4613" i="1"/>
  <c r="J4613" i="1" s="1"/>
  <c r="G4613" i="1"/>
  <c r="J4612" i="1"/>
  <c r="I4612" i="1"/>
  <c r="G4612" i="1"/>
  <c r="J4611" i="1"/>
  <c r="I4611" i="1"/>
  <c r="H4611" i="1"/>
  <c r="G4611" i="1"/>
  <c r="J4610" i="1"/>
  <c r="I4610" i="1"/>
  <c r="G4610" i="1"/>
  <c r="I4609" i="1"/>
  <c r="J4609" i="1" s="1"/>
  <c r="G4609" i="1"/>
  <c r="I4608" i="1"/>
  <c r="J4608" i="1" s="1"/>
  <c r="G4608" i="1"/>
  <c r="J4607" i="1"/>
  <c r="I4607" i="1"/>
  <c r="G4607" i="1"/>
  <c r="J4606" i="1"/>
  <c r="I4606" i="1"/>
  <c r="G4606" i="1"/>
  <c r="H4605" i="1"/>
  <c r="I4605" i="1" s="1"/>
  <c r="J4605" i="1" s="1"/>
  <c r="G4605" i="1"/>
  <c r="I4604" i="1"/>
  <c r="J4604" i="1" s="1"/>
  <c r="H4604" i="1"/>
  <c r="G4604" i="1"/>
  <c r="I4603" i="1"/>
  <c r="J4603" i="1" s="1"/>
  <c r="G4603" i="1"/>
  <c r="I4602" i="1"/>
  <c r="J4602" i="1" s="1"/>
  <c r="G4602" i="1"/>
  <c r="J4601" i="1"/>
  <c r="I4601" i="1"/>
  <c r="G4601" i="1"/>
  <c r="I4600" i="1"/>
  <c r="J4600" i="1" s="1"/>
  <c r="G4600" i="1"/>
  <c r="I4599" i="1"/>
  <c r="J4599" i="1" s="1"/>
  <c r="G4599" i="1"/>
  <c r="I4598" i="1"/>
  <c r="J4598" i="1" s="1"/>
  <c r="G4598" i="1"/>
  <c r="J4597" i="1"/>
  <c r="I4597" i="1"/>
  <c r="G4597" i="1"/>
  <c r="J4596" i="1"/>
  <c r="I4596" i="1"/>
  <c r="G4596" i="1"/>
  <c r="I4595" i="1"/>
  <c r="J4595" i="1" s="1"/>
  <c r="G4595" i="1"/>
  <c r="H4594" i="1"/>
  <c r="I4594" i="1" s="1"/>
  <c r="J4594" i="1" s="1"/>
  <c r="G4594" i="1"/>
  <c r="J4593" i="1"/>
  <c r="I4593" i="1"/>
  <c r="G4593" i="1"/>
  <c r="J4592" i="1"/>
  <c r="I4592" i="1"/>
  <c r="G4592" i="1"/>
  <c r="J4591" i="1"/>
  <c r="I4591" i="1"/>
  <c r="G4591" i="1"/>
  <c r="H4590" i="1"/>
  <c r="I4590" i="1" s="1"/>
  <c r="J4590" i="1" s="1"/>
  <c r="G4590" i="1"/>
  <c r="I4589" i="1"/>
  <c r="J4589" i="1" s="1"/>
  <c r="H4589" i="1"/>
  <c r="G4589" i="1"/>
  <c r="I4588" i="1"/>
  <c r="J4588" i="1" s="1"/>
  <c r="H4588" i="1"/>
  <c r="G4588" i="1"/>
  <c r="I4587" i="1"/>
  <c r="J4587" i="1" s="1"/>
  <c r="G4587" i="1"/>
  <c r="J4586" i="1"/>
  <c r="I4586" i="1"/>
  <c r="G4586" i="1"/>
  <c r="J4585" i="1"/>
  <c r="I4585" i="1"/>
  <c r="G4585" i="1"/>
  <c r="J4584" i="1"/>
  <c r="I4584" i="1"/>
  <c r="G4584" i="1"/>
  <c r="I4583" i="1"/>
  <c r="J4583" i="1" s="1"/>
  <c r="G4583" i="1"/>
  <c r="I4582" i="1"/>
  <c r="J4582" i="1" s="1"/>
  <c r="G4582" i="1"/>
  <c r="J4581" i="1"/>
  <c r="I4581" i="1"/>
  <c r="G4581" i="1"/>
  <c r="J4580" i="1"/>
  <c r="I4580" i="1"/>
  <c r="G4580" i="1"/>
  <c r="I4579" i="1"/>
  <c r="J4579" i="1" s="1"/>
  <c r="G4579" i="1"/>
  <c r="H4578" i="1"/>
  <c r="I4578" i="1" s="1"/>
  <c r="J4578" i="1" s="1"/>
  <c r="G4578" i="1"/>
  <c r="H4577" i="1"/>
  <c r="I4577" i="1" s="1"/>
  <c r="J4577" i="1" s="1"/>
  <c r="G4577" i="1"/>
  <c r="I4576" i="1"/>
  <c r="J4576" i="1" s="1"/>
  <c r="G4576" i="1"/>
  <c r="J4575" i="1"/>
  <c r="I4575" i="1"/>
  <c r="G4575" i="1"/>
  <c r="J4574" i="1"/>
  <c r="I4574" i="1"/>
  <c r="H4574" i="1"/>
  <c r="G4574" i="1"/>
  <c r="H4573" i="1"/>
  <c r="I4573" i="1" s="1"/>
  <c r="J4573" i="1" s="1"/>
  <c r="G4573" i="1"/>
  <c r="I4572" i="1"/>
  <c r="J4572" i="1" s="1"/>
  <c r="H4572" i="1"/>
  <c r="G4572" i="1"/>
  <c r="I4571" i="1"/>
  <c r="J4571" i="1" s="1"/>
  <c r="H4571" i="1"/>
  <c r="G4571" i="1"/>
  <c r="H4570" i="1"/>
  <c r="I4570" i="1" s="1"/>
  <c r="J4570" i="1" s="1"/>
  <c r="G4570" i="1"/>
  <c r="I4569" i="1"/>
  <c r="J4569" i="1" s="1"/>
  <c r="G4569" i="1"/>
  <c r="H4568" i="1"/>
  <c r="I4568" i="1" s="1"/>
  <c r="J4568" i="1" s="1"/>
  <c r="G4568" i="1"/>
  <c r="I4567" i="1"/>
  <c r="J4567" i="1" s="1"/>
  <c r="G4567" i="1"/>
  <c r="I4566" i="1"/>
  <c r="J4566" i="1" s="1"/>
  <c r="G4566" i="1"/>
  <c r="J4565" i="1"/>
  <c r="I4565" i="1"/>
  <c r="G4565" i="1"/>
  <c r="I4564" i="1"/>
  <c r="J4564" i="1" s="1"/>
  <c r="G4564" i="1"/>
  <c r="I4563" i="1"/>
  <c r="J4563" i="1" s="1"/>
  <c r="G4563" i="1"/>
  <c r="I4562" i="1"/>
  <c r="J4562" i="1" s="1"/>
  <c r="G4562" i="1"/>
  <c r="J4561" i="1"/>
  <c r="I4561" i="1"/>
  <c r="H4561" i="1"/>
  <c r="G4561" i="1"/>
  <c r="H4560" i="1"/>
  <c r="I4560" i="1" s="1"/>
  <c r="J4560" i="1" s="1"/>
  <c r="G4560" i="1"/>
  <c r="I4559" i="1"/>
  <c r="J4559" i="1" s="1"/>
  <c r="G4559" i="1"/>
  <c r="I4558" i="1"/>
  <c r="J4558" i="1" s="1"/>
  <c r="H4558" i="1"/>
  <c r="G4558" i="1"/>
  <c r="J4557" i="1"/>
  <c r="I4557" i="1"/>
  <c r="G4557" i="1"/>
  <c r="I4556" i="1"/>
  <c r="J4556" i="1" s="1"/>
  <c r="G4556" i="1"/>
  <c r="I4555" i="1"/>
  <c r="J4555" i="1" s="1"/>
  <c r="G4555" i="1"/>
  <c r="J4554" i="1"/>
  <c r="I4554" i="1"/>
  <c r="G4554" i="1"/>
  <c r="J4553" i="1"/>
  <c r="I4553" i="1"/>
  <c r="G4553" i="1"/>
  <c r="I4552" i="1"/>
  <c r="J4552" i="1" s="1"/>
  <c r="H4552" i="1"/>
  <c r="G4552" i="1"/>
  <c r="I4551" i="1"/>
  <c r="J4551" i="1" s="1"/>
  <c r="G4551" i="1"/>
  <c r="J4550" i="1"/>
  <c r="I4550" i="1"/>
  <c r="G4550" i="1"/>
  <c r="J4549" i="1"/>
  <c r="H4549" i="1"/>
  <c r="I4549" i="1" s="1"/>
  <c r="G4549" i="1"/>
  <c r="I4548" i="1"/>
  <c r="J4548" i="1" s="1"/>
  <c r="G4548" i="1"/>
  <c r="I4547" i="1"/>
  <c r="J4547" i="1" s="1"/>
  <c r="G4547" i="1"/>
  <c r="I4546" i="1"/>
  <c r="J4546" i="1" s="1"/>
  <c r="G4546" i="1"/>
  <c r="H4545" i="1"/>
  <c r="I4545" i="1" s="1"/>
  <c r="J4545" i="1" s="1"/>
  <c r="G4545" i="1"/>
  <c r="I4544" i="1"/>
  <c r="J4544" i="1" s="1"/>
  <c r="H4544" i="1"/>
  <c r="G4544" i="1"/>
  <c r="H4543" i="1"/>
  <c r="I4543" i="1" s="1"/>
  <c r="J4543" i="1" s="1"/>
  <c r="G4543" i="1"/>
  <c r="H4542" i="1"/>
  <c r="I4542" i="1" s="1"/>
  <c r="J4542" i="1" s="1"/>
  <c r="G4542" i="1"/>
  <c r="I4541" i="1"/>
  <c r="J4541" i="1" s="1"/>
  <c r="G4541" i="1"/>
  <c r="J4540" i="1"/>
  <c r="I4540" i="1"/>
  <c r="G4540" i="1"/>
  <c r="I4539" i="1"/>
  <c r="J4539" i="1" s="1"/>
  <c r="G4539" i="1"/>
  <c r="I4538" i="1"/>
  <c r="J4538" i="1" s="1"/>
  <c r="G4538" i="1"/>
  <c r="I4537" i="1"/>
  <c r="J4537" i="1" s="1"/>
  <c r="G4537" i="1"/>
  <c r="J4536" i="1"/>
  <c r="I4536" i="1"/>
  <c r="G4536" i="1"/>
  <c r="J4535" i="1"/>
  <c r="I4535" i="1"/>
  <c r="G4535" i="1"/>
  <c r="I4534" i="1"/>
  <c r="J4534" i="1" s="1"/>
  <c r="H4534" i="1"/>
  <c r="G4534" i="1"/>
  <c r="I4533" i="1"/>
  <c r="J4533" i="1" s="1"/>
  <c r="G4533" i="1"/>
  <c r="I4532" i="1"/>
  <c r="J4532" i="1" s="1"/>
  <c r="G4532" i="1"/>
  <c r="J4531" i="1"/>
  <c r="I4531" i="1"/>
  <c r="G4531" i="1"/>
  <c r="J4530" i="1"/>
  <c r="I4530" i="1"/>
  <c r="G4530" i="1"/>
  <c r="I4529" i="1"/>
  <c r="J4529" i="1" s="1"/>
  <c r="G4529" i="1"/>
  <c r="I4528" i="1"/>
  <c r="J4528" i="1" s="1"/>
  <c r="G4528" i="1"/>
  <c r="J4527" i="1"/>
  <c r="I4527" i="1"/>
  <c r="G4527" i="1"/>
  <c r="J4526" i="1"/>
  <c r="I4526" i="1"/>
  <c r="G4526" i="1"/>
  <c r="I4525" i="1"/>
  <c r="J4525" i="1" s="1"/>
  <c r="G4525" i="1"/>
  <c r="I4524" i="1"/>
  <c r="J4524" i="1" s="1"/>
  <c r="G4524" i="1"/>
  <c r="J4523" i="1"/>
  <c r="H4523" i="1"/>
  <c r="I4523" i="1" s="1"/>
  <c r="G4523" i="1"/>
  <c r="H4522" i="1"/>
  <c r="I4522" i="1" s="1"/>
  <c r="J4522" i="1" s="1"/>
  <c r="G4522" i="1"/>
  <c r="H4521" i="1"/>
  <c r="I4521" i="1" s="1"/>
  <c r="J4521" i="1" s="1"/>
  <c r="G4521" i="1"/>
  <c r="H4520" i="1"/>
  <c r="I4520" i="1" s="1"/>
  <c r="J4520" i="1" s="1"/>
  <c r="G4520" i="1"/>
  <c r="I4519" i="1"/>
  <c r="J4519" i="1" s="1"/>
  <c r="G4519" i="1"/>
  <c r="I4518" i="1"/>
  <c r="J4518" i="1" s="1"/>
  <c r="H4518" i="1"/>
  <c r="G4518" i="1"/>
  <c r="J4517" i="1"/>
  <c r="I4517" i="1"/>
  <c r="G4517" i="1"/>
  <c r="I4516" i="1"/>
  <c r="J4516" i="1" s="1"/>
  <c r="G4516" i="1"/>
  <c r="I4515" i="1"/>
  <c r="J4515" i="1" s="1"/>
  <c r="G4515" i="1"/>
  <c r="J4514" i="1"/>
  <c r="I4514" i="1"/>
  <c r="G4514" i="1"/>
  <c r="I4513" i="1"/>
  <c r="J4513" i="1" s="1"/>
  <c r="G4513" i="1"/>
  <c r="I4512" i="1"/>
  <c r="J4512" i="1" s="1"/>
  <c r="G4512" i="1"/>
  <c r="I4511" i="1"/>
  <c r="J4511" i="1" s="1"/>
  <c r="G4511" i="1"/>
  <c r="J4510" i="1"/>
  <c r="I4510" i="1"/>
  <c r="G4510" i="1"/>
  <c r="I4509" i="1"/>
  <c r="J4509" i="1" s="1"/>
  <c r="G4509" i="1"/>
  <c r="I4508" i="1"/>
  <c r="J4508" i="1" s="1"/>
  <c r="G4508" i="1"/>
  <c r="I4507" i="1"/>
  <c r="J4507" i="1" s="1"/>
  <c r="G4507" i="1"/>
  <c r="J4506" i="1"/>
  <c r="I4506" i="1"/>
  <c r="G4506" i="1"/>
  <c r="I4505" i="1"/>
  <c r="J4505" i="1" s="1"/>
  <c r="G4505" i="1"/>
  <c r="I4504" i="1"/>
  <c r="J4504" i="1" s="1"/>
  <c r="G4504" i="1"/>
  <c r="H4503" i="1"/>
  <c r="I4503" i="1" s="1"/>
  <c r="J4503" i="1" s="1"/>
  <c r="G4503" i="1"/>
  <c r="I4502" i="1"/>
  <c r="J4502" i="1" s="1"/>
  <c r="G4502" i="1"/>
  <c r="J4501" i="1"/>
  <c r="I4501" i="1"/>
  <c r="G4501" i="1"/>
  <c r="J4500" i="1"/>
  <c r="I4500" i="1"/>
  <c r="G4500" i="1"/>
  <c r="I4499" i="1"/>
  <c r="J4499" i="1" s="1"/>
  <c r="G4499" i="1"/>
  <c r="I4498" i="1"/>
  <c r="J4498" i="1" s="1"/>
  <c r="G4498" i="1"/>
  <c r="H4497" i="1"/>
  <c r="I4497" i="1" s="1"/>
  <c r="J4497" i="1" s="1"/>
  <c r="G4497" i="1"/>
  <c r="H4496" i="1"/>
  <c r="I4496" i="1" s="1"/>
  <c r="J4496" i="1" s="1"/>
  <c r="G4496" i="1"/>
  <c r="J4495" i="1"/>
  <c r="I4495" i="1"/>
  <c r="G4495" i="1"/>
  <c r="J4494" i="1"/>
  <c r="I4494" i="1"/>
  <c r="H4494" i="1"/>
  <c r="G4494" i="1"/>
  <c r="J4493" i="1"/>
  <c r="I4493" i="1"/>
  <c r="G4493" i="1"/>
  <c r="I4492" i="1"/>
  <c r="J4492" i="1" s="1"/>
  <c r="G4492" i="1"/>
  <c r="I4491" i="1"/>
  <c r="J4491" i="1" s="1"/>
  <c r="G4491" i="1"/>
  <c r="J4490" i="1"/>
  <c r="I4490" i="1"/>
  <c r="G4490" i="1"/>
  <c r="J4489" i="1"/>
  <c r="I4489" i="1"/>
  <c r="G4489" i="1"/>
  <c r="I4488" i="1"/>
  <c r="J4488" i="1" s="1"/>
  <c r="G4488" i="1"/>
  <c r="H4487" i="1"/>
  <c r="I4487" i="1" s="1"/>
  <c r="J4487" i="1" s="1"/>
  <c r="G4487" i="1"/>
  <c r="H4486" i="1"/>
  <c r="I4486" i="1" s="1"/>
  <c r="J4486" i="1" s="1"/>
  <c r="G4486" i="1"/>
  <c r="H4485" i="1"/>
  <c r="I4485" i="1" s="1"/>
  <c r="J4485" i="1" s="1"/>
  <c r="G4485" i="1"/>
  <c r="I4484" i="1"/>
  <c r="J4484" i="1" s="1"/>
  <c r="G4484" i="1"/>
  <c r="J4483" i="1"/>
  <c r="H4483" i="1"/>
  <c r="I4483" i="1" s="1"/>
  <c r="G4483" i="1"/>
  <c r="H4482" i="1"/>
  <c r="I4482" i="1" s="1"/>
  <c r="J4482" i="1" s="1"/>
  <c r="G4482" i="1"/>
  <c r="H4481" i="1"/>
  <c r="I4481" i="1" s="1"/>
  <c r="J4481" i="1" s="1"/>
  <c r="G4481" i="1"/>
  <c r="J4480" i="1"/>
  <c r="H4480" i="1"/>
  <c r="I4480" i="1" s="1"/>
  <c r="G4480" i="1"/>
  <c r="H4479" i="1"/>
  <c r="I4479" i="1" s="1"/>
  <c r="J4479" i="1" s="1"/>
  <c r="G4479" i="1"/>
  <c r="H4478" i="1"/>
  <c r="I4478" i="1" s="1"/>
  <c r="J4478" i="1" s="1"/>
  <c r="G4478" i="1"/>
  <c r="J4477" i="1"/>
  <c r="I4477" i="1"/>
  <c r="G4477" i="1"/>
  <c r="J4476" i="1"/>
  <c r="I4476" i="1"/>
  <c r="G4476" i="1"/>
  <c r="I4475" i="1"/>
  <c r="J4475" i="1" s="1"/>
  <c r="G4475" i="1"/>
  <c r="I4474" i="1"/>
  <c r="J4474" i="1" s="1"/>
  <c r="G4474" i="1"/>
  <c r="J4473" i="1"/>
  <c r="H4473" i="1"/>
  <c r="I4473" i="1" s="1"/>
  <c r="G4473" i="1"/>
  <c r="H4472" i="1"/>
  <c r="I4472" i="1" s="1"/>
  <c r="J4472" i="1" s="1"/>
  <c r="G4472" i="1"/>
  <c r="J4471" i="1"/>
  <c r="I4471" i="1"/>
  <c r="G4471" i="1"/>
  <c r="I4470" i="1"/>
  <c r="J4470" i="1" s="1"/>
  <c r="H4470" i="1"/>
  <c r="G4470" i="1"/>
  <c r="H4469" i="1"/>
  <c r="I4469" i="1" s="1"/>
  <c r="J4469" i="1" s="1"/>
  <c r="G4469" i="1"/>
  <c r="I4468" i="1"/>
  <c r="J4468" i="1" s="1"/>
  <c r="G4468" i="1"/>
  <c r="I4467" i="1"/>
  <c r="J4467" i="1" s="1"/>
  <c r="G4467" i="1"/>
  <c r="I4466" i="1"/>
  <c r="J4466" i="1" s="1"/>
  <c r="G4466" i="1"/>
  <c r="I4465" i="1"/>
  <c r="J4465" i="1" s="1"/>
  <c r="G4465" i="1"/>
  <c r="I4464" i="1"/>
  <c r="J4464" i="1" s="1"/>
  <c r="G4464" i="1"/>
  <c r="I4463" i="1"/>
  <c r="J4463" i="1" s="1"/>
  <c r="G4463" i="1"/>
  <c r="H4462" i="1"/>
  <c r="I4462" i="1" s="1"/>
  <c r="J4462" i="1" s="1"/>
  <c r="G4462" i="1"/>
  <c r="I4461" i="1"/>
  <c r="J4461" i="1" s="1"/>
  <c r="G4461" i="1"/>
  <c r="J4460" i="1"/>
  <c r="I4460" i="1"/>
  <c r="G4460" i="1"/>
  <c r="J4459" i="1"/>
  <c r="I4459" i="1"/>
  <c r="G4459" i="1"/>
  <c r="I4458" i="1"/>
  <c r="J4458" i="1" s="1"/>
  <c r="G4458" i="1"/>
  <c r="I4457" i="1"/>
  <c r="J4457" i="1" s="1"/>
  <c r="G4457" i="1"/>
  <c r="H4456" i="1"/>
  <c r="I4456" i="1" s="1"/>
  <c r="J4456" i="1" s="1"/>
  <c r="G4456" i="1"/>
  <c r="J4455" i="1"/>
  <c r="I4455" i="1"/>
  <c r="G4455" i="1"/>
  <c r="J4454" i="1"/>
  <c r="I4454" i="1"/>
  <c r="G4454" i="1"/>
  <c r="I4453" i="1"/>
  <c r="J4453" i="1" s="1"/>
  <c r="G4453" i="1"/>
  <c r="I4452" i="1"/>
  <c r="J4452" i="1" s="1"/>
  <c r="G4452" i="1"/>
  <c r="J4451" i="1"/>
  <c r="I4451" i="1"/>
  <c r="G4451" i="1"/>
  <c r="J4450" i="1"/>
  <c r="I4450" i="1"/>
  <c r="G4450" i="1"/>
  <c r="I4449" i="1"/>
  <c r="J4449" i="1" s="1"/>
  <c r="G4449" i="1"/>
  <c r="I4448" i="1"/>
  <c r="J4448" i="1" s="1"/>
  <c r="G4448" i="1"/>
  <c r="J4447" i="1"/>
  <c r="I4447" i="1"/>
  <c r="G4447" i="1"/>
  <c r="H4446" i="1"/>
  <c r="I4446" i="1" s="1"/>
  <c r="J4446" i="1" s="1"/>
  <c r="G4446" i="1"/>
  <c r="I4445" i="1"/>
  <c r="J4445" i="1" s="1"/>
  <c r="H4445" i="1"/>
  <c r="G4445" i="1"/>
  <c r="I4444" i="1"/>
  <c r="J4444" i="1" s="1"/>
  <c r="H4444" i="1"/>
  <c r="G4444" i="1"/>
  <c r="H4443" i="1"/>
  <c r="I4443" i="1" s="1"/>
  <c r="J4443" i="1" s="1"/>
  <c r="G4443" i="1"/>
  <c r="I4442" i="1"/>
  <c r="J4442" i="1" s="1"/>
  <c r="G4442" i="1"/>
  <c r="I4441" i="1"/>
  <c r="J4441" i="1" s="1"/>
  <c r="G4441" i="1"/>
  <c r="I4440" i="1"/>
  <c r="J4440" i="1" s="1"/>
  <c r="G4440" i="1"/>
  <c r="I4439" i="1"/>
  <c r="J4439" i="1" s="1"/>
  <c r="G4439" i="1"/>
  <c r="I4438" i="1"/>
  <c r="J4438" i="1" s="1"/>
  <c r="H4438" i="1"/>
  <c r="G4438" i="1"/>
  <c r="J4437" i="1"/>
  <c r="I4437" i="1"/>
  <c r="H4437" i="1"/>
  <c r="G4437" i="1"/>
  <c r="J4436" i="1"/>
  <c r="I4436" i="1"/>
  <c r="G4436" i="1"/>
  <c r="I4435" i="1"/>
  <c r="J4435" i="1" s="1"/>
  <c r="G4435" i="1"/>
  <c r="I4434" i="1"/>
  <c r="J4434" i="1" s="1"/>
  <c r="G4434" i="1"/>
  <c r="J4433" i="1"/>
  <c r="I4433" i="1"/>
  <c r="G4433" i="1"/>
  <c r="J4432" i="1"/>
  <c r="I4432" i="1"/>
  <c r="G4432" i="1"/>
  <c r="I4431" i="1"/>
  <c r="J4431" i="1" s="1"/>
  <c r="G4431" i="1"/>
  <c r="I4430" i="1"/>
  <c r="J4430" i="1" s="1"/>
  <c r="G4430" i="1"/>
  <c r="J4429" i="1"/>
  <c r="I4429" i="1"/>
  <c r="G4429" i="1"/>
  <c r="J4428" i="1"/>
  <c r="I4428" i="1"/>
  <c r="G4428" i="1"/>
  <c r="H4427" i="1"/>
  <c r="I4427" i="1" s="1"/>
  <c r="J4427" i="1" s="1"/>
  <c r="G4427" i="1"/>
  <c r="H4426" i="1"/>
  <c r="I4426" i="1" s="1"/>
  <c r="J4426" i="1" s="1"/>
  <c r="G4426" i="1"/>
  <c r="I4425" i="1"/>
  <c r="J4425" i="1" s="1"/>
  <c r="H4425" i="1"/>
  <c r="G4425" i="1"/>
  <c r="H4424" i="1"/>
  <c r="I4424" i="1" s="1"/>
  <c r="J4424" i="1" s="1"/>
  <c r="G4424" i="1"/>
  <c r="H4423" i="1"/>
  <c r="I4423" i="1" s="1"/>
  <c r="J4423" i="1" s="1"/>
  <c r="G4423" i="1"/>
  <c r="I4422" i="1"/>
  <c r="J4422" i="1" s="1"/>
  <c r="G4422" i="1"/>
  <c r="H4421" i="1"/>
  <c r="I4421" i="1" s="1"/>
  <c r="J4421" i="1" s="1"/>
  <c r="G4421" i="1"/>
  <c r="F4421" i="1"/>
  <c r="I4420" i="1"/>
  <c r="J4420" i="1" s="1"/>
  <c r="H4420" i="1"/>
  <c r="G4420" i="1"/>
  <c r="I4419" i="1"/>
  <c r="J4419" i="1" s="1"/>
  <c r="H4419" i="1"/>
  <c r="G4419" i="1"/>
  <c r="I4418" i="1"/>
  <c r="J4418" i="1" s="1"/>
  <c r="G4418" i="1"/>
  <c r="H4417" i="1"/>
  <c r="I4417" i="1" s="1"/>
  <c r="J4417" i="1" s="1"/>
  <c r="G4417" i="1"/>
  <c r="I4416" i="1"/>
  <c r="J4416" i="1" s="1"/>
  <c r="G4416" i="1"/>
  <c r="I4415" i="1"/>
  <c r="J4415" i="1" s="1"/>
  <c r="G4415" i="1"/>
  <c r="I4414" i="1"/>
  <c r="J4414" i="1" s="1"/>
  <c r="G4414" i="1"/>
  <c r="I4413" i="1"/>
  <c r="J4413" i="1" s="1"/>
  <c r="G4413" i="1"/>
  <c r="I4412" i="1"/>
  <c r="J4412" i="1" s="1"/>
  <c r="G4412" i="1"/>
  <c r="I4411" i="1"/>
  <c r="J4411" i="1" s="1"/>
  <c r="G4411" i="1"/>
  <c r="I4410" i="1"/>
  <c r="J4410" i="1" s="1"/>
  <c r="H4410" i="1"/>
  <c r="G4410" i="1"/>
  <c r="I4409" i="1"/>
  <c r="J4409" i="1" s="1"/>
  <c r="G4409" i="1"/>
  <c r="I4408" i="1"/>
  <c r="J4408" i="1" s="1"/>
  <c r="G4408" i="1"/>
  <c r="I4407" i="1"/>
  <c r="J4407" i="1" s="1"/>
  <c r="G4407" i="1"/>
  <c r="J4406" i="1"/>
  <c r="I4406" i="1"/>
  <c r="G4406" i="1"/>
  <c r="J4405" i="1"/>
  <c r="I4405" i="1"/>
  <c r="H4405" i="1"/>
  <c r="G4405" i="1"/>
  <c r="J4404" i="1"/>
  <c r="I4404" i="1"/>
  <c r="G4404" i="1"/>
  <c r="H4403" i="1"/>
  <c r="I4403" i="1" s="1"/>
  <c r="J4403" i="1" s="1"/>
  <c r="G4403" i="1"/>
  <c r="I4402" i="1"/>
  <c r="J4402" i="1" s="1"/>
  <c r="G4402" i="1"/>
  <c r="I4401" i="1"/>
  <c r="J4401" i="1" s="1"/>
  <c r="G4401" i="1"/>
  <c r="I4400" i="1"/>
  <c r="J4400" i="1" s="1"/>
  <c r="G4400" i="1"/>
  <c r="I4399" i="1"/>
  <c r="J4399" i="1" s="1"/>
  <c r="G4399" i="1"/>
  <c r="I4398" i="1"/>
  <c r="J4398" i="1" s="1"/>
  <c r="G4398" i="1"/>
  <c r="I4397" i="1"/>
  <c r="J4397" i="1" s="1"/>
  <c r="G4397" i="1"/>
  <c r="I4396" i="1"/>
  <c r="J4396" i="1" s="1"/>
  <c r="G4396" i="1"/>
  <c r="I4395" i="1"/>
  <c r="J4395" i="1" s="1"/>
  <c r="H4395" i="1"/>
  <c r="G4395" i="1"/>
  <c r="I4394" i="1"/>
  <c r="J4394" i="1" s="1"/>
  <c r="G4394" i="1"/>
  <c r="I4393" i="1"/>
  <c r="J4393" i="1" s="1"/>
  <c r="G4393" i="1"/>
  <c r="I4392" i="1"/>
  <c r="J4392" i="1" s="1"/>
  <c r="G4392" i="1"/>
  <c r="J4391" i="1"/>
  <c r="I4391" i="1"/>
  <c r="G4391" i="1"/>
  <c r="J4390" i="1"/>
  <c r="I4390" i="1"/>
  <c r="G4390" i="1"/>
  <c r="F4389" i="1"/>
  <c r="I4389" i="1" s="1"/>
  <c r="J4389" i="1" s="1"/>
  <c r="I4388" i="1"/>
  <c r="J4388" i="1" s="1"/>
  <c r="G4388" i="1"/>
  <c r="I4387" i="1"/>
  <c r="J4387" i="1" s="1"/>
  <c r="G4387" i="1"/>
  <c r="J4386" i="1"/>
  <c r="I4386" i="1"/>
  <c r="G4386" i="1"/>
  <c r="J4385" i="1"/>
  <c r="I4385" i="1"/>
  <c r="G4385" i="1"/>
  <c r="I4384" i="1"/>
  <c r="J4384" i="1" s="1"/>
  <c r="G4384" i="1"/>
  <c r="I4383" i="1"/>
  <c r="J4383" i="1" s="1"/>
  <c r="G4383" i="1"/>
  <c r="J4382" i="1"/>
  <c r="I4382" i="1"/>
  <c r="G4382" i="1"/>
  <c r="J4381" i="1"/>
  <c r="I4381" i="1"/>
  <c r="G4381" i="1"/>
  <c r="I4380" i="1"/>
  <c r="J4380" i="1" s="1"/>
  <c r="G4380" i="1"/>
  <c r="H4379" i="1"/>
  <c r="I4379" i="1" s="1"/>
  <c r="J4379" i="1" s="1"/>
  <c r="G4379" i="1"/>
  <c r="I4378" i="1"/>
  <c r="J4378" i="1" s="1"/>
  <c r="G4378" i="1"/>
  <c r="I4377" i="1"/>
  <c r="J4377" i="1" s="1"/>
  <c r="G4377" i="1"/>
  <c r="I4376" i="1"/>
  <c r="J4376" i="1" s="1"/>
  <c r="G4376" i="1"/>
  <c r="I4375" i="1"/>
  <c r="J4375" i="1" s="1"/>
  <c r="G4375" i="1"/>
  <c r="I4374" i="1"/>
  <c r="J4374" i="1" s="1"/>
  <c r="G4374" i="1"/>
  <c r="I4373" i="1"/>
  <c r="J4373" i="1" s="1"/>
  <c r="G4373" i="1"/>
  <c r="I4372" i="1"/>
  <c r="J4372" i="1" s="1"/>
  <c r="H4372" i="1"/>
  <c r="G4372" i="1"/>
  <c r="I4371" i="1"/>
  <c r="J4371" i="1" s="1"/>
  <c r="G4371" i="1"/>
  <c r="I4370" i="1"/>
  <c r="J4370" i="1" s="1"/>
  <c r="G4370" i="1"/>
  <c r="I4369" i="1"/>
  <c r="J4369" i="1" s="1"/>
  <c r="G4369" i="1"/>
  <c r="J4368" i="1"/>
  <c r="I4368" i="1"/>
  <c r="G4368" i="1"/>
  <c r="I4367" i="1"/>
  <c r="J4367" i="1" s="1"/>
  <c r="G4367" i="1"/>
  <c r="I4366" i="1"/>
  <c r="J4366" i="1" s="1"/>
  <c r="G4366" i="1"/>
  <c r="I4365" i="1"/>
  <c r="J4365" i="1" s="1"/>
  <c r="G4365" i="1"/>
  <c r="J4364" i="1"/>
  <c r="I4364" i="1"/>
  <c r="G4364" i="1"/>
  <c r="J4363" i="1"/>
  <c r="I4363" i="1"/>
  <c r="G4363" i="1"/>
  <c r="I4362" i="1"/>
  <c r="J4362" i="1" s="1"/>
  <c r="G4362" i="1"/>
  <c r="I4361" i="1"/>
  <c r="J4361" i="1" s="1"/>
  <c r="G4361" i="1"/>
  <c r="J4360" i="1"/>
  <c r="I4360" i="1"/>
  <c r="G4360" i="1"/>
  <c r="J4359" i="1"/>
  <c r="I4359" i="1"/>
  <c r="G4359" i="1"/>
  <c r="I4358" i="1"/>
  <c r="J4358" i="1" s="1"/>
  <c r="G4358" i="1"/>
  <c r="I4357" i="1"/>
  <c r="J4357" i="1" s="1"/>
  <c r="G4357" i="1"/>
  <c r="J4356" i="1"/>
  <c r="I4356" i="1"/>
  <c r="G4356" i="1"/>
  <c r="I4355" i="1"/>
  <c r="J4355" i="1" s="1"/>
  <c r="H4355" i="1"/>
  <c r="G4355" i="1"/>
  <c r="J4354" i="1"/>
  <c r="I4354" i="1"/>
  <c r="G4354" i="1"/>
  <c r="I4353" i="1"/>
  <c r="J4353" i="1" s="1"/>
  <c r="G4353" i="1"/>
  <c r="J4352" i="1"/>
  <c r="I4352" i="1"/>
  <c r="G4352" i="1"/>
  <c r="J4351" i="1"/>
  <c r="I4351" i="1"/>
  <c r="G4351" i="1"/>
  <c r="J4350" i="1"/>
  <c r="I4350" i="1"/>
  <c r="G4350" i="1"/>
  <c r="H4349" i="1"/>
  <c r="I4349" i="1" s="1"/>
  <c r="J4349" i="1" s="1"/>
  <c r="G4349" i="1"/>
  <c r="I4348" i="1"/>
  <c r="J4348" i="1" s="1"/>
  <c r="G4348" i="1"/>
  <c r="I4347" i="1"/>
  <c r="J4347" i="1" s="1"/>
  <c r="G4347" i="1"/>
  <c r="I4346" i="1"/>
  <c r="J4346" i="1" s="1"/>
  <c r="G4346" i="1"/>
  <c r="J4345" i="1"/>
  <c r="I4345" i="1"/>
  <c r="G4345" i="1"/>
  <c r="I4344" i="1"/>
  <c r="J4344" i="1" s="1"/>
  <c r="G4344" i="1"/>
  <c r="I4343" i="1"/>
  <c r="J4343" i="1" s="1"/>
  <c r="G4343" i="1"/>
  <c r="I4342" i="1"/>
  <c r="J4342" i="1" s="1"/>
  <c r="G4342" i="1"/>
  <c r="J4341" i="1"/>
  <c r="I4341" i="1"/>
  <c r="G4341" i="1"/>
  <c r="I4340" i="1"/>
  <c r="J4340" i="1" s="1"/>
  <c r="G4340" i="1"/>
  <c r="H4339" i="1"/>
  <c r="I4339" i="1" s="1"/>
  <c r="J4339" i="1" s="1"/>
  <c r="G4339" i="1"/>
  <c r="H4338" i="1"/>
  <c r="I4338" i="1" s="1"/>
  <c r="J4338" i="1" s="1"/>
  <c r="G4338" i="1"/>
  <c r="J4337" i="1"/>
  <c r="I4337" i="1"/>
  <c r="G4337" i="1"/>
  <c r="J4336" i="1"/>
  <c r="I4336" i="1"/>
  <c r="G4336" i="1"/>
  <c r="J4335" i="1"/>
  <c r="I4335" i="1"/>
  <c r="G4335" i="1"/>
  <c r="I4334" i="1"/>
  <c r="J4334" i="1" s="1"/>
  <c r="H4334" i="1"/>
  <c r="G4334" i="1"/>
  <c r="I4333" i="1"/>
  <c r="J4333" i="1" s="1"/>
  <c r="G4333" i="1"/>
  <c r="I4332" i="1"/>
  <c r="J4332" i="1" s="1"/>
  <c r="G4332" i="1"/>
  <c r="H4331" i="1"/>
  <c r="I4331" i="1" s="1"/>
  <c r="J4331" i="1" s="1"/>
  <c r="G4331" i="1"/>
  <c r="J4330" i="1"/>
  <c r="I4330" i="1"/>
  <c r="G4330" i="1"/>
  <c r="J4329" i="1"/>
  <c r="I4329" i="1"/>
  <c r="G4329" i="1"/>
  <c r="I4328" i="1"/>
  <c r="J4328" i="1" s="1"/>
  <c r="G4328" i="1"/>
  <c r="I4327" i="1"/>
  <c r="J4327" i="1" s="1"/>
  <c r="H4327" i="1"/>
  <c r="G4327" i="1"/>
  <c r="H4326" i="1"/>
  <c r="I4326" i="1" s="1"/>
  <c r="J4326" i="1" s="1"/>
  <c r="G4326" i="1"/>
  <c r="I4325" i="1"/>
  <c r="J4325" i="1" s="1"/>
  <c r="G4325" i="1"/>
  <c r="I4324" i="1"/>
  <c r="J4324" i="1" s="1"/>
  <c r="G4324" i="1"/>
  <c r="J4323" i="1"/>
  <c r="I4323" i="1"/>
  <c r="G4323" i="1"/>
  <c r="I4322" i="1"/>
  <c r="J4322" i="1" s="1"/>
  <c r="G4322" i="1"/>
  <c r="I4321" i="1"/>
  <c r="J4321" i="1" s="1"/>
  <c r="G4321" i="1"/>
  <c r="I4320" i="1"/>
  <c r="J4320" i="1" s="1"/>
  <c r="G4320" i="1"/>
  <c r="I4319" i="1"/>
  <c r="J4319" i="1" s="1"/>
  <c r="G4319" i="1"/>
  <c r="I4318" i="1"/>
  <c r="J4318" i="1" s="1"/>
  <c r="G4318" i="1"/>
  <c r="I4317" i="1"/>
  <c r="J4317" i="1" s="1"/>
  <c r="G4317" i="1"/>
  <c r="I4316" i="1"/>
  <c r="J4316" i="1" s="1"/>
  <c r="G4316" i="1"/>
  <c r="J4315" i="1"/>
  <c r="I4315" i="1"/>
  <c r="G4315" i="1"/>
  <c r="I4314" i="1"/>
  <c r="J4314" i="1" s="1"/>
  <c r="G4314" i="1"/>
  <c r="I4313" i="1"/>
  <c r="J4313" i="1" s="1"/>
  <c r="G4313" i="1"/>
  <c r="I4312" i="1"/>
  <c r="J4312" i="1" s="1"/>
  <c r="G4312" i="1"/>
  <c r="J4311" i="1"/>
  <c r="I4311" i="1"/>
  <c r="H4311" i="1"/>
  <c r="G4311" i="1"/>
  <c r="I4310" i="1"/>
  <c r="J4310" i="1" s="1"/>
  <c r="G4310" i="1"/>
  <c r="I4309" i="1"/>
  <c r="J4309" i="1" s="1"/>
  <c r="G4309" i="1"/>
  <c r="I4308" i="1"/>
  <c r="J4308" i="1" s="1"/>
  <c r="G4308" i="1"/>
  <c r="J4307" i="1"/>
  <c r="I4307" i="1"/>
  <c r="H4307" i="1"/>
  <c r="G4307" i="1"/>
  <c r="J4306" i="1"/>
  <c r="I4306" i="1"/>
  <c r="G4306" i="1"/>
  <c r="J4305" i="1"/>
  <c r="I4305" i="1"/>
  <c r="G4305" i="1"/>
  <c r="J4304" i="1"/>
  <c r="I4304" i="1"/>
  <c r="G4304" i="1"/>
  <c r="J4303" i="1"/>
  <c r="I4303" i="1"/>
  <c r="G4303" i="1"/>
  <c r="J4302" i="1"/>
  <c r="I4302" i="1"/>
  <c r="G4302" i="1"/>
  <c r="J4301" i="1"/>
  <c r="I4301" i="1"/>
  <c r="G4301" i="1"/>
  <c r="J4300" i="1"/>
  <c r="I4300" i="1"/>
  <c r="G4300" i="1"/>
  <c r="J4299" i="1"/>
  <c r="I4299" i="1"/>
  <c r="G4299" i="1"/>
  <c r="J4298" i="1"/>
  <c r="G4298" i="1"/>
  <c r="I4297" i="1"/>
  <c r="J4297" i="1" s="1"/>
  <c r="G4297" i="1"/>
  <c r="I4296" i="1"/>
  <c r="J4296" i="1" s="1"/>
  <c r="G4296" i="1"/>
  <c r="J4295" i="1"/>
  <c r="I4295" i="1"/>
  <c r="G4295" i="1"/>
  <c r="J4294" i="1"/>
  <c r="I4294" i="1"/>
  <c r="G4294" i="1"/>
  <c r="I4293" i="1"/>
  <c r="J4293" i="1" s="1"/>
  <c r="H4293" i="1"/>
  <c r="G4293" i="1"/>
  <c r="I4292" i="1"/>
  <c r="J4292" i="1" s="1"/>
  <c r="G4292" i="1"/>
  <c r="J4291" i="1"/>
  <c r="I4291" i="1"/>
  <c r="G4291" i="1"/>
  <c r="J4290" i="1"/>
  <c r="H4290" i="1"/>
  <c r="I4290" i="1" s="1"/>
  <c r="G4290" i="1"/>
  <c r="H4289" i="1"/>
  <c r="I4289" i="1" s="1"/>
  <c r="J4289" i="1" s="1"/>
  <c r="G4289" i="1"/>
  <c r="J4288" i="1"/>
  <c r="I4288" i="1"/>
  <c r="G4288" i="1"/>
  <c r="I4287" i="1"/>
  <c r="J4287" i="1" s="1"/>
  <c r="G4287" i="1"/>
  <c r="I4286" i="1"/>
  <c r="J4286" i="1" s="1"/>
  <c r="G4286" i="1"/>
  <c r="I4285" i="1"/>
  <c r="J4285" i="1" s="1"/>
  <c r="G4285" i="1"/>
  <c r="J4284" i="1"/>
  <c r="I4284" i="1"/>
  <c r="G4284" i="1"/>
  <c r="J4283" i="1"/>
  <c r="I4283" i="1"/>
  <c r="G4283" i="1"/>
  <c r="I4282" i="1"/>
  <c r="J4282" i="1" s="1"/>
  <c r="G4282" i="1"/>
  <c r="I4281" i="1"/>
  <c r="J4281" i="1" s="1"/>
  <c r="G4281" i="1"/>
  <c r="I4280" i="1"/>
  <c r="J4280" i="1" s="1"/>
  <c r="G4280" i="1"/>
  <c r="I4279" i="1"/>
  <c r="J4279" i="1" s="1"/>
  <c r="G4279" i="1"/>
  <c r="I4278" i="1"/>
  <c r="J4278" i="1" s="1"/>
  <c r="G4278" i="1"/>
  <c r="I4277" i="1"/>
  <c r="J4277" i="1" s="1"/>
  <c r="G4277" i="1"/>
  <c r="J4276" i="1"/>
  <c r="I4276" i="1"/>
  <c r="G4276" i="1"/>
  <c r="I4275" i="1"/>
  <c r="J4275" i="1" s="1"/>
  <c r="G4275" i="1"/>
  <c r="I4274" i="1"/>
  <c r="J4274" i="1" s="1"/>
  <c r="G4274" i="1"/>
  <c r="I4273" i="1"/>
  <c r="J4273" i="1" s="1"/>
  <c r="G4273" i="1"/>
  <c r="J4272" i="1"/>
  <c r="I4272" i="1"/>
  <c r="H4272" i="1"/>
  <c r="G4272" i="1"/>
  <c r="J4271" i="1"/>
  <c r="I4271" i="1"/>
  <c r="G4271" i="1"/>
  <c r="J4270" i="1"/>
  <c r="I4270" i="1"/>
  <c r="G4270" i="1"/>
  <c r="J4269" i="1"/>
  <c r="I4269" i="1"/>
  <c r="G4269" i="1"/>
  <c r="I4268" i="1"/>
  <c r="J4268" i="1" s="1"/>
  <c r="G4268" i="1"/>
  <c r="J4267" i="1"/>
  <c r="I4267" i="1"/>
  <c r="G4267" i="1"/>
  <c r="J4266" i="1"/>
  <c r="I4266" i="1"/>
  <c r="G4266" i="1"/>
  <c r="J4265" i="1"/>
  <c r="H4265" i="1"/>
  <c r="I4265" i="1" s="1"/>
  <c r="G4265" i="1"/>
  <c r="J4264" i="1"/>
  <c r="I4264" i="1"/>
  <c r="G4264" i="1"/>
  <c r="I4263" i="1"/>
  <c r="J4263" i="1" s="1"/>
  <c r="G4263" i="1"/>
  <c r="I4262" i="1"/>
  <c r="J4262" i="1" s="1"/>
  <c r="G4262" i="1"/>
  <c r="J4261" i="1"/>
  <c r="I4261" i="1"/>
  <c r="G4261" i="1"/>
  <c r="J4260" i="1"/>
  <c r="I4260" i="1"/>
  <c r="G4260" i="1"/>
  <c r="I4259" i="1"/>
  <c r="J4259" i="1" s="1"/>
  <c r="G4259" i="1"/>
  <c r="I4258" i="1"/>
  <c r="J4258" i="1" s="1"/>
  <c r="G4258" i="1"/>
  <c r="J4257" i="1"/>
  <c r="I4257" i="1"/>
  <c r="G4257" i="1"/>
  <c r="J4256" i="1"/>
  <c r="I4256" i="1"/>
  <c r="G4256" i="1"/>
  <c r="I4255" i="1"/>
  <c r="J4255" i="1" s="1"/>
  <c r="G4255" i="1"/>
  <c r="I4254" i="1"/>
  <c r="J4254" i="1" s="1"/>
  <c r="G4254" i="1"/>
  <c r="I4253" i="1"/>
  <c r="J4253" i="1" s="1"/>
  <c r="G4253" i="1"/>
  <c r="I4252" i="1"/>
  <c r="J4252" i="1" s="1"/>
  <c r="G4252" i="1"/>
  <c r="I4251" i="1"/>
  <c r="J4251" i="1" s="1"/>
  <c r="G4251" i="1"/>
  <c r="A4251" i="1"/>
  <c r="J4250" i="1"/>
  <c r="I4250" i="1"/>
  <c r="G4250" i="1"/>
  <c r="A4250" i="1"/>
  <c r="J4249" i="1"/>
  <c r="I4249" i="1"/>
  <c r="G4249" i="1"/>
  <c r="A4249" i="1"/>
  <c r="I4248" i="1"/>
  <c r="J4248" i="1" s="1"/>
  <c r="H4248" i="1"/>
  <c r="G4248" i="1"/>
  <c r="I4247" i="1"/>
  <c r="J4247" i="1" s="1"/>
  <c r="G4247" i="1"/>
  <c r="I4246" i="1"/>
  <c r="J4246" i="1" s="1"/>
  <c r="G4246" i="1"/>
  <c r="J4245" i="1"/>
  <c r="I4245" i="1"/>
  <c r="G4245" i="1"/>
  <c r="J4244" i="1"/>
  <c r="I4244" i="1"/>
  <c r="G4244" i="1"/>
  <c r="I4243" i="1"/>
  <c r="J4243" i="1" s="1"/>
  <c r="G4243" i="1"/>
  <c r="I4242" i="1"/>
  <c r="J4242" i="1" s="1"/>
  <c r="G4242" i="1"/>
  <c r="J4241" i="1"/>
  <c r="I4241" i="1"/>
  <c r="G4241" i="1"/>
  <c r="J4240" i="1"/>
  <c r="I4240" i="1"/>
  <c r="G4240" i="1"/>
  <c r="I4239" i="1"/>
  <c r="J4239" i="1" s="1"/>
  <c r="G4239" i="1"/>
  <c r="I4238" i="1"/>
  <c r="J4238" i="1" s="1"/>
  <c r="G4238" i="1"/>
  <c r="J4237" i="1"/>
  <c r="I4237" i="1"/>
  <c r="G4237" i="1"/>
  <c r="J4236" i="1"/>
  <c r="I4236" i="1"/>
  <c r="H4236" i="1"/>
  <c r="G4236" i="1"/>
  <c r="J4235" i="1"/>
  <c r="I4235" i="1"/>
  <c r="G4235" i="1"/>
  <c r="J4234" i="1"/>
  <c r="I4234" i="1"/>
  <c r="G4234" i="1"/>
  <c r="H4233" i="1"/>
  <c r="I4233" i="1" s="1"/>
  <c r="J4233" i="1" s="1"/>
  <c r="G4233" i="1"/>
  <c r="I4232" i="1"/>
  <c r="J4232" i="1" s="1"/>
  <c r="G4232" i="1"/>
  <c r="I4231" i="1"/>
  <c r="J4231" i="1" s="1"/>
  <c r="G4231" i="1"/>
  <c r="I4230" i="1"/>
  <c r="J4230" i="1" s="1"/>
  <c r="G4230" i="1"/>
  <c r="I4229" i="1"/>
  <c r="J4229" i="1" s="1"/>
  <c r="G4229" i="1"/>
  <c r="I4228" i="1"/>
  <c r="J4228" i="1" s="1"/>
  <c r="G4228" i="1"/>
  <c r="I4227" i="1"/>
  <c r="J4227" i="1" s="1"/>
  <c r="G4227" i="1"/>
  <c r="J4226" i="1"/>
  <c r="I4226" i="1"/>
  <c r="G4226" i="1"/>
  <c r="I4225" i="1"/>
  <c r="J4225" i="1" s="1"/>
  <c r="G4225" i="1"/>
  <c r="I4224" i="1"/>
  <c r="J4224" i="1" s="1"/>
  <c r="G4224" i="1"/>
  <c r="J4223" i="1"/>
  <c r="I4223" i="1"/>
  <c r="G4223" i="1"/>
  <c r="H4222" i="1"/>
  <c r="I4222" i="1" s="1"/>
  <c r="J4222" i="1" s="1"/>
  <c r="G4222" i="1"/>
  <c r="I4221" i="1"/>
  <c r="J4221" i="1" s="1"/>
  <c r="G4221" i="1"/>
  <c r="J4220" i="1"/>
  <c r="I4220" i="1"/>
  <c r="G4220" i="1"/>
  <c r="J4219" i="1"/>
  <c r="I4219" i="1"/>
  <c r="G4219" i="1"/>
  <c r="I4218" i="1"/>
  <c r="J4218" i="1" s="1"/>
  <c r="G4218" i="1"/>
  <c r="I4217" i="1"/>
  <c r="J4217" i="1" s="1"/>
  <c r="H4217" i="1"/>
  <c r="G4217" i="1"/>
  <c r="H4216" i="1"/>
  <c r="I4216" i="1" s="1"/>
  <c r="J4216" i="1" s="1"/>
  <c r="G4216" i="1"/>
  <c r="J4215" i="1"/>
  <c r="I4215" i="1"/>
  <c r="G4215" i="1"/>
  <c r="I4214" i="1"/>
  <c r="J4214" i="1" s="1"/>
  <c r="G4214" i="1"/>
  <c r="I4213" i="1"/>
  <c r="J4213" i="1" s="1"/>
  <c r="G4213" i="1"/>
  <c r="J4212" i="1"/>
  <c r="I4212" i="1"/>
  <c r="G4212" i="1"/>
  <c r="J4211" i="1"/>
  <c r="I4211" i="1"/>
  <c r="G4211" i="1"/>
  <c r="I4210" i="1"/>
  <c r="J4210" i="1" s="1"/>
  <c r="G4210" i="1"/>
  <c r="I4209" i="1"/>
  <c r="J4209" i="1" s="1"/>
  <c r="H4209" i="1"/>
  <c r="G4209" i="1"/>
  <c r="J4208" i="1"/>
  <c r="I4208" i="1"/>
  <c r="G4208" i="1"/>
  <c r="I4207" i="1"/>
  <c r="J4207" i="1" s="1"/>
  <c r="G4207" i="1"/>
  <c r="J4206" i="1"/>
  <c r="I4206" i="1"/>
  <c r="G4206" i="1"/>
  <c r="J4205" i="1"/>
  <c r="I4205" i="1"/>
  <c r="G4205" i="1"/>
  <c r="J4204" i="1"/>
  <c r="I4204" i="1"/>
  <c r="H4204" i="1"/>
  <c r="G4204" i="1"/>
  <c r="J4203" i="1"/>
  <c r="I4203" i="1"/>
  <c r="G4203" i="1"/>
  <c r="J4202" i="1"/>
  <c r="I4202" i="1"/>
  <c r="G4202" i="1"/>
  <c r="I4201" i="1"/>
  <c r="J4201" i="1" s="1"/>
  <c r="G4201" i="1"/>
  <c r="J4200" i="1"/>
  <c r="I4200" i="1"/>
  <c r="G4200" i="1"/>
  <c r="J4199" i="1"/>
  <c r="I4199" i="1"/>
  <c r="G4199" i="1"/>
  <c r="J4198" i="1"/>
  <c r="I4198" i="1"/>
  <c r="G4198" i="1"/>
  <c r="I4197" i="1"/>
  <c r="J4197" i="1" s="1"/>
  <c r="G4197" i="1"/>
  <c r="H4196" i="1"/>
  <c r="I4196" i="1" s="1"/>
  <c r="J4196" i="1" s="1"/>
  <c r="G4196" i="1"/>
  <c r="I4195" i="1"/>
  <c r="J4195" i="1" s="1"/>
  <c r="G4195" i="1"/>
  <c r="I4194" i="1"/>
  <c r="J4194" i="1" s="1"/>
  <c r="G4194" i="1"/>
  <c r="J4193" i="1"/>
  <c r="I4193" i="1"/>
  <c r="G4193" i="1"/>
  <c r="J4192" i="1"/>
  <c r="I4192" i="1"/>
  <c r="G4192" i="1"/>
  <c r="I4191" i="1"/>
  <c r="J4191" i="1" s="1"/>
  <c r="G4191" i="1"/>
  <c r="I4190" i="1"/>
  <c r="J4190" i="1" s="1"/>
  <c r="G4190" i="1"/>
  <c r="I4189" i="1"/>
  <c r="J4189" i="1" s="1"/>
  <c r="G4189" i="1"/>
  <c r="I4188" i="1"/>
  <c r="J4188" i="1" s="1"/>
  <c r="H4188" i="1"/>
  <c r="G4188" i="1"/>
  <c r="I4187" i="1"/>
  <c r="J4187" i="1" s="1"/>
  <c r="G4187" i="1"/>
  <c r="I4186" i="1"/>
  <c r="J4186" i="1" s="1"/>
  <c r="H4186" i="1"/>
  <c r="G4186" i="1"/>
  <c r="J4185" i="1"/>
  <c r="I4185" i="1"/>
  <c r="G4185" i="1"/>
  <c r="J4184" i="1"/>
  <c r="I4184" i="1"/>
  <c r="G4184" i="1"/>
  <c r="J4183" i="1"/>
  <c r="I4183" i="1"/>
  <c r="G4183" i="1"/>
  <c r="J4182" i="1"/>
  <c r="I4182" i="1"/>
  <c r="G4182" i="1"/>
  <c r="J4181" i="1"/>
  <c r="I4181" i="1"/>
  <c r="G4181" i="1"/>
  <c r="J4180" i="1"/>
  <c r="I4180" i="1"/>
  <c r="G4180" i="1"/>
  <c r="J4179" i="1"/>
  <c r="I4179" i="1"/>
  <c r="G4179" i="1"/>
  <c r="H4178" i="1"/>
  <c r="I4178" i="1" s="1"/>
  <c r="J4178" i="1" s="1"/>
  <c r="G4178" i="1"/>
  <c r="I4177" i="1"/>
  <c r="J4177" i="1" s="1"/>
  <c r="G4177" i="1"/>
  <c r="I4176" i="1"/>
  <c r="J4176" i="1" s="1"/>
  <c r="G4176" i="1"/>
  <c r="H4175" i="1"/>
  <c r="I4175" i="1" s="1"/>
  <c r="J4175" i="1" s="1"/>
  <c r="G4175" i="1"/>
  <c r="J4174" i="1"/>
  <c r="I4174" i="1"/>
  <c r="G4174" i="1"/>
  <c r="J4173" i="1"/>
  <c r="I4173" i="1"/>
  <c r="G4173" i="1"/>
  <c r="J4172" i="1"/>
  <c r="I4172" i="1"/>
  <c r="G4172" i="1"/>
  <c r="I4171" i="1"/>
  <c r="J4171" i="1" s="1"/>
  <c r="G4171" i="1"/>
  <c r="J4170" i="1"/>
  <c r="I4170" i="1"/>
  <c r="G4170" i="1"/>
  <c r="J4169" i="1"/>
  <c r="I4169" i="1"/>
  <c r="G4169" i="1"/>
  <c r="J4168" i="1"/>
  <c r="I4168" i="1"/>
  <c r="H4168" i="1"/>
  <c r="G4168" i="1"/>
  <c r="J4167" i="1"/>
  <c r="I4167" i="1"/>
  <c r="G4167" i="1"/>
  <c r="I4166" i="1"/>
  <c r="J4166" i="1" s="1"/>
  <c r="H4166" i="1"/>
  <c r="G4166" i="1"/>
  <c r="I4165" i="1"/>
  <c r="J4165" i="1" s="1"/>
  <c r="H4165" i="1"/>
  <c r="G4165" i="1"/>
  <c r="I4164" i="1"/>
  <c r="J4164" i="1" s="1"/>
  <c r="G4164" i="1"/>
  <c r="I4163" i="1"/>
  <c r="J4163" i="1" s="1"/>
  <c r="G4163" i="1"/>
  <c r="J4162" i="1"/>
  <c r="I4162" i="1"/>
  <c r="G4162" i="1"/>
  <c r="J4161" i="1"/>
  <c r="I4161" i="1"/>
  <c r="H4161" i="1"/>
  <c r="G4161" i="1"/>
  <c r="I4160" i="1"/>
  <c r="J4160" i="1" s="1"/>
  <c r="G4160" i="1"/>
  <c r="J4159" i="1"/>
  <c r="I4159" i="1"/>
  <c r="G4159" i="1"/>
  <c r="J4158" i="1"/>
  <c r="H4158" i="1"/>
  <c r="I4158" i="1" s="1"/>
  <c r="G4158" i="1"/>
  <c r="I4157" i="1"/>
  <c r="J4157" i="1" s="1"/>
  <c r="G4157" i="1"/>
  <c r="I4156" i="1"/>
  <c r="J4156" i="1" s="1"/>
  <c r="G4156" i="1"/>
  <c r="I4155" i="1"/>
  <c r="J4155" i="1" s="1"/>
  <c r="G4155" i="1"/>
  <c r="I4154" i="1"/>
  <c r="J4154" i="1" s="1"/>
  <c r="H4154" i="1"/>
  <c r="G4154" i="1"/>
  <c r="I4153" i="1"/>
  <c r="J4153" i="1" s="1"/>
  <c r="G4153" i="1"/>
  <c r="I4152" i="1"/>
  <c r="J4152" i="1" s="1"/>
  <c r="G4152" i="1"/>
  <c r="I4151" i="1"/>
  <c r="J4151" i="1" s="1"/>
  <c r="H4151" i="1"/>
  <c r="G4151" i="1"/>
  <c r="J4150" i="1"/>
  <c r="H4150" i="1"/>
  <c r="I4150" i="1" s="1"/>
  <c r="G4150" i="1"/>
  <c r="J4149" i="1"/>
  <c r="I4149" i="1"/>
  <c r="H4149" i="1"/>
  <c r="G4149" i="1"/>
  <c r="J4148" i="1"/>
  <c r="I4148" i="1"/>
  <c r="G4148" i="1"/>
  <c r="I4147" i="1"/>
  <c r="J4147" i="1" s="1"/>
  <c r="G4147" i="1"/>
  <c r="I4146" i="1"/>
  <c r="J4146" i="1" s="1"/>
  <c r="G4146" i="1"/>
  <c r="J4145" i="1"/>
  <c r="I4145" i="1"/>
  <c r="G4145" i="1"/>
  <c r="J4144" i="1"/>
  <c r="I4144" i="1"/>
  <c r="G4144" i="1"/>
  <c r="I4143" i="1"/>
  <c r="J4143" i="1" s="1"/>
  <c r="H4143" i="1"/>
  <c r="G4143" i="1"/>
  <c r="I4142" i="1"/>
  <c r="J4142" i="1" s="1"/>
  <c r="G4142" i="1"/>
  <c r="H4141" i="1"/>
  <c r="I4141" i="1" s="1"/>
  <c r="J4141" i="1" s="1"/>
  <c r="G4141" i="1"/>
  <c r="I4140" i="1"/>
  <c r="J4140" i="1" s="1"/>
  <c r="G4140" i="1"/>
  <c r="I4139" i="1"/>
  <c r="J4139" i="1" s="1"/>
  <c r="G4139" i="1"/>
  <c r="I4138" i="1"/>
  <c r="J4138" i="1" s="1"/>
  <c r="G4138" i="1"/>
  <c r="J4137" i="1"/>
  <c r="I4137" i="1"/>
  <c r="G4137" i="1"/>
  <c r="I4136" i="1"/>
  <c r="J4136" i="1" s="1"/>
  <c r="G4136" i="1"/>
  <c r="I4135" i="1"/>
  <c r="J4135" i="1" s="1"/>
  <c r="H4135" i="1"/>
  <c r="G4135" i="1"/>
  <c r="H4134" i="1"/>
  <c r="I4134" i="1" s="1"/>
  <c r="J4134" i="1" s="1"/>
  <c r="G4134" i="1"/>
  <c r="J4133" i="1"/>
  <c r="I4133" i="1"/>
  <c r="G4133" i="1"/>
  <c r="J4132" i="1"/>
  <c r="I4132" i="1"/>
  <c r="G4132" i="1"/>
  <c r="I4131" i="1"/>
  <c r="J4131" i="1" s="1"/>
  <c r="G4131" i="1"/>
  <c r="I4130" i="1"/>
  <c r="J4130" i="1" s="1"/>
  <c r="G4130" i="1"/>
  <c r="J4129" i="1"/>
  <c r="I4129" i="1"/>
  <c r="G4129" i="1"/>
  <c r="J4128" i="1"/>
  <c r="H4128" i="1"/>
  <c r="I4128" i="1" s="1"/>
  <c r="G4128" i="1"/>
  <c r="I4127" i="1"/>
  <c r="J4127" i="1" s="1"/>
  <c r="H4127" i="1"/>
  <c r="G4127" i="1"/>
  <c r="I4126" i="1"/>
  <c r="J4126" i="1" s="1"/>
  <c r="G4126" i="1"/>
  <c r="I4125" i="1"/>
  <c r="J4125" i="1" s="1"/>
  <c r="G4125" i="1"/>
  <c r="I4124" i="1"/>
  <c r="J4124" i="1" s="1"/>
  <c r="G4124" i="1"/>
  <c r="J4123" i="1"/>
  <c r="I4123" i="1"/>
  <c r="H4123" i="1"/>
  <c r="G4123" i="1"/>
  <c r="J4122" i="1"/>
  <c r="I4122" i="1"/>
  <c r="G4122" i="1"/>
  <c r="J4121" i="1"/>
  <c r="I4121" i="1"/>
  <c r="G4121" i="1"/>
  <c r="H4120" i="1"/>
  <c r="I4120" i="1" s="1"/>
  <c r="J4120" i="1" s="1"/>
  <c r="G4120" i="1"/>
  <c r="I4119" i="1"/>
  <c r="J4119" i="1" s="1"/>
  <c r="G4119" i="1"/>
  <c r="I4118" i="1"/>
  <c r="J4118" i="1" s="1"/>
  <c r="G4118" i="1"/>
  <c r="I4117" i="1"/>
  <c r="J4117" i="1" s="1"/>
  <c r="G4117" i="1"/>
  <c r="I4116" i="1"/>
  <c r="J4116" i="1" s="1"/>
  <c r="H4116" i="1"/>
  <c r="G4116" i="1"/>
  <c r="J4115" i="1"/>
  <c r="I4115" i="1"/>
  <c r="G4115" i="1"/>
  <c r="J4114" i="1"/>
  <c r="I4114" i="1"/>
  <c r="G4114" i="1"/>
  <c r="J4113" i="1"/>
  <c r="I4113" i="1"/>
  <c r="G4113" i="1"/>
  <c r="H4112" i="1"/>
  <c r="I4112" i="1" s="1"/>
  <c r="J4112" i="1" s="1"/>
  <c r="G4112" i="1"/>
  <c r="J4111" i="1"/>
  <c r="I4111" i="1"/>
  <c r="G4111" i="1"/>
  <c r="J4110" i="1"/>
  <c r="I4110" i="1"/>
  <c r="G4110" i="1"/>
  <c r="H4109" i="1"/>
  <c r="I4109" i="1" s="1"/>
  <c r="J4109" i="1" s="1"/>
  <c r="G4109" i="1"/>
  <c r="J4108" i="1"/>
  <c r="I4108" i="1"/>
  <c r="G4108" i="1"/>
  <c r="I4107" i="1"/>
  <c r="J4107" i="1" s="1"/>
  <c r="G4107" i="1"/>
  <c r="I4106" i="1"/>
  <c r="J4106" i="1" s="1"/>
  <c r="G4106" i="1"/>
  <c r="J4105" i="1"/>
  <c r="I4105" i="1"/>
  <c r="G4105" i="1"/>
  <c r="J4104" i="1"/>
  <c r="I4104" i="1"/>
  <c r="G4104" i="1"/>
  <c r="J4103" i="1"/>
  <c r="I4103" i="1"/>
  <c r="G4103" i="1"/>
  <c r="J4102" i="1"/>
  <c r="I4102" i="1"/>
  <c r="G4102" i="1"/>
  <c r="J4101" i="1"/>
  <c r="I4101" i="1"/>
  <c r="G4101" i="1"/>
  <c r="G4100" i="1"/>
  <c r="F4100" i="1"/>
  <c r="I4100" i="1" s="1"/>
  <c r="J4100" i="1" s="1"/>
  <c r="I4099" i="1"/>
  <c r="J4099" i="1" s="1"/>
  <c r="G4099" i="1"/>
  <c r="J4098" i="1"/>
  <c r="I4098" i="1"/>
  <c r="G4098" i="1"/>
  <c r="J4097" i="1"/>
  <c r="I4097" i="1"/>
  <c r="G4097" i="1"/>
  <c r="I4096" i="1"/>
  <c r="J4096" i="1" s="1"/>
  <c r="G4096" i="1"/>
  <c r="I4095" i="1"/>
  <c r="J4095" i="1" s="1"/>
  <c r="G4095" i="1"/>
  <c r="F4095" i="1"/>
  <c r="I4094" i="1"/>
  <c r="J4094" i="1" s="1"/>
  <c r="G4094" i="1"/>
  <c r="I4093" i="1"/>
  <c r="J4093" i="1" s="1"/>
  <c r="G4093" i="1"/>
  <c r="J4092" i="1"/>
  <c r="I4092" i="1"/>
  <c r="H4092" i="1"/>
  <c r="G4092" i="1"/>
  <c r="J4091" i="1"/>
  <c r="I4091" i="1"/>
  <c r="H4091" i="1"/>
  <c r="G4091" i="1"/>
  <c r="J4090" i="1"/>
  <c r="H4090" i="1"/>
  <c r="I4090" i="1" s="1"/>
  <c r="G4090" i="1"/>
  <c r="J4089" i="1"/>
  <c r="I4089" i="1"/>
  <c r="G4089" i="1"/>
  <c r="I4088" i="1"/>
  <c r="J4088" i="1" s="1"/>
  <c r="G4088" i="1"/>
  <c r="I4087" i="1"/>
  <c r="J4087" i="1" s="1"/>
  <c r="G4087" i="1"/>
  <c r="I4086" i="1"/>
  <c r="J4086" i="1" s="1"/>
  <c r="G4086" i="1"/>
  <c r="J4085" i="1"/>
  <c r="I4085" i="1"/>
  <c r="G4085" i="1"/>
  <c r="I4084" i="1"/>
  <c r="J4084" i="1" s="1"/>
  <c r="H4084" i="1"/>
  <c r="G4084" i="1"/>
  <c r="I4083" i="1"/>
  <c r="J4083" i="1" s="1"/>
  <c r="H4083" i="1"/>
  <c r="G4083" i="1"/>
  <c r="I4082" i="1"/>
  <c r="J4082" i="1" s="1"/>
  <c r="G4082" i="1"/>
  <c r="I4081" i="1"/>
  <c r="J4081" i="1" s="1"/>
  <c r="G4081" i="1"/>
  <c r="J4080" i="1"/>
  <c r="I4080" i="1"/>
  <c r="G4080" i="1"/>
  <c r="J4079" i="1"/>
  <c r="I4079" i="1"/>
  <c r="G4079" i="1"/>
  <c r="I4078" i="1"/>
  <c r="J4078" i="1" s="1"/>
  <c r="H4078" i="1"/>
  <c r="G4078" i="1"/>
  <c r="I4077" i="1"/>
  <c r="J4077" i="1" s="1"/>
  <c r="G4077" i="1"/>
  <c r="I4076" i="1"/>
  <c r="J4076" i="1" s="1"/>
  <c r="G4076" i="1"/>
  <c r="I4075" i="1"/>
  <c r="J4075" i="1" s="1"/>
  <c r="H4075" i="1"/>
  <c r="G4075" i="1"/>
  <c r="J4074" i="1"/>
  <c r="I4074" i="1"/>
  <c r="G4074" i="1"/>
  <c r="J4073" i="1"/>
  <c r="I4073" i="1"/>
  <c r="G4073" i="1"/>
  <c r="J4072" i="1"/>
  <c r="I4072" i="1"/>
  <c r="G4072" i="1"/>
  <c r="J4071" i="1"/>
  <c r="I4071" i="1"/>
  <c r="G4071" i="1"/>
  <c r="J4070" i="1"/>
  <c r="I4070" i="1"/>
  <c r="G4070" i="1"/>
  <c r="J4069" i="1"/>
  <c r="I4069" i="1"/>
  <c r="G4069" i="1"/>
  <c r="J4068" i="1"/>
  <c r="I4068" i="1"/>
  <c r="G4068" i="1"/>
  <c r="J4067" i="1"/>
  <c r="I4067" i="1"/>
  <c r="G4067" i="1"/>
  <c r="H4066" i="1"/>
  <c r="I4066" i="1" s="1"/>
  <c r="J4066" i="1" s="1"/>
  <c r="G4066" i="1"/>
  <c r="J4065" i="1"/>
  <c r="I4065" i="1"/>
  <c r="G4065" i="1"/>
  <c r="H4064" i="1"/>
  <c r="I4064" i="1" s="1"/>
  <c r="J4064" i="1" s="1"/>
  <c r="G4064" i="1"/>
  <c r="J4063" i="1"/>
  <c r="I4063" i="1"/>
  <c r="G4063" i="1"/>
  <c r="I4062" i="1"/>
  <c r="J4062" i="1" s="1"/>
  <c r="H4062" i="1"/>
  <c r="G4062" i="1"/>
  <c r="I4061" i="1"/>
  <c r="J4061" i="1" s="1"/>
  <c r="H4061" i="1"/>
  <c r="G4061" i="1"/>
  <c r="I4060" i="1"/>
  <c r="J4060" i="1" s="1"/>
  <c r="G4060" i="1"/>
  <c r="I4059" i="1"/>
  <c r="J4059" i="1" s="1"/>
  <c r="G4059" i="1"/>
  <c r="J4058" i="1"/>
  <c r="I4058" i="1"/>
  <c r="G4058" i="1"/>
  <c r="J4057" i="1"/>
  <c r="I4057" i="1"/>
  <c r="G4057" i="1"/>
  <c r="I4056" i="1"/>
  <c r="J4056" i="1" s="1"/>
  <c r="G4056" i="1"/>
  <c r="H4055" i="1"/>
  <c r="I4055" i="1" s="1"/>
  <c r="J4055" i="1" s="1"/>
  <c r="G4055" i="1"/>
  <c r="I4054" i="1"/>
  <c r="J4054" i="1" s="1"/>
  <c r="G4054" i="1"/>
  <c r="I4053" i="1"/>
  <c r="J4053" i="1" s="1"/>
  <c r="G4053" i="1"/>
  <c r="J4052" i="1"/>
  <c r="I4052" i="1"/>
  <c r="G4052" i="1"/>
  <c r="I4051" i="1"/>
  <c r="J4051" i="1" s="1"/>
  <c r="G4051" i="1"/>
  <c r="I4050" i="1"/>
  <c r="J4050" i="1" s="1"/>
  <c r="G4050" i="1"/>
  <c r="I4049" i="1"/>
  <c r="J4049" i="1" s="1"/>
  <c r="G4049" i="1"/>
  <c r="J4048" i="1"/>
  <c r="I4048" i="1"/>
  <c r="G4048" i="1"/>
  <c r="I4047" i="1"/>
  <c r="J4047" i="1" s="1"/>
  <c r="H4047" i="1"/>
  <c r="G4047" i="1"/>
  <c r="J4046" i="1"/>
  <c r="I4046" i="1"/>
  <c r="G4046" i="1"/>
  <c r="J4045" i="1"/>
  <c r="I4045" i="1"/>
  <c r="G4045" i="1"/>
  <c r="J4044" i="1"/>
  <c r="I4044" i="1"/>
  <c r="G4044" i="1"/>
  <c r="J4043" i="1"/>
  <c r="I4043" i="1"/>
  <c r="G4043" i="1"/>
  <c r="J4042" i="1"/>
  <c r="I4042" i="1"/>
  <c r="H4042" i="1"/>
  <c r="G4042" i="1"/>
  <c r="I4041" i="1"/>
  <c r="J4041" i="1" s="1"/>
  <c r="G4041" i="1"/>
  <c r="I4040" i="1"/>
  <c r="J4040" i="1" s="1"/>
  <c r="G4040" i="1"/>
  <c r="J4039" i="1"/>
  <c r="I4039" i="1"/>
  <c r="G4039" i="1"/>
  <c r="J4038" i="1"/>
  <c r="I4038" i="1"/>
  <c r="G4038" i="1"/>
  <c r="I4037" i="1"/>
  <c r="J4037" i="1" s="1"/>
  <c r="G4037" i="1"/>
  <c r="I4036" i="1"/>
  <c r="J4036" i="1" s="1"/>
  <c r="G4036" i="1"/>
  <c r="J4035" i="1"/>
  <c r="I4035" i="1"/>
  <c r="G4035" i="1"/>
  <c r="J4034" i="1"/>
  <c r="I4034" i="1"/>
  <c r="G4034" i="1"/>
  <c r="I4033" i="1"/>
  <c r="J4033" i="1" s="1"/>
  <c r="G4033" i="1"/>
  <c r="I4032" i="1"/>
  <c r="J4032" i="1" s="1"/>
  <c r="G4032" i="1"/>
  <c r="J4031" i="1"/>
  <c r="I4031" i="1"/>
  <c r="G4031" i="1"/>
  <c r="J4030" i="1"/>
  <c r="I4030" i="1"/>
  <c r="G4030" i="1"/>
  <c r="I4029" i="1"/>
  <c r="J4029" i="1" s="1"/>
  <c r="G4029" i="1"/>
  <c r="I4028" i="1"/>
  <c r="J4028" i="1" s="1"/>
  <c r="G4028" i="1"/>
  <c r="J4027" i="1"/>
  <c r="I4027" i="1"/>
  <c r="G4027" i="1"/>
  <c r="J4026" i="1"/>
  <c r="I4026" i="1"/>
  <c r="G4026" i="1"/>
  <c r="I4025" i="1"/>
  <c r="J4025" i="1" s="1"/>
  <c r="G4025" i="1"/>
  <c r="I4024" i="1"/>
  <c r="J4024" i="1" s="1"/>
  <c r="G4024" i="1"/>
  <c r="J4023" i="1"/>
  <c r="I4023" i="1"/>
  <c r="G4023" i="1"/>
  <c r="J4022" i="1"/>
  <c r="I4022" i="1"/>
  <c r="G4022" i="1"/>
  <c r="I4021" i="1"/>
  <c r="J4021" i="1" s="1"/>
  <c r="H4021" i="1"/>
  <c r="G4021" i="1"/>
  <c r="I4020" i="1"/>
  <c r="J4020" i="1" s="1"/>
  <c r="G4020" i="1"/>
  <c r="I4019" i="1"/>
  <c r="J4019" i="1" s="1"/>
  <c r="G4019" i="1"/>
  <c r="I4018" i="1"/>
  <c r="J4018" i="1" s="1"/>
  <c r="G4018" i="1"/>
  <c r="J4017" i="1"/>
  <c r="I4017" i="1"/>
  <c r="G4017" i="1"/>
  <c r="I4016" i="1"/>
  <c r="J4016" i="1" s="1"/>
  <c r="G4016" i="1"/>
  <c r="I4015" i="1"/>
  <c r="J4015" i="1" s="1"/>
  <c r="G4015" i="1"/>
  <c r="I4014" i="1"/>
  <c r="J4014" i="1" s="1"/>
  <c r="G4014" i="1"/>
  <c r="J4013" i="1"/>
  <c r="I4013" i="1"/>
  <c r="H4013" i="1"/>
  <c r="G4013" i="1"/>
  <c r="J4012" i="1"/>
  <c r="I4012" i="1"/>
  <c r="H4012" i="1"/>
  <c r="G4012" i="1"/>
  <c r="J4011" i="1"/>
  <c r="I4011" i="1"/>
  <c r="G4011" i="1"/>
  <c r="I4010" i="1"/>
  <c r="J4010" i="1" s="1"/>
  <c r="G4010" i="1"/>
  <c r="I4009" i="1"/>
  <c r="J4009" i="1" s="1"/>
  <c r="G4009" i="1"/>
  <c r="J4008" i="1"/>
  <c r="I4008" i="1"/>
  <c r="G4008" i="1"/>
  <c r="J4007" i="1"/>
  <c r="I4007" i="1"/>
  <c r="G4007" i="1"/>
  <c r="I4006" i="1"/>
  <c r="J4006" i="1" s="1"/>
  <c r="G4006" i="1"/>
  <c r="F4006" i="1"/>
  <c r="I4005" i="1"/>
  <c r="J4005" i="1" s="1"/>
  <c r="H4005" i="1"/>
  <c r="G4005" i="1"/>
  <c r="J4004" i="1"/>
  <c r="I4004" i="1"/>
  <c r="G4004" i="1"/>
  <c r="J4003" i="1"/>
  <c r="I4003" i="1"/>
  <c r="G4003" i="1"/>
  <c r="J4002" i="1"/>
  <c r="I4002" i="1"/>
  <c r="G4002" i="1"/>
  <c r="J4001" i="1"/>
  <c r="I4001" i="1"/>
  <c r="G4001" i="1"/>
  <c r="J4000" i="1"/>
  <c r="I4000" i="1"/>
  <c r="G4000" i="1"/>
  <c r="J3999" i="1"/>
  <c r="I3999" i="1"/>
  <c r="G3999" i="1"/>
  <c r="J3998" i="1"/>
  <c r="I3998" i="1"/>
  <c r="G3998" i="1"/>
  <c r="J3997" i="1"/>
  <c r="I3997" i="1"/>
  <c r="G3997" i="1"/>
  <c r="J3996" i="1"/>
  <c r="I3996" i="1"/>
  <c r="G3996" i="1"/>
  <c r="J3995" i="1"/>
  <c r="I3995" i="1"/>
  <c r="G3995" i="1"/>
  <c r="J3994" i="1"/>
  <c r="I3994" i="1"/>
  <c r="G3994" i="1"/>
  <c r="J3993" i="1"/>
  <c r="I3993" i="1"/>
  <c r="G3993" i="1"/>
  <c r="J3992" i="1"/>
  <c r="I3992" i="1"/>
  <c r="H3992" i="1"/>
  <c r="G3992" i="1"/>
  <c r="I3991" i="1"/>
  <c r="J3991" i="1" s="1"/>
  <c r="H3991" i="1"/>
  <c r="G3991" i="1"/>
  <c r="I3990" i="1"/>
  <c r="J3990" i="1" s="1"/>
  <c r="H3990" i="1"/>
  <c r="G3990" i="1"/>
  <c r="I3989" i="1"/>
  <c r="J3989" i="1" s="1"/>
  <c r="H3989" i="1"/>
  <c r="G3989" i="1"/>
  <c r="I3988" i="1"/>
  <c r="J3988" i="1" s="1"/>
  <c r="H3988" i="1"/>
  <c r="G3988" i="1"/>
  <c r="I3987" i="1"/>
  <c r="J3987" i="1" s="1"/>
  <c r="G3987" i="1"/>
  <c r="I3986" i="1"/>
  <c r="J3986" i="1" s="1"/>
  <c r="G3986" i="1"/>
  <c r="I3985" i="1"/>
  <c r="J3985" i="1" s="1"/>
  <c r="H3985" i="1"/>
  <c r="G3985" i="1"/>
  <c r="H3984" i="1"/>
  <c r="I3984" i="1" s="1"/>
  <c r="J3984" i="1" s="1"/>
  <c r="G3984" i="1"/>
  <c r="J3983" i="1"/>
  <c r="I3983" i="1"/>
  <c r="G3983" i="1"/>
  <c r="J3982" i="1"/>
  <c r="I3982" i="1"/>
  <c r="G3982" i="1"/>
  <c r="I3981" i="1"/>
  <c r="J3981" i="1" s="1"/>
  <c r="H3981" i="1"/>
  <c r="G3981" i="1"/>
  <c r="J3980" i="1"/>
  <c r="I3980" i="1"/>
  <c r="G3980" i="1"/>
  <c r="H3979" i="1"/>
  <c r="I3979" i="1" s="1"/>
  <c r="J3979" i="1" s="1"/>
  <c r="G3979" i="1"/>
  <c r="J3978" i="1"/>
  <c r="I3978" i="1"/>
  <c r="G3978" i="1"/>
  <c r="J3977" i="1"/>
  <c r="I3977" i="1"/>
  <c r="G3977" i="1"/>
  <c r="J3976" i="1"/>
  <c r="I3976" i="1"/>
  <c r="G3976" i="1"/>
  <c r="I3975" i="1"/>
  <c r="J3975" i="1" s="1"/>
  <c r="G3975" i="1"/>
  <c r="J3974" i="1"/>
  <c r="H3974" i="1"/>
  <c r="I3974" i="1" s="1"/>
  <c r="G3974" i="1"/>
  <c r="I3973" i="1"/>
  <c r="J3973" i="1" s="1"/>
  <c r="G3973" i="1"/>
  <c r="H3972" i="1"/>
  <c r="I3972" i="1" s="1"/>
  <c r="J3972" i="1" s="1"/>
  <c r="G3972" i="1"/>
  <c r="I3971" i="1"/>
  <c r="J3971" i="1" s="1"/>
  <c r="G3971" i="1"/>
  <c r="J3970" i="1"/>
  <c r="I3970" i="1"/>
  <c r="G3970" i="1"/>
  <c r="J3969" i="1"/>
  <c r="I3969" i="1"/>
  <c r="G3969" i="1"/>
  <c r="I3968" i="1"/>
  <c r="J3968" i="1" s="1"/>
  <c r="G3968" i="1"/>
  <c r="I3967" i="1"/>
  <c r="J3967" i="1" s="1"/>
  <c r="G3967" i="1"/>
  <c r="J3966" i="1"/>
  <c r="I3966" i="1"/>
  <c r="G3966" i="1"/>
  <c r="J3965" i="1"/>
  <c r="I3965" i="1"/>
  <c r="H3965" i="1"/>
  <c r="G3965" i="1"/>
  <c r="I3964" i="1"/>
  <c r="J3964" i="1" s="1"/>
  <c r="H3964" i="1"/>
  <c r="G3964" i="1"/>
  <c r="I3963" i="1"/>
  <c r="J3963" i="1" s="1"/>
  <c r="H3963" i="1"/>
  <c r="G3963" i="1"/>
  <c r="I3962" i="1"/>
  <c r="J3962" i="1" s="1"/>
  <c r="G3962" i="1"/>
  <c r="I3961" i="1"/>
  <c r="J3961" i="1" s="1"/>
  <c r="G3961" i="1"/>
  <c r="I3960" i="1"/>
  <c r="J3960" i="1" s="1"/>
  <c r="H3960" i="1"/>
  <c r="G3960" i="1"/>
  <c r="H3959" i="1"/>
  <c r="I3959" i="1" s="1"/>
  <c r="J3959" i="1" s="1"/>
  <c r="G3959" i="1"/>
  <c r="J3958" i="1"/>
  <c r="I3958" i="1"/>
  <c r="G3958" i="1"/>
  <c r="J3957" i="1"/>
  <c r="H3957" i="1"/>
  <c r="I3957" i="1" s="1"/>
  <c r="G3957" i="1"/>
  <c r="J3956" i="1"/>
  <c r="I3956" i="1"/>
  <c r="G3956" i="1"/>
  <c r="I3955" i="1"/>
  <c r="J3955" i="1" s="1"/>
  <c r="G3955" i="1"/>
  <c r="I3954" i="1"/>
  <c r="J3954" i="1" s="1"/>
  <c r="G3954" i="1"/>
  <c r="I3953" i="1"/>
  <c r="J3953" i="1" s="1"/>
  <c r="H3953" i="1"/>
  <c r="G3953" i="1"/>
  <c r="J3952" i="1"/>
  <c r="I3952" i="1"/>
  <c r="G3952" i="1"/>
  <c r="J3951" i="1"/>
  <c r="I3951" i="1"/>
  <c r="G3951" i="1"/>
  <c r="J3950" i="1"/>
  <c r="I3950" i="1"/>
  <c r="G3950" i="1"/>
  <c r="J3949" i="1"/>
  <c r="I3949" i="1"/>
  <c r="G3949" i="1"/>
  <c r="J3948" i="1"/>
  <c r="I3948" i="1"/>
  <c r="G3948" i="1"/>
  <c r="J3947" i="1"/>
  <c r="I3947" i="1"/>
  <c r="H3947" i="1"/>
  <c r="G3947" i="1"/>
  <c r="H3946" i="1"/>
  <c r="I3946" i="1" s="1"/>
  <c r="J3946" i="1" s="1"/>
  <c r="G3946" i="1"/>
  <c r="J3945" i="1"/>
  <c r="I3945" i="1"/>
  <c r="H3945" i="1"/>
  <c r="G3945" i="1"/>
  <c r="J3944" i="1"/>
  <c r="I3944" i="1"/>
  <c r="G3944" i="1"/>
  <c r="I3943" i="1"/>
  <c r="J3943" i="1" s="1"/>
  <c r="G3943" i="1"/>
  <c r="J3942" i="1"/>
  <c r="I3942" i="1"/>
  <c r="G3942" i="1"/>
  <c r="J3941" i="1"/>
  <c r="I3941" i="1"/>
  <c r="G3941" i="1"/>
  <c r="J3940" i="1"/>
  <c r="I3940" i="1"/>
  <c r="G3940" i="1"/>
  <c r="I3939" i="1"/>
  <c r="J3939" i="1" s="1"/>
  <c r="G3939" i="1"/>
  <c r="J3938" i="1"/>
  <c r="I3938" i="1"/>
  <c r="G3938" i="1"/>
  <c r="J3937" i="1"/>
  <c r="I3937" i="1"/>
  <c r="G3937" i="1"/>
  <c r="J3936" i="1"/>
  <c r="I3936" i="1"/>
  <c r="G3936" i="1"/>
  <c r="I3935" i="1"/>
  <c r="J3935" i="1" s="1"/>
  <c r="G3935" i="1"/>
  <c r="J3934" i="1"/>
  <c r="I3934" i="1"/>
  <c r="G3934" i="1"/>
  <c r="J3933" i="1"/>
  <c r="I3933" i="1"/>
  <c r="G3933" i="1"/>
  <c r="J3932" i="1"/>
  <c r="I3932" i="1"/>
  <c r="G3932" i="1"/>
  <c r="I3931" i="1"/>
  <c r="J3931" i="1" s="1"/>
  <c r="G3931" i="1"/>
  <c r="J3930" i="1"/>
  <c r="I3930" i="1"/>
  <c r="G3930" i="1"/>
  <c r="J3929" i="1"/>
  <c r="I3929" i="1"/>
  <c r="G3929" i="1"/>
  <c r="J3928" i="1"/>
  <c r="I3928" i="1"/>
  <c r="G3928" i="1"/>
  <c r="I3927" i="1"/>
  <c r="J3927" i="1" s="1"/>
  <c r="G3927" i="1"/>
  <c r="J3926" i="1"/>
  <c r="I3926" i="1"/>
  <c r="G3926" i="1"/>
  <c r="J3925" i="1"/>
  <c r="I3925" i="1"/>
  <c r="G3925" i="1"/>
  <c r="J3924" i="1"/>
  <c r="I3924" i="1"/>
  <c r="G3924" i="1"/>
  <c r="I3923" i="1"/>
  <c r="J3923" i="1" s="1"/>
  <c r="G3923" i="1"/>
  <c r="J3922" i="1"/>
  <c r="H3922" i="1"/>
  <c r="I3922" i="1" s="1"/>
  <c r="G3922" i="1"/>
  <c r="I3921" i="1"/>
  <c r="J3921" i="1" s="1"/>
  <c r="G3921" i="1"/>
  <c r="J3920" i="1"/>
  <c r="I3920" i="1"/>
  <c r="G3920" i="1"/>
  <c r="H3919" i="1"/>
  <c r="I3919" i="1" s="1"/>
  <c r="J3919" i="1" s="1"/>
  <c r="G3919" i="1"/>
  <c r="J3918" i="1"/>
  <c r="I3918" i="1"/>
  <c r="G3918" i="1"/>
  <c r="J3917" i="1"/>
  <c r="I3917" i="1"/>
  <c r="G3917" i="1"/>
  <c r="I3916" i="1"/>
  <c r="J3916" i="1" s="1"/>
  <c r="G3916" i="1"/>
  <c r="I3915" i="1"/>
  <c r="J3915" i="1" s="1"/>
  <c r="G3915" i="1"/>
  <c r="J3914" i="1"/>
  <c r="I3914" i="1"/>
  <c r="G3914" i="1"/>
  <c r="J3913" i="1"/>
  <c r="I3913" i="1"/>
  <c r="H3913" i="1"/>
  <c r="G3913" i="1"/>
  <c r="I3912" i="1"/>
  <c r="J3912" i="1" s="1"/>
  <c r="G3912" i="1"/>
  <c r="J3911" i="1"/>
  <c r="I3911" i="1"/>
  <c r="G3911" i="1"/>
  <c r="J3910" i="1"/>
  <c r="I3910" i="1"/>
  <c r="G3910" i="1"/>
  <c r="J3909" i="1"/>
  <c r="I3909" i="1"/>
  <c r="H3909" i="1"/>
  <c r="G3909" i="1"/>
  <c r="H3908" i="1"/>
  <c r="I3908" i="1" s="1"/>
  <c r="J3908" i="1" s="1"/>
  <c r="G3908" i="1"/>
  <c r="J3907" i="1"/>
  <c r="I3907" i="1"/>
  <c r="H3907" i="1"/>
  <c r="G3907" i="1"/>
  <c r="J3906" i="1"/>
  <c r="I3906" i="1"/>
  <c r="H3906" i="1"/>
  <c r="G3906" i="1"/>
  <c r="J3905" i="1"/>
  <c r="I3905" i="1"/>
  <c r="G3905" i="1"/>
  <c r="I3904" i="1"/>
  <c r="J3904" i="1" s="1"/>
  <c r="G3904" i="1"/>
  <c r="I3903" i="1"/>
  <c r="J3903" i="1" s="1"/>
  <c r="G3903" i="1"/>
  <c r="J3902" i="1"/>
  <c r="I3902" i="1"/>
  <c r="G3902" i="1"/>
  <c r="J3901" i="1"/>
  <c r="I3901" i="1"/>
  <c r="G3901" i="1"/>
  <c r="I3900" i="1"/>
  <c r="J3900" i="1" s="1"/>
  <c r="G3900" i="1"/>
  <c r="I3899" i="1"/>
  <c r="J3899" i="1" s="1"/>
  <c r="G3899" i="1"/>
  <c r="J3898" i="1"/>
  <c r="I3898" i="1"/>
  <c r="G3898" i="1"/>
  <c r="J3897" i="1"/>
  <c r="I3897" i="1"/>
  <c r="G3897" i="1"/>
  <c r="I3896" i="1"/>
  <c r="J3896" i="1" s="1"/>
  <c r="G3896" i="1"/>
  <c r="H3895" i="1"/>
  <c r="I3895" i="1" s="1"/>
  <c r="J3895" i="1" s="1"/>
  <c r="G3895" i="1"/>
  <c r="H3894" i="1"/>
  <c r="I3894" i="1" s="1"/>
  <c r="J3894" i="1" s="1"/>
  <c r="G3894" i="1"/>
  <c r="J3893" i="1"/>
  <c r="I3893" i="1"/>
  <c r="G3893" i="1"/>
  <c r="J3892" i="1"/>
  <c r="I3892" i="1"/>
  <c r="G3892" i="1"/>
  <c r="J3891" i="1"/>
  <c r="I3891" i="1"/>
  <c r="G3891" i="1"/>
  <c r="I3890" i="1"/>
  <c r="J3890" i="1" s="1"/>
  <c r="G3890" i="1"/>
  <c r="J3889" i="1"/>
  <c r="I3889" i="1"/>
  <c r="G3889" i="1"/>
  <c r="J3888" i="1"/>
  <c r="I3888" i="1"/>
  <c r="G3888" i="1"/>
  <c r="J3887" i="1"/>
  <c r="I3887" i="1"/>
  <c r="G3887" i="1"/>
  <c r="I3886" i="1"/>
  <c r="J3886" i="1" s="1"/>
  <c r="G3886" i="1"/>
  <c r="H3885" i="1"/>
  <c r="I3885" i="1" s="1"/>
  <c r="J3885" i="1" s="1"/>
  <c r="G3885" i="1"/>
  <c r="I3884" i="1"/>
  <c r="J3884" i="1" s="1"/>
  <c r="G3884" i="1"/>
  <c r="H3883" i="1"/>
  <c r="I3883" i="1" s="1"/>
  <c r="J3883" i="1" s="1"/>
  <c r="G3883" i="1"/>
  <c r="I3882" i="1"/>
  <c r="J3882" i="1" s="1"/>
  <c r="G3882" i="1"/>
  <c r="J3881" i="1"/>
  <c r="I3881" i="1"/>
  <c r="G3881" i="1"/>
  <c r="I3880" i="1"/>
  <c r="J3880" i="1" s="1"/>
  <c r="G3880" i="1"/>
  <c r="I3879" i="1"/>
  <c r="J3879" i="1" s="1"/>
  <c r="H3879" i="1"/>
  <c r="G3879" i="1"/>
  <c r="H3878" i="1"/>
  <c r="I3878" i="1" s="1"/>
  <c r="J3878" i="1" s="1"/>
  <c r="G3878" i="1"/>
  <c r="I3877" i="1"/>
  <c r="J3877" i="1" s="1"/>
  <c r="G3877" i="1"/>
  <c r="J3876" i="1"/>
  <c r="I3876" i="1"/>
  <c r="G3876" i="1"/>
  <c r="J3875" i="1"/>
  <c r="I3875" i="1"/>
  <c r="G3875" i="1"/>
  <c r="I3874" i="1"/>
  <c r="J3874" i="1" s="1"/>
  <c r="G3874" i="1"/>
  <c r="I3873" i="1"/>
  <c r="J3873" i="1" s="1"/>
  <c r="G3873" i="1"/>
  <c r="J3872" i="1"/>
  <c r="I3872" i="1"/>
  <c r="G3872" i="1"/>
  <c r="J3871" i="1"/>
  <c r="I3871" i="1"/>
  <c r="G3871" i="1"/>
  <c r="I3870" i="1"/>
  <c r="J3870" i="1" s="1"/>
  <c r="G3870" i="1"/>
  <c r="I3869" i="1"/>
  <c r="J3869" i="1" s="1"/>
  <c r="H3869" i="1"/>
  <c r="G3869" i="1"/>
  <c r="I3868" i="1"/>
  <c r="J3868" i="1" s="1"/>
  <c r="G3868" i="1"/>
  <c r="I3867" i="1"/>
  <c r="J3867" i="1" s="1"/>
  <c r="G3867" i="1"/>
  <c r="J3866" i="1"/>
  <c r="I3866" i="1"/>
  <c r="G3866" i="1"/>
  <c r="J3865" i="1"/>
  <c r="I3865" i="1"/>
  <c r="G3865" i="1"/>
  <c r="I3864" i="1"/>
  <c r="J3864" i="1" s="1"/>
  <c r="G3864" i="1"/>
  <c r="I3863" i="1"/>
  <c r="J3863" i="1" s="1"/>
  <c r="G3863" i="1"/>
  <c r="J3862" i="1"/>
  <c r="I3862" i="1"/>
  <c r="G3862" i="1"/>
  <c r="J3861" i="1"/>
  <c r="I3861" i="1"/>
  <c r="G3861" i="1"/>
  <c r="I3860" i="1"/>
  <c r="J3860" i="1" s="1"/>
  <c r="G3860" i="1"/>
  <c r="I3859" i="1"/>
  <c r="J3859" i="1" s="1"/>
  <c r="G3859" i="1"/>
  <c r="J3858" i="1"/>
  <c r="I3858" i="1"/>
  <c r="G3858" i="1"/>
  <c r="J3857" i="1"/>
  <c r="I3857" i="1"/>
  <c r="G3857" i="1"/>
  <c r="I3856" i="1"/>
  <c r="J3856" i="1" s="1"/>
  <c r="G3856" i="1"/>
  <c r="I3855" i="1"/>
  <c r="J3855" i="1" s="1"/>
  <c r="H3855" i="1"/>
  <c r="G3855" i="1"/>
  <c r="J3854" i="1"/>
  <c r="I3854" i="1"/>
  <c r="G3854" i="1"/>
  <c r="J3853" i="1"/>
  <c r="I3853" i="1"/>
  <c r="G3853" i="1"/>
  <c r="J3852" i="1"/>
  <c r="I3852" i="1"/>
  <c r="G3852" i="1"/>
  <c r="J3851" i="1"/>
  <c r="I3851" i="1"/>
  <c r="G3851" i="1"/>
  <c r="J3850" i="1"/>
  <c r="I3850" i="1"/>
  <c r="G3850" i="1"/>
  <c r="J3849" i="1"/>
  <c r="I3849" i="1"/>
  <c r="G3849" i="1"/>
  <c r="J3848" i="1"/>
  <c r="I3848" i="1"/>
  <c r="H3848" i="1"/>
  <c r="G3848" i="1"/>
  <c r="I3847" i="1"/>
  <c r="J3847" i="1" s="1"/>
  <c r="G3847" i="1"/>
  <c r="I3846" i="1"/>
  <c r="J3846" i="1" s="1"/>
  <c r="G3846" i="1"/>
  <c r="J3845" i="1"/>
  <c r="I3845" i="1"/>
  <c r="G3845" i="1"/>
  <c r="J3844" i="1"/>
  <c r="I3844" i="1"/>
  <c r="G3844" i="1"/>
  <c r="I3843" i="1"/>
  <c r="J3843" i="1" s="1"/>
  <c r="G3843" i="1"/>
  <c r="I3842" i="1"/>
  <c r="J3842" i="1" s="1"/>
  <c r="G3842" i="1"/>
  <c r="J3841" i="1"/>
  <c r="I3841" i="1"/>
  <c r="G3841" i="1"/>
  <c r="J3840" i="1"/>
  <c r="I3840" i="1"/>
  <c r="G3840" i="1"/>
  <c r="I3839" i="1"/>
  <c r="J3839" i="1" s="1"/>
  <c r="G3839" i="1"/>
  <c r="I3838" i="1"/>
  <c r="J3838" i="1" s="1"/>
  <c r="G3838" i="1"/>
  <c r="J3837" i="1"/>
  <c r="I3837" i="1"/>
  <c r="G3837" i="1"/>
  <c r="J3836" i="1"/>
  <c r="H3836" i="1"/>
  <c r="I3836" i="1" s="1"/>
  <c r="G3836" i="1"/>
  <c r="J3835" i="1"/>
  <c r="I3835" i="1"/>
  <c r="H3835" i="1"/>
  <c r="G3835" i="1"/>
  <c r="J3834" i="1"/>
  <c r="I3834" i="1"/>
  <c r="H3834" i="1"/>
  <c r="G3834" i="1"/>
  <c r="J3833" i="1"/>
  <c r="I3833" i="1"/>
  <c r="G3833" i="1"/>
  <c r="I3832" i="1"/>
  <c r="J3832" i="1" s="1"/>
  <c r="G3832" i="1"/>
  <c r="I3831" i="1"/>
  <c r="J3831" i="1" s="1"/>
  <c r="G3831" i="1"/>
  <c r="J3830" i="1"/>
  <c r="I3830" i="1"/>
  <c r="G3830" i="1"/>
  <c r="J3829" i="1"/>
  <c r="I3829" i="1"/>
  <c r="G3829" i="1"/>
  <c r="I3828" i="1"/>
  <c r="J3828" i="1" s="1"/>
  <c r="G3828" i="1"/>
  <c r="I3827" i="1"/>
  <c r="J3827" i="1" s="1"/>
  <c r="G3827" i="1"/>
  <c r="J3826" i="1"/>
  <c r="I3826" i="1"/>
  <c r="G3826" i="1"/>
  <c r="J3825" i="1"/>
  <c r="I3825" i="1"/>
  <c r="G3825" i="1"/>
  <c r="I3824" i="1"/>
  <c r="J3824" i="1" s="1"/>
  <c r="G3824" i="1"/>
  <c r="I3823" i="1"/>
  <c r="J3823" i="1" s="1"/>
  <c r="G3823" i="1"/>
  <c r="H3822" i="1"/>
  <c r="I3822" i="1" s="1"/>
  <c r="J3822" i="1" s="1"/>
  <c r="G3822" i="1"/>
  <c r="I3821" i="1"/>
  <c r="J3821" i="1" s="1"/>
  <c r="H3821" i="1"/>
  <c r="G3821" i="1"/>
  <c r="J3820" i="1"/>
  <c r="I3820" i="1"/>
  <c r="G3820" i="1"/>
  <c r="J3819" i="1"/>
  <c r="I3819" i="1"/>
  <c r="G3819" i="1"/>
  <c r="I3818" i="1"/>
  <c r="J3818" i="1" s="1"/>
  <c r="G3818" i="1"/>
  <c r="J3817" i="1"/>
  <c r="I3817" i="1"/>
  <c r="G3817" i="1"/>
  <c r="H3816" i="1"/>
  <c r="I3816" i="1" s="1"/>
  <c r="J3816" i="1" s="1"/>
  <c r="G3816" i="1"/>
  <c r="J3815" i="1"/>
  <c r="I3815" i="1"/>
  <c r="G3815" i="1"/>
  <c r="J3814" i="1"/>
  <c r="I3814" i="1"/>
  <c r="G3814" i="1"/>
  <c r="I3813" i="1"/>
  <c r="J3813" i="1" s="1"/>
  <c r="G3813" i="1"/>
  <c r="I3812" i="1"/>
  <c r="J3812" i="1" s="1"/>
  <c r="G3812" i="1"/>
  <c r="J3811" i="1"/>
  <c r="I3811" i="1"/>
  <c r="G3811" i="1"/>
  <c r="J3810" i="1"/>
  <c r="I3810" i="1"/>
  <c r="G3810" i="1"/>
  <c r="I3809" i="1"/>
  <c r="J3809" i="1" s="1"/>
  <c r="G3809" i="1"/>
  <c r="I3808" i="1"/>
  <c r="J3808" i="1" s="1"/>
  <c r="G3808" i="1"/>
  <c r="J3807" i="1"/>
  <c r="I3807" i="1"/>
  <c r="G3807" i="1"/>
  <c r="J3806" i="1"/>
  <c r="I3806" i="1"/>
  <c r="G3806" i="1"/>
  <c r="I3805" i="1"/>
  <c r="J3805" i="1" s="1"/>
  <c r="H3805" i="1"/>
  <c r="G3805" i="1"/>
  <c r="I3804" i="1"/>
  <c r="J3804" i="1" s="1"/>
  <c r="G3804" i="1"/>
  <c r="I3803" i="1"/>
  <c r="J3803" i="1" s="1"/>
  <c r="G3803" i="1"/>
  <c r="I3802" i="1"/>
  <c r="J3802" i="1" s="1"/>
  <c r="G3802" i="1"/>
  <c r="J3801" i="1"/>
  <c r="I3801" i="1"/>
  <c r="G3801" i="1"/>
  <c r="J3800" i="1"/>
  <c r="I3800" i="1"/>
  <c r="G3800" i="1"/>
  <c r="I3799" i="1"/>
  <c r="J3799" i="1" s="1"/>
  <c r="H3799" i="1"/>
  <c r="G3799" i="1"/>
  <c r="J3798" i="1"/>
  <c r="I3798" i="1"/>
  <c r="G3798" i="1"/>
  <c r="J3797" i="1"/>
  <c r="I3797" i="1"/>
  <c r="G3797" i="1"/>
  <c r="J3796" i="1"/>
  <c r="I3796" i="1"/>
  <c r="G3796" i="1"/>
  <c r="J3795" i="1"/>
  <c r="I3795" i="1"/>
  <c r="G3795" i="1"/>
  <c r="H3794" i="1"/>
  <c r="I3794" i="1" s="1"/>
  <c r="J3794" i="1" s="1"/>
  <c r="G3794" i="1"/>
  <c r="I3793" i="1"/>
  <c r="J3793" i="1" s="1"/>
  <c r="G3793" i="1"/>
  <c r="J3792" i="1"/>
  <c r="I3792" i="1"/>
  <c r="G3792" i="1"/>
  <c r="J3791" i="1"/>
  <c r="I3791" i="1"/>
  <c r="G3791" i="1"/>
  <c r="I3790" i="1"/>
  <c r="J3790" i="1" s="1"/>
  <c r="G3790" i="1"/>
  <c r="I3789" i="1"/>
  <c r="J3789" i="1" s="1"/>
  <c r="G3789" i="1"/>
  <c r="G3788" i="1"/>
  <c r="F3788" i="1"/>
  <c r="I3788" i="1" s="1"/>
  <c r="J3788" i="1" s="1"/>
  <c r="I3787" i="1"/>
  <c r="J3787" i="1" s="1"/>
  <c r="G3787" i="1"/>
  <c r="J3786" i="1"/>
  <c r="I3786" i="1"/>
  <c r="G3786" i="1"/>
  <c r="I3785" i="1"/>
  <c r="J3785" i="1" s="1"/>
  <c r="H3785" i="1"/>
  <c r="G3785" i="1"/>
  <c r="I3784" i="1"/>
  <c r="J3784" i="1" s="1"/>
  <c r="H3784" i="1"/>
  <c r="G3784" i="1"/>
  <c r="I3783" i="1"/>
  <c r="J3783" i="1" s="1"/>
  <c r="H3783" i="1"/>
  <c r="G3783" i="1"/>
  <c r="J3782" i="1"/>
  <c r="I3782" i="1"/>
  <c r="G3782" i="1"/>
  <c r="I3781" i="1"/>
  <c r="J3781" i="1" s="1"/>
  <c r="G3781" i="1"/>
  <c r="I3780" i="1"/>
  <c r="J3780" i="1" s="1"/>
  <c r="H3780" i="1"/>
  <c r="G3780" i="1"/>
  <c r="J3779" i="1"/>
  <c r="I3779" i="1"/>
  <c r="G3779" i="1"/>
  <c r="J3778" i="1"/>
  <c r="I3778" i="1"/>
  <c r="G3778" i="1"/>
  <c r="J3777" i="1"/>
  <c r="I3777" i="1"/>
  <c r="G3777" i="1"/>
  <c r="J3776" i="1"/>
  <c r="I3776" i="1"/>
  <c r="G3776" i="1"/>
  <c r="J3775" i="1"/>
  <c r="I3775" i="1"/>
  <c r="G3775" i="1"/>
  <c r="J3774" i="1"/>
  <c r="I3774" i="1"/>
  <c r="G3774" i="1"/>
  <c r="J3773" i="1"/>
  <c r="I3773" i="1"/>
  <c r="G3773" i="1"/>
  <c r="J3772" i="1"/>
  <c r="I3772" i="1"/>
  <c r="G3772" i="1"/>
  <c r="J3771" i="1"/>
  <c r="I3771" i="1"/>
  <c r="G3771" i="1"/>
  <c r="J3770" i="1"/>
  <c r="I3770" i="1"/>
  <c r="G3770" i="1"/>
  <c r="J3769" i="1"/>
  <c r="I3769" i="1"/>
  <c r="G3769" i="1"/>
  <c r="J3768" i="1"/>
  <c r="I3768" i="1"/>
  <c r="G3768" i="1"/>
  <c r="J3767" i="1"/>
  <c r="I3767" i="1"/>
  <c r="G3767" i="1"/>
  <c r="J3766" i="1"/>
  <c r="I3766" i="1"/>
  <c r="G3766" i="1"/>
  <c r="J3765" i="1"/>
  <c r="I3765" i="1"/>
  <c r="G3765" i="1"/>
  <c r="J3764" i="1"/>
  <c r="I3764" i="1"/>
  <c r="G3764" i="1"/>
  <c r="J3763" i="1"/>
  <c r="I3763" i="1"/>
  <c r="G3763" i="1"/>
  <c r="J3762" i="1"/>
  <c r="I3762" i="1"/>
  <c r="G3762" i="1"/>
  <c r="J3761" i="1"/>
  <c r="I3761" i="1"/>
  <c r="G3761" i="1"/>
  <c r="J3760" i="1"/>
  <c r="I3760" i="1"/>
  <c r="G3760" i="1"/>
  <c r="J3759" i="1"/>
  <c r="I3759" i="1"/>
  <c r="G3759" i="1"/>
  <c r="J3758" i="1"/>
  <c r="I3758" i="1"/>
  <c r="G3758" i="1"/>
  <c r="J3757" i="1"/>
  <c r="I3757" i="1"/>
  <c r="G3757" i="1"/>
  <c r="J3756" i="1"/>
  <c r="I3756" i="1"/>
  <c r="G3756" i="1"/>
  <c r="J3755" i="1"/>
  <c r="I3755" i="1"/>
  <c r="G3755" i="1"/>
  <c r="J3754" i="1"/>
  <c r="I3754" i="1"/>
  <c r="G3754" i="1"/>
  <c r="J3753" i="1"/>
  <c r="I3753" i="1"/>
  <c r="G3753" i="1"/>
  <c r="J3752" i="1"/>
  <c r="I3752" i="1"/>
  <c r="G3752" i="1"/>
  <c r="J3751" i="1"/>
  <c r="I3751" i="1"/>
  <c r="G3751" i="1"/>
  <c r="J3750" i="1"/>
  <c r="I3750" i="1"/>
  <c r="G3750" i="1"/>
  <c r="J3749" i="1"/>
  <c r="I3749" i="1"/>
  <c r="G3749" i="1"/>
  <c r="J3748" i="1"/>
  <c r="I3748" i="1"/>
  <c r="G3748" i="1"/>
  <c r="H3747" i="1"/>
  <c r="I3747" i="1" s="1"/>
  <c r="J3747" i="1" s="1"/>
  <c r="G3747" i="1"/>
  <c r="J3746" i="1"/>
  <c r="I3746" i="1"/>
  <c r="G3746" i="1"/>
  <c r="H3745" i="1"/>
  <c r="I3745" i="1" s="1"/>
  <c r="J3745" i="1" s="1"/>
  <c r="G3745" i="1"/>
  <c r="J3744" i="1"/>
  <c r="I3744" i="1"/>
  <c r="G3744" i="1"/>
  <c r="J3743" i="1"/>
  <c r="I3743" i="1"/>
  <c r="G3743" i="1"/>
  <c r="H3742" i="1"/>
  <c r="I3742" i="1" s="1"/>
  <c r="J3742" i="1" s="1"/>
  <c r="G3742" i="1"/>
  <c r="H3741" i="1"/>
  <c r="I3741" i="1" s="1"/>
  <c r="J3741" i="1" s="1"/>
  <c r="G3741" i="1"/>
  <c r="I3740" i="1"/>
  <c r="J3740" i="1" s="1"/>
  <c r="G3740" i="1"/>
  <c r="J3739" i="1"/>
  <c r="I3739" i="1"/>
  <c r="G3739" i="1"/>
  <c r="J3738" i="1"/>
  <c r="I3738" i="1"/>
  <c r="G3738" i="1"/>
  <c r="I3737" i="1"/>
  <c r="J3737" i="1" s="1"/>
  <c r="G3737" i="1"/>
  <c r="I3736" i="1"/>
  <c r="J3736" i="1" s="1"/>
  <c r="G3736" i="1"/>
  <c r="H3735" i="1"/>
  <c r="I3735" i="1" s="1"/>
  <c r="J3735" i="1" s="1"/>
  <c r="G3735" i="1"/>
  <c r="I3734" i="1"/>
  <c r="J3734" i="1" s="1"/>
  <c r="H3734" i="1"/>
  <c r="G3734" i="1"/>
  <c r="F3734" i="1"/>
  <c r="I3733" i="1"/>
  <c r="J3733" i="1" s="1"/>
  <c r="G3733" i="1"/>
  <c r="J3732" i="1"/>
  <c r="I3732" i="1"/>
  <c r="G3732" i="1"/>
  <c r="H3731" i="1"/>
  <c r="I3731" i="1" s="1"/>
  <c r="J3731" i="1" s="1"/>
  <c r="G3731" i="1"/>
  <c r="J3730" i="1"/>
  <c r="I3730" i="1"/>
  <c r="G3730" i="1"/>
  <c r="J3729" i="1"/>
  <c r="I3729" i="1"/>
  <c r="G3729" i="1"/>
  <c r="I3728" i="1"/>
  <c r="J3728" i="1" s="1"/>
  <c r="H3728" i="1"/>
  <c r="G3728" i="1"/>
  <c r="H3727" i="1"/>
  <c r="I3727" i="1" s="1"/>
  <c r="J3727" i="1" s="1"/>
  <c r="G3727" i="1"/>
  <c r="I3726" i="1"/>
  <c r="J3726" i="1" s="1"/>
  <c r="G3726" i="1"/>
  <c r="J3725" i="1"/>
  <c r="I3725" i="1"/>
  <c r="G3725" i="1"/>
  <c r="J3724" i="1"/>
  <c r="I3724" i="1"/>
  <c r="G3724" i="1"/>
  <c r="I3723" i="1"/>
  <c r="J3723" i="1" s="1"/>
  <c r="G3723" i="1"/>
  <c r="I3722" i="1"/>
  <c r="J3722" i="1" s="1"/>
  <c r="G3722" i="1"/>
  <c r="J3721" i="1"/>
  <c r="I3721" i="1"/>
  <c r="G3721" i="1"/>
  <c r="J3720" i="1"/>
  <c r="I3720" i="1"/>
  <c r="G3720" i="1"/>
  <c r="I3719" i="1"/>
  <c r="J3719" i="1" s="1"/>
  <c r="G3719" i="1"/>
  <c r="I3718" i="1"/>
  <c r="J3718" i="1" s="1"/>
  <c r="G3718" i="1"/>
  <c r="J3717" i="1"/>
  <c r="I3717" i="1"/>
  <c r="G3717" i="1"/>
  <c r="H3716" i="1"/>
  <c r="I3716" i="1" s="1"/>
  <c r="J3716" i="1" s="1"/>
  <c r="G3716" i="1"/>
  <c r="J3715" i="1"/>
  <c r="I3715" i="1"/>
  <c r="G3715" i="1"/>
  <c r="I3714" i="1"/>
  <c r="J3714" i="1" s="1"/>
  <c r="G3714" i="1"/>
  <c r="I3713" i="1"/>
  <c r="J3713" i="1" s="1"/>
  <c r="G3713" i="1"/>
  <c r="I3712" i="1"/>
  <c r="J3712" i="1" s="1"/>
  <c r="G3712" i="1"/>
  <c r="J3711" i="1"/>
  <c r="I3711" i="1"/>
  <c r="G3711" i="1"/>
  <c r="I3710" i="1"/>
  <c r="J3710" i="1" s="1"/>
  <c r="H3710" i="1"/>
  <c r="G3710" i="1"/>
  <c r="I3709" i="1"/>
  <c r="J3709" i="1" s="1"/>
  <c r="G3709" i="1"/>
  <c r="H3708" i="1"/>
  <c r="I3708" i="1" s="1"/>
  <c r="J3708" i="1" s="1"/>
  <c r="G3708" i="1"/>
  <c r="I3707" i="1"/>
  <c r="J3707" i="1" s="1"/>
  <c r="G3707" i="1"/>
  <c r="J3706" i="1"/>
  <c r="I3706" i="1"/>
  <c r="G3706" i="1"/>
  <c r="J3705" i="1"/>
  <c r="I3705" i="1"/>
  <c r="G3705" i="1"/>
  <c r="I3704" i="1"/>
  <c r="J3704" i="1" s="1"/>
  <c r="G3704" i="1"/>
  <c r="H3703" i="1"/>
  <c r="I3703" i="1" s="1"/>
  <c r="J3703" i="1" s="1"/>
  <c r="G3703" i="1"/>
  <c r="H3702" i="1"/>
  <c r="I3702" i="1" s="1"/>
  <c r="J3702" i="1" s="1"/>
  <c r="G3702" i="1"/>
  <c r="H3701" i="1"/>
  <c r="I3701" i="1" s="1"/>
  <c r="J3701" i="1" s="1"/>
  <c r="G3701" i="1"/>
  <c r="I3700" i="1"/>
  <c r="J3700" i="1" s="1"/>
  <c r="H3700" i="1"/>
  <c r="G3700" i="1"/>
  <c r="H3699" i="1"/>
  <c r="I3699" i="1" s="1"/>
  <c r="J3699" i="1" s="1"/>
  <c r="G3699" i="1"/>
  <c r="J3698" i="1"/>
  <c r="I3698" i="1"/>
  <c r="G3698" i="1"/>
  <c r="J3697" i="1"/>
  <c r="I3697" i="1"/>
  <c r="G3697" i="1"/>
  <c r="J3696" i="1"/>
  <c r="I3696" i="1"/>
  <c r="H3696" i="1"/>
  <c r="G3696" i="1"/>
  <c r="H3695" i="1"/>
  <c r="I3695" i="1" s="1"/>
  <c r="J3695" i="1" s="1"/>
  <c r="G3695" i="1"/>
  <c r="J3694" i="1"/>
  <c r="I3694" i="1"/>
  <c r="G3694" i="1"/>
  <c r="J3693" i="1"/>
  <c r="I3693" i="1"/>
  <c r="G3693" i="1"/>
  <c r="I3692" i="1"/>
  <c r="J3692" i="1" s="1"/>
  <c r="G3692" i="1"/>
  <c r="I3691" i="1"/>
  <c r="J3691" i="1" s="1"/>
  <c r="G3691" i="1"/>
  <c r="J3690" i="1"/>
  <c r="I3690" i="1"/>
  <c r="H3690" i="1"/>
  <c r="G3690" i="1"/>
  <c r="J3689" i="1"/>
  <c r="I3689" i="1"/>
  <c r="G3689" i="1"/>
  <c r="J3688" i="1"/>
  <c r="I3688" i="1"/>
  <c r="H3688" i="1"/>
  <c r="G3688" i="1"/>
  <c r="I3687" i="1"/>
  <c r="J3687" i="1" s="1"/>
  <c r="G3687" i="1"/>
  <c r="I3686" i="1"/>
  <c r="J3686" i="1" s="1"/>
  <c r="G3686" i="1"/>
  <c r="J3685" i="1"/>
  <c r="I3685" i="1"/>
  <c r="G3685" i="1"/>
  <c r="J3684" i="1"/>
  <c r="I3684" i="1"/>
  <c r="G3684" i="1"/>
  <c r="I3683" i="1"/>
  <c r="J3683" i="1" s="1"/>
  <c r="G3683" i="1"/>
  <c r="I3682" i="1"/>
  <c r="G3682" i="1"/>
  <c r="I3681" i="1"/>
  <c r="G3681" i="1"/>
  <c r="I3680" i="1"/>
  <c r="J3680" i="1" s="1"/>
  <c r="G3680" i="1"/>
  <c r="I3679" i="1"/>
  <c r="J3679" i="1" s="1"/>
  <c r="G3679" i="1"/>
  <c r="J3678" i="1"/>
  <c r="I3678" i="1"/>
  <c r="H3678" i="1"/>
  <c r="G3678" i="1"/>
  <c r="J3677" i="1"/>
  <c r="I3677" i="1"/>
  <c r="G3677" i="1"/>
  <c r="I3676" i="1"/>
  <c r="J3676" i="1" s="1"/>
  <c r="H3676" i="1"/>
  <c r="G3676" i="1"/>
  <c r="I3675" i="1"/>
  <c r="J3675" i="1" s="1"/>
  <c r="G3675" i="1"/>
  <c r="I3674" i="1"/>
  <c r="J3674" i="1" s="1"/>
  <c r="G3674" i="1"/>
  <c r="J3673" i="1"/>
  <c r="I3673" i="1"/>
  <c r="G3673" i="1"/>
  <c r="J3672" i="1"/>
  <c r="I3672" i="1"/>
  <c r="G3672" i="1"/>
  <c r="I3671" i="1"/>
  <c r="J3671" i="1" s="1"/>
  <c r="G3671" i="1"/>
  <c r="I3670" i="1"/>
  <c r="J3670" i="1" s="1"/>
  <c r="G3670" i="1"/>
  <c r="J3669" i="1"/>
  <c r="I3669" i="1"/>
  <c r="G3669" i="1"/>
  <c r="H3668" i="1"/>
  <c r="I3668" i="1" s="1"/>
  <c r="J3668" i="1" s="1"/>
  <c r="G3668" i="1"/>
  <c r="J3667" i="1"/>
  <c r="I3667" i="1"/>
  <c r="G3667" i="1"/>
  <c r="J3666" i="1"/>
  <c r="I3666" i="1"/>
  <c r="G3666" i="1"/>
  <c r="H3665" i="1"/>
  <c r="I3665" i="1" s="1"/>
  <c r="J3665" i="1" s="1"/>
  <c r="G3665" i="1"/>
  <c r="J3664" i="1"/>
  <c r="I3664" i="1"/>
  <c r="G3664" i="1"/>
  <c r="H3663" i="1"/>
  <c r="I3663" i="1" s="1"/>
  <c r="J3663" i="1" s="1"/>
  <c r="G3663" i="1"/>
  <c r="J3662" i="1"/>
  <c r="I3662" i="1"/>
  <c r="G3662" i="1"/>
  <c r="J3661" i="1"/>
  <c r="H3661" i="1"/>
  <c r="I3661" i="1" s="1"/>
  <c r="G3661" i="1"/>
  <c r="J3660" i="1"/>
  <c r="I3660" i="1"/>
  <c r="H3660" i="1"/>
  <c r="G3660" i="1"/>
  <c r="J3659" i="1"/>
  <c r="I3659" i="1"/>
  <c r="G3659" i="1"/>
  <c r="J3658" i="1"/>
  <c r="I3658" i="1"/>
  <c r="G3658" i="1"/>
  <c r="J3657" i="1"/>
  <c r="I3657" i="1"/>
  <c r="G3657" i="1"/>
  <c r="H3656" i="1"/>
  <c r="I3656" i="1" s="1"/>
  <c r="J3656" i="1" s="1"/>
  <c r="G3656" i="1"/>
  <c r="H3655" i="1"/>
  <c r="I3655" i="1" s="1"/>
  <c r="J3655" i="1" s="1"/>
  <c r="G3655" i="1"/>
  <c r="I3654" i="1"/>
  <c r="J3654" i="1" s="1"/>
  <c r="G3654" i="1"/>
  <c r="I3653" i="1"/>
  <c r="J3653" i="1" s="1"/>
  <c r="G3653" i="1"/>
  <c r="I3652" i="1"/>
  <c r="J3652" i="1" s="1"/>
  <c r="H3652" i="1"/>
  <c r="G3652" i="1"/>
  <c r="I3651" i="1"/>
  <c r="J3651" i="1" s="1"/>
  <c r="H3651" i="1"/>
  <c r="G3651" i="1"/>
  <c r="I3650" i="1"/>
  <c r="J3650" i="1" s="1"/>
  <c r="H3650" i="1"/>
  <c r="G3650" i="1"/>
  <c r="I3649" i="1"/>
  <c r="J3649" i="1" s="1"/>
  <c r="H3649" i="1"/>
  <c r="G3649" i="1"/>
  <c r="J3648" i="1"/>
  <c r="I3648" i="1"/>
  <c r="G3648" i="1"/>
  <c r="J3647" i="1"/>
  <c r="I3647" i="1"/>
  <c r="G3647" i="1"/>
  <c r="J3646" i="1"/>
  <c r="I3646" i="1"/>
  <c r="G3646" i="1"/>
  <c r="J3645" i="1"/>
  <c r="I3645" i="1"/>
  <c r="G3645" i="1"/>
  <c r="J3644" i="1"/>
  <c r="I3644" i="1"/>
  <c r="G3644" i="1"/>
  <c r="J3643" i="1"/>
  <c r="I3643" i="1"/>
  <c r="G3643" i="1"/>
  <c r="H3642" i="1"/>
  <c r="I3642" i="1" s="1"/>
  <c r="J3642" i="1" s="1"/>
  <c r="G3642" i="1"/>
  <c r="H3641" i="1"/>
  <c r="I3641" i="1" s="1"/>
  <c r="J3641" i="1" s="1"/>
  <c r="G3641" i="1"/>
  <c r="I3640" i="1"/>
  <c r="J3640" i="1" s="1"/>
  <c r="H3640" i="1"/>
  <c r="G3640" i="1"/>
  <c r="H3639" i="1"/>
  <c r="I3639" i="1" s="1"/>
  <c r="J3639" i="1" s="1"/>
  <c r="G3639" i="1"/>
  <c r="J3638" i="1"/>
  <c r="I3638" i="1"/>
  <c r="G3638" i="1"/>
  <c r="J3637" i="1"/>
  <c r="I3637" i="1"/>
  <c r="G3637" i="1"/>
  <c r="H3636" i="1"/>
  <c r="I3636" i="1" s="1"/>
  <c r="J3636" i="1" s="1"/>
  <c r="G3636" i="1"/>
  <c r="I3635" i="1"/>
  <c r="J3635" i="1" s="1"/>
  <c r="G3635" i="1"/>
  <c r="I3634" i="1"/>
  <c r="J3634" i="1" s="1"/>
  <c r="G3634" i="1"/>
  <c r="I3633" i="1"/>
  <c r="J3633" i="1" s="1"/>
  <c r="G3633" i="1"/>
  <c r="I3632" i="1"/>
  <c r="J3632" i="1" s="1"/>
  <c r="G3632" i="1"/>
  <c r="J3631" i="1"/>
  <c r="I3631" i="1"/>
  <c r="G3631" i="1"/>
  <c r="I3630" i="1"/>
  <c r="J3630" i="1" s="1"/>
  <c r="G3630" i="1"/>
  <c r="I3629" i="1"/>
  <c r="J3629" i="1" s="1"/>
  <c r="G3629" i="1"/>
  <c r="J3628" i="1"/>
  <c r="I3628" i="1"/>
  <c r="G3628" i="1"/>
  <c r="J3627" i="1"/>
  <c r="I3627" i="1"/>
  <c r="G3627" i="1"/>
  <c r="I3626" i="1"/>
  <c r="J3626" i="1" s="1"/>
  <c r="G3626" i="1"/>
  <c r="I3625" i="1"/>
  <c r="J3625" i="1" s="1"/>
  <c r="G3625" i="1"/>
  <c r="J3624" i="1"/>
  <c r="I3624" i="1"/>
  <c r="H3624" i="1"/>
  <c r="G3624" i="1"/>
  <c r="J3623" i="1"/>
  <c r="I3623" i="1"/>
  <c r="G3623" i="1"/>
  <c r="J3622" i="1"/>
  <c r="I3622" i="1"/>
  <c r="H3622" i="1"/>
  <c r="G3622" i="1"/>
  <c r="H3621" i="1"/>
  <c r="I3621" i="1" s="1"/>
  <c r="J3621" i="1" s="1"/>
  <c r="G3621" i="1"/>
  <c r="J3620" i="1"/>
  <c r="I3620" i="1"/>
  <c r="G3620" i="1"/>
  <c r="I3619" i="1"/>
  <c r="J3619" i="1" s="1"/>
  <c r="G3619" i="1"/>
  <c r="I3618" i="1"/>
  <c r="J3618" i="1" s="1"/>
  <c r="G3618" i="1"/>
  <c r="I3617" i="1"/>
  <c r="J3617" i="1" s="1"/>
  <c r="H3617" i="1"/>
  <c r="G3617" i="1"/>
  <c r="J3616" i="1"/>
  <c r="I3616" i="1"/>
  <c r="H3616" i="1"/>
  <c r="G3616" i="1"/>
  <c r="J3615" i="1"/>
  <c r="H3615" i="1"/>
  <c r="I3615" i="1" s="1"/>
  <c r="G3615" i="1"/>
  <c r="I3614" i="1"/>
  <c r="J3614" i="1" s="1"/>
  <c r="H3614" i="1"/>
  <c r="G3614" i="1"/>
  <c r="J3613" i="1"/>
  <c r="I3613" i="1"/>
  <c r="G3613" i="1"/>
  <c r="I3612" i="1"/>
  <c r="J3612" i="1" s="1"/>
  <c r="H3612" i="1"/>
  <c r="G3612" i="1"/>
  <c r="I3611" i="1"/>
  <c r="J3611" i="1" s="1"/>
  <c r="G3611" i="1"/>
  <c r="I3610" i="1"/>
  <c r="J3610" i="1" s="1"/>
  <c r="G3610" i="1"/>
  <c r="H3609" i="1"/>
  <c r="I3609" i="1" s="1"/>
  <c r="J3609" i="1" s="1"/>
  <c r="G3609" i="1"/>
  <c r="I3608" i="1"/>
  <c r="J3608" i="1" s="1"/>
  <c r="H3608" i="1"/>
  <c r="G3608" i="1"/>
  <c r="J3607" i="1"/>
  <c r="I3607" i="1"/>
  <c r="G3607" i="1"/>
  <c r="J3606" i="1"/>
  <c r="I3606" i="1"/>
  <c r="G3606" i="1"/>
  <c r="J3605" i="1"/>
  <c r="I3605" i="1"/>
  <c r="G3605" i="1"/>
  <c r="J3604" i="1"/>
  <c r="I3604" i="1"/>
  <c r="G3604" i="1"/>
  <c r="J3603" i="1"/>
  <c r="I3603" i="1"/>
  <c r="G3603" i="1"/>
  <c r="J3602" i="1"/>
  <c r="I3602" i="1"/>
  <c r="G3602" i="1"/>
  <c r="J3601" i="1"/>
  <c r="I3601" i="1"/>
  <c r="G3601" i="1"/>
  <c r="J3600" i="1"/>
  <c r="I3600" i="1"/>
  <c r="G3600" i="1"/>
  <c r="H3599" i="1"/>
  <c r="I3599" i="1" s="1"/>
  <c r="J3599" i="1" s="1"/>
  <c r="G3599" i="1"/>
  <c r="J3598" i="1"/>
  <c r="I3598" i="1"/>
  <c r="G3598" i="1"/>
  <c r="J3597" i="1"/>
  <c r="I3597" i="1"/>
  <c r="G3597" i="1"/>
  <c r="H3596" i="1"/>
  <c r="I3596" i="1" s="1"/>
  <c r="J3596" i="1" s="1"/>
  <c r="G3596" i="1"/>
  <c r="I3595" i="1"/>
  <c r="J3595" i="1" s="1"/>
  <c r="H3595" i="1"/>
  <c r="G3595" i="1"/>
  <c r="I3594" i="1"/>
  <c r="J3594" i="1" s="1"/>
  <c r="H3594" i="1"/>
  <c r="G3594" i="1"/>
  <c r="I3593" i="1"/>
  <c r="J3593" i="1" s="1"/>
  <c r="G3593" i="1"/>
  <c r="I3592" i="1"/>
  <c r="J3592" i="1" s="1"/>
  <c r="G3592" i="1"/>
  <c r="J3591" i="1"/>
  <c r="I3591" i="1"/>
  <c r="G3591" i="1"/>
  <c r="J3590" i="1"/>
  <c r="I3590" i="1"/>
  <c r="G3590" i="1"/>
  <c r="I3589" i="1"/>
  <c r="J3589" i="1" s="1"/>
  <c r="G3589" i="1"/>
  <c r="I3588" i="1"/>
  <c r="J3588" i="1" s="1"/>
  <c r="G3588" i="1"/>
  <c r="J3587" i="1"/>
  <c r="I3587" i="1"/>
  <c r="G3587" i="1"/>
  <c r="J3586" i="1"/>
  <c r="I3586" i="1"/>
  <c r="G3586" i="1"/>
  <c r="I3585" i="1"/>
  <c r="J3585" i="1" s="1"/>
  <c r="G3585" i="1"/>
  <c r="I3584" i="1"/>
  <c r="J3584" i="1" s="1"/>
  <c r="H3584" i="1"/>
  <c r="G3584" i="1"/>
  <c r="I3583" i="1"/>
  <c r="J3583" i="1" s="1"/>
  <c r="G3583" i="1"/>
  <c r="I3582" i="1"/>
  <c r="J3582" i="1" s="1"/>
  <c r="G3582" i="1"/>
  <c r="J3581" i="1"/>
  <c r="I3581" i="1"/>
  <c r="G3581" i="1"/>
  <c r="I3580" i="1"/>
  <c r="J3580" i="1" s="1"/>
  <c r="G3580" i="1"/>
  <c r="I3579" i="1"/>
  <c r="J3579" i="1" s="1"/>
  <c r="G3579" i="1"/>
  <c r="I3578" i="1"/>
  <c r="J3578" i="1" s="1"/>
  <c r="G3578" i="1"/>
  <c r="I3577" i="1"/>
  <c r="J3577" i="1" s="1"/>
  <c r="H3577" i="1"/>
  <c r="G3577" i="1"/>
  <c r="J3576" i="1"/>
  <c r="I3576" i="1"/>
  <c r="G3576" i="1"/>
  <c r="J3575" i="1"/>
  <c r="I3575" i="1"/>
  <c r="G3575" i="1"/>
  <c r="J3574" i="1"/>
  <c r="I3574" i="1"/>
  <c r="G3574" i="1"/>
  <c r="H3573" i="1"/>
  <c r="I3573" i="1" s="1"/>
  <c r="J3573" i="1" s="1"/>
  <c r="G3573" i="1"/>
  <c r="J3572" i="1"/>
  <c r="H3572" i="1"/>
  <c r="I3572" i="1" s="1"/>
  <c r="G3572" i="1"/>
  <c r="I3571" i="1"/>
  <c r="J3571" i="1" s="1"/>
  <c r="G3571" i="1"/>
  <c r="J3570" i="1"/>
  <c r="I3570" i="1"/>
  <c r="G3570" i="1"/>
  <c r="I3569" i="1"/>
  <c r="J3569" i="1" s="1"/>
  <c r="G3569" i="1"/>
  <c r="I3568" i="1"/>
  <c r="J3568" i="1" s="1"/>
  <c r="G3568" i="1"/>
  <c r="I3567" i="1"/>
  <c r="J3567" i="1" s="1"/>
  <c r="G3567" i="1"/>
  <c r="J3566" i="1"/>
  <c r="I3566" i="1"/>
  <c r="G3566" i="1"/>
  <c r="I3565" i="1"/>
  <c r="J3565" i="1" s="1"/>
  <c r="H3565" i="1"/>
  <c r="G3565" i="1"/>
  <c r="I3564" i="1"/>
  <c r="J3564" i="1" s="1"/>
  <c r="G3564" i="1"/>
  <c r="J3563" i="1"/>
  <c r="I3563" i="1"/>
  <c r="G3563" i="1"/>
  <c r="J3562" i="1"/>
  <c r="I3562" i="1"/>
  <c r="G3562" i="1"/>
  <c r="J3561" i="1"/>
  <c r="I3561" i="1"/>
  <c r="G3561" i="1"/>
  <c r="I3560" i="1"/>
  <c r="J3560" i="1" s="1"/>
  <c r="G3560" i="1"/>
  <c r="J3559" i="1"/>
  <c r="I3559" i="1"/>
  <c r="G3559" i="1"/>
  <c r="H3558" i="1"/>
  <c r="I3558" i="1" s="1"/>
  <c r="J3558" i="1" s="1"/>
  <c r="G3558" i="1"/>
  <c r="J3557" i="1"/>
  <c r="I3557" i="1"/>
  <c r="G3557" i="1"/>
  <c r="H3556" i="1"/>
  <c r="I3556" i="1" s="1"/>
  <c r="J3556" i="1" s="1"/>
  <c r="G3556" i="1"/>
  <c r="I3555" i="1"/>
  <c r="J3555" i="1" s="1"/>
  <c r="G3555" i="1"/>
  <c r="I3554" i="1"/>
  <c r="J3554" i="1" s="1"/>
  <c r="G3554" i="1"/>
  <c r="I3553" i="1"/>
  <c r="J3553" i="1" s="1"/>
  <c r="G3553" i="1"/>
  <c r="I3552" i="1"/>
  <c r="J3552" i="1" s="1"/>
  <c r="G3552" i="1"/>
  <c r="J3551" i="1"/>
  <c r="I3551" i="1"/>
  <c r="H3551" i="1"/>
  <c r="G3551" i="1"/>
  <c r="J3550" i="1"/>
  <c r="I3550" i="1"/>
  <c r="G3550" i="1"/>
  <c r="I3549" i="1"/>
  <c r="J3549" i="1" s="1"/>
  <c r="G3549" i="1"/>
  <c r="J3548" i="1"/>
  <c r="I3548" i="1"/>
  <c r="G3548" i="1"/>
  <c r="J3547" i="1"/>
  <c r="I3547" i="1"/>
  <c r="G3547" i="1"/>
  <c r="J3546" i="1"/>
  <c r="I3546" i="1"/>
  <c r="G3546" i="1"/>
  <c r="I3545" i="1"/>
  <c r="J3545" i="1" s="1"/>
  <c r="G3545" i="1"/>
  <c r="H3544" i="1"/>
  <c r="I3544" i="1" s="1"/>
  <c r="J3544" i="1" s="1"/>
  <c r="G3544" i="1"/>
  <c r="I3543" i="1"/>
  <c r="J3543" i="1" s="1"/>
  <c r="H3543" i="1"/>
  <c r="G3543" i="1"/>
  <c r="I3542" i="1"/>
  <c r="J3542" i="1" s="1"/>
  <c r="H3542" i="1"/>
  <c r="G3542" i="1"/>
  <c r="J3541" i="1"/>
  <c r="I3541" i="1"/>
  <c r="G3541" i="1"/>
  <c r="J3540" i="1"/>
  <c r="I3540" i="1"/>
  <c r="G3540" i="1"/>
  <c r="J3539" i="1"/>
  <c r="I3539" i="1"/>
  <c r="G3539" i="1"/>
  <c r="J3538" i="1"/>
  <c r="I3538" i="1"/>
  <c r="G3538" i="1"/>
  <c r="J3537" i="1"/>
  <c r="I3537" i="1"/>
  <c r="G3537" i="1"/>
  <c r="H3536" i="1"/>
  <c r="I3536" i="1" s="1"/>
  <c r="J3536" i="1" s="1"/>
  <c r="G3536" i="1"/>
  <c r="J3535" i="1"/>
  <c r="I3535" i="1"/>
  <c r="G3535" i="1"/>
  <c r="J3534" i="1"/>
  <c r="H3534" i="1"/>
  <c r="I3534" i="1" s="1"/>
  <c r="G3534" i="1"/>
  <c r="I3533" i="1"/>
  <c r="J3533" i="1" s="1"/>
  <c r="G3533" i="1"/>
  <c r="I3532" i="1"/>
  <c r="J3532" i="1" s="1"/>
  <c r="G3532" i="1"/>
  <c r="I3531" i="1"/>
  <c r="J3531" i="1" s="1"/>
  <c r="G3531" i="1"/>
  <c r="I3530" i="1"/>
  <c r="J3530" i="1" s="1"/>
  <c r="G3530" i="1"/>
  <c r="I3529" i="1"/>
  <c r="J3529" i="1" s="1"/>
  <c r="H3529" i="1"/>
  <c r="G3529" i="1"/>
  <c r="I3528" i="1"/>
  <c r="J3528" i="1" s="1"/>
  <c r="G3528" i="1"/>
  <c r="J3527" i="1"/>
  <c r="I3527" i="1"/>
  <c r="G3527" i="1"/>
  <c r="J3526" i="1"/>
  <c r="I3526" i="1"/>
  <c r="G3526" i="1"/>
  <c r="J3525" i="1"/>
  <c r="I3525" i="1"/>
  <c r="G3525" i="1"/>
  <c r="I3524" i="1"/>
  <c r="J3524" i="1" s="1"/>
  <c r="G3524" i="1"/>
  <c r="J3523" i="1"/>
  <c r="I3523" i="1"/>
  <c r="G3523" i="1"/>
  <c r="J3522" i="1"/>
  <c r="I3522" i="1"/>
  <c r="G3522" i="1"/>
  <c r="J3521" i="1"/>
  <c r="H3521" i="1"/>
  <c r="I3521" i="1" s="1"/>
  <c r="G3521" i="1"/>
  <c r="J3520" i="1"/>
  <c r="I3520" i="1"/>
  <c r="G3520" i="1"/>
  <c r="J3519" i="1"/>
  <c r="I3519" i="1"/>
  <c r="G3519" i="1"/>
  <c r="I3518" i="1"/>
  <c r="J3518" i="1" s="1"/>
  <c r="G3518" i="1"/>
  <c r="I3517" i="1"/>
  <c r="J3517" i="1" s="1"/>
  <c r="G3517" i="1"/>
  <c r="J3516" i="1"/>
  <c r="I3516" i="1"/>
  <c r="G3516" i="1"/>
  <c r="J3515" i="1"/>
  <c r="I3515" i="1"/>
  <c r="G3515" i="1"/>
  <c r="I3514" i="1"/>
  <c r="J3514" i="1" s="1"/>
  <c r="G3514" i="1"/>
  <c r="I3513" i="1"/>
  <c r="J3513" i="1" s="1"/>
  <c r="G3513" i="1"/>
  <c r="J3512" i="1"/>
  <c r="I3512" i="1"/>
  <c r="G3512" i="1"/>
  <c r="J3511" i="1"/>
  <c r="I3511" i="1"/>
  <c r="G3511" i="1"/>
  <c r="I3510" i="1"/>
  <c r="J3510" i="1" s="1"/>
  <c r="G3510" i="1"/>
  <c r="J3509" i="1"/>
  <c r="I3509" i="1"/>
  <c r="G3509" i="1"/>
  <c r="J3508" i="1"/>
  <c r="I3508" i="1"/>
  <c r="G3508" i="1"/>
  <c r="I3507" i="1"/>
  <c r="J3507" i="1" s="1"/>
  <c r="G3507" i="1"/>
  <c r="I3506" i="1"/>
  <c r="J3506" i="1" s="1"/>
  <c r="G3506" i="1"/>
  <c r="J3505" i="1"/>
  <c r="I3505" i="1"/>
  <c r="G3505" i="1"/>
  <c r="J3504" i="1"/>
  <c r="I3504" i="1"/>
  <c r="G3504" i="1"/>
  <c r="I3503" i="1"/>
  <c r="J3503" i="1" s="1"/>
  <c r="G3503" i="1"/>
  <c r="I3502" i="1"/>
  <c r="J3502" i="1" s="1"/>
  <c r="G3502" i="1"/>
  <c r="H3501" i="1"/>
  <c r="I3501" i="1" s="1"/>
  <c r="J3501" i="1" s="1"/>
  <c r="G3501" i="1"/>
  <c r="I3500" i="1"/>
  <c r="J3500" i="1" s="1"/>
  <c r="G3500" i="1"/>
  <c r="J3499" i="1"/>
  <c r="I3499" i="1"/>
  <c r="G3499" i="1"/>
  <c r="I3498" i="1"/>
  <c r="J3498" i="1" s="1"/>
  <c r="G3498" i="1"/>
  <c r="I3497" i="1"/>
  <c r="J3497" i="1" s="1"/>
  <c r="G3497" i="1"/>
  <c r="I3496" i="1"/>
  <c r="J3496" i="1" s="1"/>
  <c r="G3496" i="1"/>
  <c r="J3495" i="1"/>
  <c r="I3495" i="1"/>
  <c r="G3495" i="1"/>
  <c r="I3494" i="1"/>
  <c r="J3494" i="1" s="1"/>
  <c r="G3494" i="1"/>
  <c r="I3493" i="1"/>
  <c r="J3493" i="1" s="1"/>
  <c r="G3493" i="1"/>
  <c r="I3492" i="1"/>
  <c r="J3492" i="1" s="1"/>
  <c r="G3492" i="1"/>
  <c r="H3491" i="1"/>
  <c r="I3491" i="1" s="1"/>
  <c r="J3491" i="1" s="1"/>
  <c r="G3491" i="1"/>
  <c r="I3490" i="1"/>
  <c r="J3490" i="1" s="1"/>
  <c r="H3490" i="1"/>
  <c r="G3490" i="1"/>
  <c r="H3489" i="1"/>
  <c r="I3489" i="1" s="1"/>
  <c r="J3489" i="1" s="1"/>
  <c r="G3489" i="1"/>
  <c r="J3488" i="1"/>
  <c r="I3488" i="1"/>
  <c r="G3488" i="1"/>
  <c r="I3487" i="1"/>
  <c r="J3487" i="1" s="1"/>
  <c r="G3487" i="1"/>
  <c r="I3486" i="1"/>
  <c r="J3486" i="1" s="1"/>
  <c r="G3486" i="1"/>
  <c r="I3485" i="1"/>
  <c r="J3485" i="1" s="1"/>
  <c r="G3485" i="1"/>
  <c r="J3484" i="1"/>
  <c r="I3484" i="1"/>
  <c r="G3484" i="1"/>
  <c r="I3483" i="1"/>
  <c r="J3483" i="1" s="1"/>
  <c r="G3483" i="1"/>
  <c r="I3482" i="1"/>
  <c r="J3482" i="1" s="1"/>
  <c r="G3482" i="1"/>
  <c r="I3481" i="1"/>
  <c r="J3481" i="1" s="1"/>
  <c r="G3481" i="1"/>
  <c r="J3480" i="1"/>
  <c r="I3480" i="1"/>
  <c r="G3480" i="1"/>
  <c r="I3479" i="1"/>
  <c r="J3479" i="1" s="1"/>
  <c r="G3479" i="1"/>
  <c r="I3478" i="1"/>
  <c r="J3478" i="1" s="1"/>
  <c r="G3478" i="1"/>
  <c r="I3477" i="1"/>
  <c r="J3477" i="1" s="1"/>
  <c r="G3477" i="1"/>
  <c r="H3476" i="1"/>
  <c r="I3476" i="1" s="1"/>
  <c r="J3476" i="1" s="1"/>
  <c r="G3476" i="1"/>
  <c r="I3475" i="1"/>
  <c r="J3475" i="1" s="1"/>
  <c r="H3475" i="1"/>
  <c r="G3475" i="1"/>
  <c r="J3474" i="1"/>
  <c r="I3474" i="1"/>
  <c r="G3474" i="1"/>
  <c r="I3473" i="1"/>
  <c r="J3473" i="1" s="1"/>
  <c r="G3473" i="1"/>
  <c r="H3472" i="1"/>
  <c r="I3472" i="1" s="1"/>
  <c r="J3472" i="1" s="1"/>
  <c r="G3472" i="1"/>
  <c r="I3471" i="1"/>
  <c r="J3471" i="1" s="1"/>
  <c r="G3471" i="1"/>
  <c r="I3470" i="1"/>
  <c r="J3470" i="1" s="1"/>
  <c r="G3470" i="1"/>
  <c r="H3469" i="1"/>
  <c r="I3469" i="1" s="1"/>
  <c r="J3469" i="1" s="1"/>
  <c r="G3469" i="1"/>
  <c r="I3468" i="1"/>
  <c r="J3468" i="1" s="1"/>
  <c r="H3468" i="1"/>
  <c r="G3468" i="1"/>
  <c r="J3467" i="1"/>
  <c r="H3467" i="1"/>
  <c r="I3467" i="1" s="1"/>
  <c r="G3467" i="1"/>
  <c r="H3466" i="1"/>
  <c r="I3466" i="1" s="1"/>
  <c r="J3466" i="1" s="1"/>
  <c r="G3466" i="1"/>
  <c r="I3465" i="1"/>
  <c r="J3465" i="1" s="1"/>
  <c r="H3465" i="1"/>
  <c r="G3465" i="1"/>
  <c r="J3464" i="1"/>
  <c r="I3464" i="1"/>
  <c r="G3464" i="1"/>
  <c r="I3463" i="1"/>
  <c r="J3463" i="1" s="1"/>
  <c r="G3463" i="1"/>
  <c r="I3462" i="1"/>
  <c r="J3462" i="1" s="1"/>
  <c r="G3462" i="1"/>
  <c r="J3461" i="1"/>
  <c r="I3461" i="1"/>
  <c r="G3461" i="1"/>
  <c r="J3460" i="1"/>
  <c r="I3460" i="1"/>
  <c r="G3460" i="1"/>
  <c r="I3459" i="1"/>
  <c r="J3459" i="1" s="1"/>
  <c r="H3459" i="1"/>
  <c r="G3459" i="1"/>
  <c r="I3458" i="1"/>
  <c r="J3458" i="1" s="1"/>
  <c r="G3458" i="1"/>
  <c r="I3457" i="1"/>
  <c r="J3457" i="1" s="1"/>
  <c r="H3457" i="1"/>
  <c r="G3457" i="1"/>
  <c r="H3456" i="1"/>
  <c r="I3456" i="1" s="1"/>
  <c r="J3456" i="1" s="1"/>
  <c r="G3456" i="1"/>
  <c r="H3455" i="1"/>
  <c r="I3455" i="1" s="1"/>
  <c r="J3455" i="1" s="1"/>
  <c r="G3455" i="1"/>
  <c r="I3454" i="1"/>
  <c r="J3454" i="1" s="1"/>
  <c r="H3454" i="1"/>
  <c r="G3454" i="1"/>
  <c r="H3453" i="1"/>
  <c r="I3453" i="1" s="1"/>
  <c r="J3453" i="1" s="1"/>
  <c r="G3453" i="1"/>
  <c r="I3452" i="1"/>
  <c r="J3452" i="1" s="1"/>
  <c r="G3452" i="1"/>
  <c r="J3451" i="1"/>
  <c r="I3451" i="1"/>
  <c r="G3451" i="1"/>
  <c r="J3450" i="1"/>
  <c r="I3450" i="1"/>
  <c r="G3450" i="1"/>
  <c r="I3449" i="1"/>
  <c r="J3449" i="1" s="1"/>
  <c r="G3449" i="1"/>
  <c r="H3448" i="1"/>
  <c r="I3448" i="1" s="1"/>
  <c r="J3448" i="1" s="1"/>
  <c r="G3448" i="1"/>
  <c r="I3447" i="1"/>
  <c r="J3447" i="1" s="1"/>
  <c r="H3447" i="1"/>
  <c r="G3447" i="1"/>
  <c r="H3446" i="1"/>
  <c r="I3446" i="1" s="1"/>
  <c r="J3446" i="1" s="1"/>
  <c r="G3446" i="1"/>
  <c r="H3445" i="1"/>
  <c r="I3445" i="1" s="1"/>
  <c r="J3445" i="1" s="1"/>
  <c r="G3445" i="1"/>
  <c r="I3444" i="1"/>
  <c r="J3444" i="1" s="1"/>
  <c r="H3444" i="1"/>
  <c r="G3444" i="1"/>
  <c r="H3443" i="1"/>
  <c r="I3443" i="1" s="1"/>
  <c r="J3443" i="1" s="1"/>
  <c r="G3443" i="1"/>
  <c r="I3442" i="1"/>
  <c r="J3442" i="1" s="1"/>
  <c r="G3442" i="1"/>
  <c r="J3441" i="1"/>
  <c r="H3441" i="1"/>
  <c r="I3441" i="1" s="1"/>
  <c r="G3441" i="1"/>
  <c r="I3440" i="1"/>
  <c r="J3440" i="1" s="1"/>
  <c r="H3440" i="1"/>
  <c r="G3440" i="1"/>
  <c r="H3439" i="1"/>
  <c r="I3439" i="1" s="1"/>
  <c r="J3439" i="1" s="1"/>
  <c r="G3439" i="1"/>
  <c r="J3438" i="1"/>
  <c r="H3438" i="1"/>
  <c r="I3438" i="1" s="1"/>
  <c r="G3438" i="1"/>
  <c r="I3437" i="1"/>
  <c r="J3437" i="1" s="1"/>
  <c r="H3437" i="1"/>
  <c r="G3437" i="1"/>
  <c r="H3436" i="1"/>
  <c r="I3436" i="1" s="1"/>
  <c r="J3436" i="1" s="1"/>
  <c r="G3436" i="1"/>
  <c r="J3435" i="1"/>
  <c r="H3435" i="1"/>
  <c r="I3435" i="1" s="1"/>
  <c r="G3435" i="1"/>
  <c r="I3434" i="1"/>
  <c r="J3434" i="1" s="1"/>
  <c r="H3434" i="1"/>
  <c r="G3434" i="1"/>
  <c r="I3433" i="1"/>
  <c r="J3433" i="1" s="1"/>
  <c r="G3433" i="1"/>
  <c r="I3432" i="1"/>
  <c r="J3432" i="1" s="1"/>
  <c r="G3432" i="1"/>
  <c r="I3431" i="1"/>
  <c r="J3431" i="1" s="1"/>
  <c r="G3431" i="1"/>
  <c r="J3430" i="1"/>
  <c r="I3430" i="1"/>
  <c r="G3430" i="1"/>
  <c r="H3429" i="1"/>
  <c r="I3429" i="1" s="1"/>
  <c r="J3429" i="1" s="1"/>
  <c r="G3429" i="1"/>
  <c r="J3428" i="1"/>
  <c r="H3428" i="1"/>
  <c r="I3428" i="1" s="1"/>
  <c r="G3428" i="1"/>
  <c r="I3427" i="1"/>
  <c r="J3427" i="1" s="1"/>
  <c r="G3427" i="1"/>
  <c r="J3426" i="1"/>
  <c r="I3426" i="1"/>
  <c r="G3426" i="1"/>
  <c r="I3425" i="1"/>
  <c r="J3425" i="1" s="1"/>
  <c r="G3425" i="1"/>
  <c r="I3424" i="1"/>
  <c r="J3424" i="1" s="1"/>
  <c r="G3424" i="1"/>
  <c r="I3423" i="1"/>
  <c r="J3423" i="1" s="1"/>
  <c r="H3423" i="1"/>
  <c r="G3423" i="1"/>
  <c r="I3422" i="1"/>
  <c r="J3422" i="1" s="1"/>
  <c r="G3422" i="1"/>
  <c r="I3421" i="1"/>
  <c r="J3421" i="1" s="1"/>
  <c r="H3421" i="1"/>
  <c r="G3421" i="1"/>
  <c r="H3420" i="1"/>
  <c r="I3420" i="1" s="1"/>
  <c r="J3420" i="1" s="1"/>
  <c r="G3420" i="1"/>
  <c r="H3419" i="1"/>
  <c r="I3419" i="1" s="1"/>
  <c r="J3419" i="1" s="1"/>
  <c r="G3419" i="1"/>
  <c r="I3418" i="1"/>
  <c r="J3418" i="1" s="1"/>
  <c r="G3418" i="1"/>
  <c r="I3417" i="1"/>
  <c r="J3417" i="1" s="1"/>
  <c r="G3417" i="1"/>
  <c r="J3416" i="1"/>
  <c r="I3416" i="1"/>
  <c r="G3416" i="1"/>
  <c r="H3415" i="1"/>
  <c r="I3415" i="1" s="1"/>
  <c r="J3415" i="1" s="1"/>
  <c r="G3415" i="1"/>
  <c r="J3414" i="1"/>
  <c r="I3414" i="1"/>
  <c r="G3414" i="1"/>
  <c r="J3413" i="1"/>
  <c r="I3413" i="1"/>
  <c r="G3413" i="1"/>
  <c r="I3412" i="1"/>
  <c r="J3412" i="1" s="1"/>
  <c r="G3412" i="1"/>
  <c r="I3411" i="1"/>
  <c r="J3411" i="1" s="1"/>
  <c r="G3411" i="1"/>
  <c r="J3410" i="1"/>
  <c r="I3410" i="1"/>
  <c r="G3410" i="1"/>
  <c r="J3409" i="1"/>
  <c r="I3409" i="1"/>
  <c r="G3409" i="1"/>
  <c r="I3408" i="1"/>
  <c r="J3408" i="1" s="1"/>
  <c r="H3408" i="1"/>
  <c r="G3408" i="1"/>
  <c r="I3407" i="1"/>
  <c r="J3407" i="1" s="1"/>
  <c r="G3407" i="1"/>
  <c r="I3406" i="1"/>
  <c r="J3406" i="1" s="1"/>
  <c r="G3406" i="1"/>
  <c r="I3405" i="1"/>
  <c r="J3405" i="1" s="1"/>
  <c r="G3405" i="1"/>
  <c r="J3404" i="1"/>
  <c r="I3404" i="1"/>
  <c r="G3404" i="1"/>
  <c r="H3403" i="1"/>
  <c r="I3403" i="1" s="1"/>
  <c r="J3403" i="1" s="1"/>
  <c r="G3403" i="1"/>
  <c r="I3402" i="1"/>
  <c r="J3402" i="1" s="1"/>
  <c r="G3402" i="1"/>
  <c r="J3401" i="1"/>
  <c r="I3401" i="1"/>
  <c r="G3401" i="1"/>
  <c r="I3400" i="1"/>
  <c r="J3400" i="1" s="1"/>
  <c r="G3400" i="1"/>
  <c r="I3399" i="1"/>
  <c r="J3399" i="1" s="1"/>
  <c r="G3399" i="1"/>
  <c r="I3398" i="1"/>
  <c r="J3398" i="1" s="1"/>
  <c r="G3398" i="1"/>
  <c r="H3397" i="1"/>
  <c r="I3397" i="1" s="1"/>
  <c r="J3397" i="1" s="1"/>
  <c r="G3397" i="1"/>
  <c r="I3396" i="1"/>
  <c r="J3396" i="1" s="1"/>
  <c r="G3396" i="1"/>
  <c r="J3395" i="1"/>
  <c r="I3395" i="1"/>
  <c r="G3395" i="1"/>
  <c r="J3394" i="1"/>
  <c r="I3394" i="1"/>
  <c r="G3394" i="1"/>
  <c r="I3393" i="1"/>
  <c r="J3393" i="1" s="1"/>
  <c r="G3393" i="1"/>
  <c r="I3392" i="1"/>
  <c r="J3392" i="1" s="1"/>
  <c r="G3392" i="1"/>
  <c r="J3391" i="1"/>
  <c r="I3391" i="1"/>
  <c r="G3391" i="1"/>
  <c r="H3390" i="1"/>
  <c r="I3390" i="1" s="1"/>
  <c r="J3390" i="1" s="1"/>
  <c r="G3390" i="1"/>
  <c r="H3389" i="1"/>
  <c r="I3389" i="1" s="1"/>
  <c r="J3389" i="1" s="1"/>
  <c r="G3389" i="1"/>
  <c r="I3388" i="1"/>
  <c r="J3388" i="1" s="1"/>
  <c r="H3388" i="1"/>
  <c r="G3388" i="1"/>
  <c r="H3387" i="1"/>
  <c r="I3387" i="1" s="1"/>
  <c r="J3387" i="1" s="1"/>
  <c r="G3387" i="1"/>
  <c r="J3386" i="1"/>
  <c r="I3386" i="1"/>
  <c r="G3386" i="1"/>
  <c r="I3385" i="1"/>
  <c r="J3385" i="1" s="1"/>
  <c r="G3385" i="1"/>
  <c r="H3384" i="1"/>
  <c r="I3384" i="1" s="1"/>
  <c r="J3384" i="1" s="1"/>
  <c r="G3384" i="1"/>
  <c r="J3383" i="1"/>
  <c r="I3383" i="1"/>
  <c r="G3383" i="1"/>
  <c r="I3382" i="1"/>
  <c r="J3382" i="1" s="1"/>
  <c r="G3382" i="1"/>
  <c r="I3381" i="1"/>
  <c r="J3381" i="1" s="1"/>
  <c r="H3381" i="1"/>
  <c r="G3381" i="1"/>
  <c r="J3380" i="1"/>
  <c r="H3380" i="1"/>
  <c r="I3380" i="1" s="1"/>
  <c r="G3380" i="1"/>
  <c r="J3379" i="1"/>
  <c r="I3379" i="1"/>
  <c r="G3379" i="1"/>
  <c r="I3378" i="1"/>
  <c r="J3378" i="1" s="1"/>
  <c r="G3378" i="1"/>
  <c r="I3377" i="1"/>
  <c r="J3377" i="1" s="1"/>
  <c r="G3377" i="1"/>
  <c r="I3376" i="1"/>
  <c r="J3376" i="1" s="1"/>
  <c r="G3376" i="1"/>
  <c r="J3375" i="1"/>
  <c r="I3375" i="1"/>
  <c r="G3375" i="1"/>
  <c r="I3374" i="1"/>
  <c r="J3374" i="1" s="1"/>
  <c r="G3374" i="1"/>
  <c r="I3373" i="1"/>
  <c r="J3373" i="1" s="1"/>
  <c r="G3373" i="1"/>
  <c r="I3372" i="1"/>
  <c r="J3372" i="1" s="1"/>
  <c r="G3372" i="1"/>
  <c r="J3371" i="1"/>
  <c r="I3371" i="1"/>
  <c r="G3371" i="1"/>
  <c r="I3370" i="1"/>
  <c r="J3370" i="1" s="1"/>
  <c r="G3370" i="1"/>
  <c r="I3369" i="1"/>
  <c r="J3369" i="1" s="1"/>
  <c r="G3369" i="1"/>
  <c r="I3368" i="1"/>
  <c r="J3368" i="1" s="1"/>
  <c r="H3368" i="1"/>
  <c r="G3368" i="1"/>
  <c r="I3367" i="1"/>
  <c r="J3367" i="1" s="1"/>
  <c r="G3367" i="1"/>
  <c r="I3366" i="1"/>
  <c r="J3366" i="1" s="1"/>
  <c r="H3366" i="1"/>
  <c r="G3366" i="1"/>
  <c r="J3365" i="1"/>
  <c r="I3365" i="1"/>
  <c r="G3365" i="1"/>
  <c r="I3364" i="1"/>
  <c r="J3364" i="1" s="1"/>
  <c r="G3364" i="1"/>
  <c r="H3363" i="1"/>
  <c r="I3363" i="1" s="1"/>
  <c r="J3363" i="1" s="1"/>
  <c r="G3363" i="1"/>
  <c r="I3362" i="1"/>
  <c r="J3362" i="1" s="1"/>
  <c r="G3362" i="1"/>
  <c r="I3361" i="1"/>
  <c r="J3361" i="1" s="1"/>
  <c r="G3361" i="1"/>
  <c r="J3360" i="1"/>
  <c r="I3360" i="1"/>
  <c r="G3360" i="1"/>
  <c r="I3359" i="1"/>
  <c r="J3359" i="1" s="1"/>
  <c r="G3359" i="1"/>
  <c r="I3358" i="1"/>
  <c r="J3358" i="1" s="1"/>
  <c r="G3358" i="1"/>
  <c r="I3357" i="1"/>
  <c r="J3357" i="1" s="1"/>
  <c r="G3357" i="1"/>
  <c r="J3356" i="1"/>
  <c r="I3356" i="1"/>
  <c r="G3356" i="1"/>
  <c r="I3355" i="1"/>
  <c r="J3355" i="1" s="1"/>
  <c r="G3355" i="1"/>
  <c r="I3354" i="1"/>
  <c r="J3354" i="1" s="1"/>
  <c r="G3354" i="1"/>
  <c r="I3353" i="1"/>
  <c r="J3353" i="1" s="1"/>
  <c r="G3353" i="1"/>
  <c r="H3352" i="1"/>
  <c r="I3352" i="1" s="1"/>
  <c r="J3352" i="1" s="1"/>
  <c r="G3352" i="1"/>
  <c r="I3351" i="1"/>
  <c r="J3351" i="1" s="1"/>
  <c r="G3351" i="1"/>
  <c r="I3350" i="1"/>
  <c r="J3350" i="1" s="1"/>
  <c r="G3350" i="1"/>
  <c r="H3349" i="1"/>
  <c r="I3349" i="1" s="1"/>
  <c r="J3349" i="1" s="1"/>
  <c r="G3349" i="1"/>
  <c r="I3348" i="1"/>
  <c r="J3348" i="1" s="1"/>
  <c r="G3348" i="1"/>
  <c r="J3347" i="1"/>
  <c r="I3347" i="1"/>
  <c r="G3347" i="1"/>
  <c r="J3346" i="1"/>
  <c r="I3346" i="1"/>
  <c r="G3346" i="1"/>
  <c r="I3345" i="1"/>
  <c r="J3345" i="1" s="1"/>
  <c r="G3345" i="1"/>
  <c r="I3344" i="1"/>
  <c r="J3344" i="1" s="1"/>
  <c r="G3344" i="1"/>
  <c r="J3343" i="1"/>
  <c r="I3343" i="1"/>
  <c r="G3343" i="1"/>
  <c r="J3342" i="1"/>
  <c r="I3342" i="1"/>
  <c r="G3342" i="1"/>
  <c r="I3341" i="1"/>
  <c r="J3341" i="1" s="1"/>
  <c r="H3341" i="1"/>
  <c r="G3341" i="1"/>
  <c r="I3340" i="1"/>
  <c r="J3340" i="1" s="1"/>
  <c r="G3340" i="1"/>
  <c r="H3339" i="1"/>
  <c r="I3339" i="1" s="1"/>
  <c r="J3339" i="1" s="1"/>
  <c r="G3339" i="1"/>
  <c r="H3338" i="1"/>
  <c r="I3338" i="1" s="1"/>
  <c r="J3338" i="1" s="1"/>
  <c r="G3338" i="1"/>
  <c r="I3337" i="1"/>
  <c r="J3337" i="1" s="1"/>
  <c r="G3337" i="1"/>
  <c r="J3336" i="1"/>
  <c r="I3336" i="1"/>
  <c r="G3336" i="1"/>
  <c r="J3335" i="1"/>
  <c r="I3335" i="1"/>
  <c r="G3335" i="1"/>
  <c r="I3334" i="1"/>
  <c r="J3334" i="1" s="1"/>
  <c r="G3334" i="1"/>
  <c r="I3333" i="1"/>
  <c r="J3333" i="1" s="1"/>
  <c r="G3333" i="1"/>
  <c r="J3332" i="1"/>
  <c r="I3332" i="1"/>
  <c r="G3332" i="1"/>
  <c r="G3331" i="1"/>
  <c r="F3331" i="1"/>
  <c r="I3331" i="1" s="1"/>
  <c r="J3331" i="1" s="1"/>
  <c r="J3330" i="1"/>
  <c r="I3330" i="1"/>
  <c r="G3330" i="1"/>
  <c r="I3329" i="1"/>
  <c r="J3329" i="1" s="1"/>
  <c r="G3329" i="1"/>
  <c r="H3328" i="1"/>
  <c r="I3328" i="1" s="1"/>
  <c r="J3328" i="1" s="1"/>
  <c r="G3328" i="1"/>
  <c r="J3327" i="1"/>
  <c r="I3327" i="1"/>
  <c r="G3327" i="1"/>
  <c r="I3326" i="1"/>
  <c r="J3326" i="1" s="1"/>
  <c r="G3326" i="1"/>
  <c r="I3325" i="1"/>
  <c r="J3325" i="1" s="1"/>
  <c r="G3325" i="1"/>
  <c r="I3324" i="1"/>
  <c r="J3324" i="1" s="1"/>
  <c r="G3324" i="1"/>
  <c r="J3323" i="1"/>
  <c r="I3323" i="1"/>
  <c r="G3323" i="1"/>
  <c r="I3322" i="1"/>
  <c r="J3322" i="1" s="1"/>
  <c r="G3322" i="1"/>
  <c r="I3321" i="1"/>
  <c r="J3321" i="1" s="1"/>
  <c r="G3321" i="1"/>
  <c r="I3320" i="1"/>
  <c r="J3320" i="1" s="1"/>
  <c r="G3320" i="1"/>
  <c r="J3319" i="1"/>
  <c r="I3319" i="1"/>
  <c r="G3319" i="1"/>
  <c r="I3318" i="1"/>
  <c r="J3318" i="1" s="1"/>
  <c r="G3318" i="1"/>
  <c r="I3317" i="1"/>
  <c r="J3317" i="1" s="1"/>
  <c r="G3317" i="1"/>
  <c r="J3316" i="1"/>
  <c r="I3316" i="1"/>
  <c r="G3316" i="1"/>
  <c r="J3315" i="1"/>
  <c r="I3315" i="1"/>
  <c r="G3315" i="1"/>
  <c r="I3314" i="1"/>
  <c r="J3314" i="1" s="1"/>
  <c r="G3314" i="1"/>
  <c r="I3313" i="1"/>
  <c r="J3313" i="1" s="1"/>
  <c r="G3313" i="1"/>
  <c r="I3312" i="1"/>
  <c r="J3312" i="1" s="1"/>
  <c r="G3312" i="1"/>
  <c r="J3311" i="1"/>
  <c r="I3311" i="1"/>
  <c r="G3311" i="1"/>
  <c r="I3310" i="1"/>
  <c r="J3310" i="1" s="1"/>
  <c r="G3310" i="1"/>
  <c r="I3309" i="1"/>
  <c r="J3309" i="1" s="1"/>
  <c r="G3309" i="1"/>
  <c r="I3308" i="1"/>
  <c r="J3308" i="1" s="1"/>
  <c r="F3308" i="1"/>
  <c r="G3308" i="1" s="1"/>
  <c r="I3307" i="1"/>
  <c r="J3307" i="1" s="1"/>
  <c r="G3307" i="1"/>
  <c r="F3306" i="1"/>
  <c r="I3305" i="1"/>
  <c r="J3305" i="1" s="1"/>
  <c r="G3305" i="1"/>
  <c r="I3304" i="1"/>
  <c r="J3304" i="1" s="1"/>
  <c r="G3304" i="1"/>
  <c r="J3303" i="1"/>
  <c r="I3303" i="1"/>
  <c r="G3303" i="1"/>
  <c r="I3302" i="1"/>
  <c r="J3302" i="1" s="1"/>
  <c r="G3302" i="1"/>
  <c r="I3301" i="1"/>
  <c r="J3301" i="1" s="1"/>
  <c r="G3301" i="1"/>
  <c r="I3300" i="1"/>
  <c r="J3300" i="1" s="1"/>
  <c r="G3300" i="1"/>
  <c r="J3299" i="1"/>
  <c r="I3299" i="1"/>
  <c r="G3299" i="1"/>
  <c r="I3298" i="1"/>
  <c r="J3298" i="1" s="1"/>
  <c r="G3298" i="1"/>
  <c r="H3297" i="1"/>
  <c r="I3297" i="1" s="1"/>
  <c r="J3297" i="1" s="1"/>
  <c r="G3297" i="1"/>
  <c r="J3296" i="1"/>
  <c r="I3296" i="1"/>
  <c r="G3296" i="1"/>
  <c r="I3295" i="1"/>
  <c r="J3295" i="1" s="1"/>
  <c r="G3295" i="1"/>
  <c r="I3294" i="1"/>
  <c r="J3294" i="1" s="1"/>
  <c r="G3294" i="1"/>
  <c r="J3293" i="1"/>
  <c r="I3293" i="1"/>
  <c r="G3293" i="1"/>
  <c r="J3292" i="1"/>
  <c r="I3292" i="1"/>
  <c r="G3292" i="1"/>
  <c r="F3291" i="1"/>
  <c r="I3291" i="1" s="1"/>
  <c r="J3291" i="1" s="1"/>
  <c r="F3290" i="1"/>
  <c r="I3290" i="1" s="1"/>
  <c r="J3290" i="1" s="1"/>
  <c r="F3289" i="1"/>
  <c r="I3289" i="1" s="1"/>
  <c r="J3289" i="1" s="1"/>
  <c r="F3288" i="1"/>
  <c r="I3288" i="1" s="1"/>
  <c r="J3288" i="1" s="1"/>
  <c r="F3287" i="1"/>
  <c r="I3287" i="1" s="1"/>
  <c r="J3287" i="1" s="1"/>
  <c r="F3286" i="1"/>
  <c r="I3286" i="1" s="1"/>
  <c r="J3286" i="1" s="1"/>
  <c r="F3285" i="1"/>
  <c r="I3285" i="1" s="1"/>
  <c r="J3285" i="1" s="1"/>
  <c r="J3284" i="1"/>
  <c r="G3284" i="1"/>
  <c r="F3284" i="1"/>
  <c r="I3284" i="1" s="1"/>
  <c r="I3283" i="1"/>
  <c r="J3283" i="1" s="1"/>
  <c r="G3283" i="1"/>
  <c r="H3282" i="1"/>
  <c r="I3282" i="1" s="1"/>
  <c r="J3282" i="1" s="1"/>
  <c r="G3282" i="1"/>
  <c r="I3281" i="1"/>
  <c r="J3281" i="1" s="1"/>
  <c r="H3281" i="1"/>
  <c r="G3281" i="1"/>
  <c r="J3280" i="1"/>
  <c r="I3280" i="1"/>
  <c r="G3280" i="1"/>
  <c r="I3279" i="1"/>
  <c r="J3279" i="1" s="1"/>
  <c r="G3279" i="1"/>
  <c r="I3278" i="1"/>
  <c r="J3278" i="1" s="1"/>
  <c r="G3278" i="1"/>
  <c r="J3277" i="1"/>
  <c r="I3277" i="1"/>
  <c r="G3277" i="1"/>
  <c r="J3276" i="1"/>
  <c r="I3276" i="1"/>
  <c r="G3276" i="1"/>
  <c r="I3275" i="1"/>
  <c r="J3275" i="1" s="1"/>
  <c r="G3275" i="1"/>
  <c r="I3274" i="1"/>
  <c r="J3274" i="1" s="1"/>
  <c r="G3274" i="1"/>
  <c r="J3273" i="1"/>
  <c r="I3273" i="1"/>
  <c r="G3273" i="1"/>
  <c r="J3272" i="1"/>
  <c r="I3272" i="1"/>
  <c r="G3272" i="1"/>
  <c r="I3271" i="1"/>
  <c r="J3271" i="1" s="1"/>
  <c r="G3271" i="1"/>
  <c r="I3270" i="1"/>
  <c r="J3270" i="1" s="1"/>
  <c r="G3270" i="1"/>
  <c r="J3269" i="1"/>
  <c r="I3269" i="1"/>
  <c r="G3269" i="1"/>
  <c r="J3268" i="1"/>
  <c r="I3268" i="1"/>
  <c r="G3268" i="1"/>
  <c r="I3267" i="1"/>
  <c r="J3267" i="1" s="1"/>
  <c r="G3267" i="1"/>
  <c r="I3266" i="1"/>
  <c r="J3266" i="1" s="1"/>
  <c r="G3266" i="1"/>
  <c r="J3265" i="1"/>
  <c r="I3265" i="1"/>
  <c r="G3265" i="1"/>
  <c r="J3264" i="1"/>
  <c r="I3264" i="1"/>
  <c r="G3264" i="1"/>
  <c r="I3263" i="1"/>
  <c r="J3263" i="1" s="1"/>
  <c r="G3263" i="1"/>
  <c r="I3262" i="1"/>
  <c r="J3262" i="1" s="1"/>
  <c r="G3262" i="1"/>
  <c r="J3261" i="1"/>
  <c r="I3261" i="1"/>
  <c r="G3261" i="1"/>
  <c r="J3260" i="1"/>
  <c r="I3260" i="1"/>
  <c r="G3260" i="1"/>
  <c r="I3259" i="1"/>
  <c r="J3259" i="1" s="1"/>
  <c r="H3259" i="1"/>
  <c r="G3259" i="1"/>
  <c r="I3258" i="1"/>
  <c r="J3258" i="1" s="1"/>
  <c r="G3258" i="1"/>
  <c r="I3257" i="1"/>
  <c r="J3257" i="1" s="1"/>
  <c r="G3257" i="1"/>
  <c r="I3256" i="1"/>
  <c r="J3256" i="1" s="1"/>
  <c r="G3256" i="1"/>
  <c r="J3255" i="1"/>
  <c r="I3255" i="1"/>
  <c r="G3255" i="1"/>
  <c r="H3254" i="1"/>
  <c r="I3254" i="1" s="1"/>
  <c r="J3254" i="1" s="1"/>
  <c r="G3254" i="1"/>
  <c r="I3253" i="1"/>
  <c r="J3253" i="1" s="1"/>
  <c r="G3253" i="1"/>
  <c r="J3252" i="1"/>
  <c r="I3252" i="1"/>
  <c r="G3252" i="1"/>
  <c r="I3251" i="1"/>
  <c r="J3251" i="1" s="1"/>
  <c r="G3251" i="1"/>
  <c r="I3250" i="1"/>
  <c r="J3250" i="1" s="1"/>
  <c r="H3250" i="1"/>
  <c r="G3250" i="1"/>
  <c r="J3249" i="1"/>
  <c r="I3249" i="1"/>
  <c r="G3249" i="1"/>
  <c r="I3248" i="1"/>
  <c r="J3248" i="1" s="1"/>
  <c r="G3248" i="1"/>
  <c r="I3247" i="1"/>
  <c r="J3247" i="1" s="1"/>
  <c r="H3247" i="1"/>
  <c r="G3247" i="1"/>
  <c r="I3246" i="1"/>
  <c r="J3246" i="1" s="1"/>
  <c r="G3246" i="1"/>
  <c r="I3245" i="1"/>
  <c r="J3245" i="1" s="1"/>
  <c r="G3245" i="1"/>
  <c r="H3244" i="1"/>
  <c r="I3244" i="1" s="1"/>
  <c r="J3244" i="1" s="1"/>
  <c r="G3244" i="1"/>
  <c r="I3243" i="1"/>
  <c r="J3243" i="1" s="1"/>
  <c r="H3243" i="1"/>
  <c r="G3243" i="1"/>
  <c r="H3242" i="1"/>
  <c r="I3242" i="1" s="1"/>
  <c r="J3242" i="1" s="1"/>
  <c r="G3242" i="1"/>
  <c r="J3241" i="1"/>
  <c r="I3241" i="1"/>
  <c r="G3241" i="1"/>
  <c r="I3240" i="1"/>
  <c r="J3240" i="1" s="1"/>
  <c r="G3240" i="1"/>
  <c r="I3239" i="1"/>
  <c r="J3239" i="1" s="1"/>
  <c r="G3239" i="1"/>
  <c r="I3238" i="1"/>
  <c r="J3238" i="1" s="1"/>
  <c r="G3238" i="1"/>
  <c r="H3237" i="1"/>
  <c r="I3237" i="1" s="1"/>
  <c r="J3237" i="1" s="1"/>
  <c r="G3237" i="1"/>
  <c r="I3236" i="1"/>
  <c r="J3236" i="1" s="1"/>
  <c r="G3236" i="1"/>
  <c r="J3235" i="1"/>
  <c r="I3235" i="1"/>
  <c r="G3235" i="1"/>
  <c r="J3234" i="1"/>
  <c r="I3234" i="1"/>
  <c r="G3234" i="1"/>
  <c r="I3233" i="1"/>
  <c r="J3233" i="1" s="1"/>
  <c r="G3233" i="1"/>
  <c r="I3232" i="1"/>
  <c r="J3232" i="1" s="1"/>
  <c r="G3232" i="1"/>
  <c r="I3231" i="1"/>
  <c r="J3231" i="1" s="1"/>
  <c r="G3231" i="1"/>
  <c r="J3230" i="1"/>
  <c r="I3230" i="1"/>
  <c r="G3230" i="1"/>
  <c r="H3229" i="1"/>
  <c r="I3229" i="1" s="1"/>
  <c r="J3229" i="1" s="1"/>
  <c r="G3229" i="1"/>
  <c r="H3228" i="1"/>
  <c r="I3228" i="1" s="1"/>
  <c r="J3228" i="1" s="1"/>
  <c r="G3228" i="1"/>
  <c r="I3227" i="1"/>
  <c r="J3227" i="1" s="1"/>
  <c r="G3227" i="1"/>
  <c r="J3226" i="1"/>
  <c r="I3226" i="1"/>
  <c r="G3226" i="1"/>
  <c r="I3225" i="1"/>
  <c r="J3225" i="1" s="1"/>
  <c r="G3225" i="1"/>
  <c r="I3224" i="1"/>
  <c r="J3224" i="1" s="1"/>
  <c r="G3224" i="1"/>
  <c r="I3223" i="1"/>
  <c r="J3223" i="1" s="1"/>
  <c r="G3223" i="1"/>
  <c r="J3222" i="1"/>
  <c r="I3222" i="1"/>
  <c r="G3222" i="1"/>
  <c r="H3221" i="1"/>
  <c r="I3221" i="1" s="1"/>
  <c r="J3221" i="1" s="1"/>
  <c r="G3221" i="1"/>
  <c r="J3220" i="1"/>
  <c r="I3220" i="1"/>
  <c r="G3220" i="1"/>
  <c r="J3219" i="1"/>
  <c r="I3219" i="1"/>
  <c r="G3219" i="1"/>
  <c r="H3218" i="1"/>
  <c r="I3218" i="1" s="1"/>
  <c r="J3218" i="1" s="1"/>
  <c r="G3218" i="1"/>
  <c r="J3217" i="1"/>
  <c r="I3217" i="1"/>
  <c r="G3217" i="1"/>
  <c r="J3216" i="1"/>
  <c r="I3216" i="1"/>
  <c r="G3216" i="1"/>
  <c r="I3215" i="1"/>
  <c r="J3215" i="1" s="1"/>
  <c r="G3215" i="1"/>
  <c r="H3214" i="1"/>
  <c r="I3214" i="1" s="1"/>
  <c r="J3214" i="1" s="1"/>
  <c r="G3214" i="1"/>
  <c r="I3213" i="1"/>
  <c r="J3213" i="1" s="1"/>
  <c r="G3213" i="1"/>
  <c r="I3212" i="1"/>
  <c r="J3212" i="1" s="1"/>
  <c r="H3212" i="1"/>
  <c r="G3212" i="1"/>
  <c r="I3211" i="1"/>
  <c r="J3211" i="1" s="1"/>
  <c r="G3211" i="1"/>
  <c r="I3210" i="1"/>
  <c r="J3210" i="1" s="1"/>
  <c r="G3210" i="1"/>
  <c r="I3209" i="1"/>
  <c r="J3209" i="1" s="1"/>
  <c r="G3209" i="1"/>
  <c r="J3208" i="1"/>
  <c r="I3208" i="1"/>
  <c r="G3208" i="1"/>
  <c r="I3207" i="1"/>
  <c r="J3207" i="1" s="1"/>
  <c r="G3207" i="1"/>
  <c r="I3206" i="1"/>
  <c r="J3206" i="1" s="1"/>
  <c r="G3206" i="1"/>
  <c r="I3205" i="1"/>
  <c r="J3205" i="1" s="1"/>
  <c r="G3205" i="1"/>
  <c r="J3204" i="1"/>
  <c r="I3204" i="1"/>
  <c r="G3204" i="1"/>
  <c r="I3203" i="1"/>
  <c r="J3203" i="1" s="1"/>
  <c r="G3203" i="1"/>
  <c r="I3202" i="1"/>
  <c r="J3202" i="1" s="1"/>
  <c r="G3202" i="1"/>
  <c r="J3201" i="1"/>
  <c r="I3201" i="1"/>
  <c r="H3201" i="1"/>
  <c r="G3201" i="1"/>
  <c r="I3200" i="1"/>
  <c r="J3200" i="1" s="1"/>
  <c r="G3200" i="1"/>
  <c r="I3199" i="1"/>
  <c r="J3199" i="1" s="1"/>
  <c r="G3199" i="1"/>
  <c r="J3198" i="1"/>
  <c r="I3198" i="1"/>
  <c r="G3198" i="1"/>
  <c r="J3197" i="1"/>
  <c r="I3197" i="1"/>
  <c r="G3197" i="1"/>
  <c r="I3196" i="1"/>
  <c r="J3196" i="1" s="1"/>
  <c r="G3196" i="1"/>
  <c r="I3195" i="1"/>
  <c r="J3195" i="1" s="1"/>
  <c r="G3195" i="1"/>
  <c r="J3194" i="1"/>
  <c r="I3194" i="1"/>
  <c r="G3194" i="1"/>
  <c r="J3193" i="1"/>
  <c r="I3193" i="1"/>
  <c r="G3193" i="1"/>
  <c r="I3192" i="1"/>
  <c r="J3192" i="1" s="1"/>
  <c r="G3192" i="1"/>
  <c r="H3191" i="1"/>
  <c r="I3191" i="1" s="1"/>
  <c r="J3191" i="1" s="1"/>
  <c r="G3191" i="1"/>
  <c r="I3190" i="1"/>
  <c r="J3190" i="1" s="1"/>
  <c r="G3190" i="1"/>
  <c r="I3189" i="1"/>
  <c r="J3189" i="1" s="1"/>
  <c r="H3189" i="1"/>
  <c r="G3189" i="1"/>
  <c r="H3188" i="1"/>
  <c r="I3188" i="1" s="1"/>
  <c r="J3188" i="1" s="1"/>
  <c r="G3188" i="1"/>
  <c r="J3187" i="1"/>
  <c r="I3187" i="1"/>
  <c r="G3187" i="1"/>
  <c r="J3186" i="1"/>
  <c r="I3186" i="1"/>
  <c r="G3186" i="1"/>
  <c r="I3185" i="1"/>
  <c r="J3185" i="1" s="1"/>
  <c r="G3185" i="1"/>
  <c r="I3184" i="1"/>
  <c r="J3184" i="1" s="1"/>
  <c r="G3184" i="1"/>
  <c r="J3183" i="1"/>
  <c r="I3183" i="1"/>
  <c r="G3183" i="1"/>
  <c r="J3182" i="1"/>
  <c r="I3182" i="1"/>
  <c r="G3182" i="1"/>
  <c r="I3181" i="1"/>
  <c r="J3181" i="1" s="1"/>
  <c r="G3181" i="1"/>
  <c r="I3180" i="1"/>
  <c r="J3180" i="1" s="1"/>
  <c r="G3180" i="1"/>
  <c r="J3179" i="1"/>
  <c r="I3179" i="1"/>
  <c r="G3179" i="1"/>
  <c r="J3178" i="1"/>
  <c r="I3178" i="1"/>
  <c r="G3178" i="1"/>
  <c r="I3177" i="1"/>
  <c r="J3177" i="1" s="1"/>
  <c r="G3177" i="1"/>
  <c r="I3176" i="1"/>
  <c r="J3176" i="1" s="1"/>
  <c r="G3176" i="1"/>
  <c r="J3175" i="1"/>
  <c r="I3175" i="1"/>
  <c r="G3175" i="1"/>
  <c r="J3174" i="1"/>
  <c r="I3174" i="1"/>
  <c r="G3174" i="1"/>
  <c r="F3174" i="1"/>
  <c r="J3173" i="1"/>
  <c r="I3173" i="1"/>
  <c r="G3173" i="1"/>
  <c r="I3172" i="1"/>
  <c r="J3172" i="1" s="1"/>
  <c r="G3172" i="1"/>
  <c r="I3171" i="1"/>
  <c r="J3171" i="1" s="1"/>
  <c r="G3171" i="1"/>
  <c r="F3171" i="1"/>
  <c r="J3170" i="1"/>
  <c r="I3170" i="1"/>
  <c r="G3170" i="1"/>
  <c r="H3169" i="1"/>
  <c r="I3169" i="1" s="1"/>
  <c r="J3169" i="1" s="1"/>
  <c r="G3169" i="1"/>
  <c r="J3168" i="1"/>
  <c r="H3168" i="1"/>
  <c r="I3168" i="1" s="1"/>
  <c r="G3168" i="1"/>
  <c r="I3167" i="1"/>
  <c r="J3167" i="1" s="1"/>
  <c r="G3167" i="1"/>
  <c r="J3166" i="1"/>
  <c r="I3166" i="1"/>
  <c r="G3166" i="1"/>
  <c r="I3165" i="1"/>
  <c r="J3165" i="1" s="1"/>
  <c r="G3165" i="1"/>
  <c r="I3164" i="1"/>
  <c r="J3164" i="1" s="1"/>
  <c r="H3164" i="1"/>
  <c r="G3164" i="1"/>
  <c r="J3163" i="1"/>
  <c r="I3163" i="1"/>
  <c r="G3163" i="1"/>
  <c r="H3162" i="1"/>
  <c r="I3162" i="1" s="1"/>
  <c r="J3162" i="1" s="1"/>
  <c r="G3162" i="1"/>
  <c r="H3161" i="1"/>
  <c r="I3161" i="1" s="1"/>
  <c r="J3161" i="1" s="1"/>
  <c r="G3161" i="1"/>
  <c r="I3160" i="1"/>
  <c r="J3160" i="1" s="1"/>
  <c r="G3160" i="1"/>
  <c r="J3159" i="1"/>
  <c r="I3159" i="1"/>
  <c r="G3159" i="1"/>
  <c r="I3158" i="1"/>
  <c r="J3158" i="1" s="1"/>
  <c r="G3158" i="1"/>
  <c r="I3157" i="1"/>
  <c r="J3157" i="1" s="1"/>
  <c r="G3157" i="1"/>
  <c r="I3156" i="1"/>
  <c r="J3156" i="1" s="1"/>
  <c r="G3156" i="1"/>
  <c r="J3155" i="1"/>
  <c r="I3155" i="1"/>
  <c r="G3155" i="1"/>
  <c r="H3154" i="1"/>
  <c r="I3154" i="1" s="1"/>
  <c r="J3154" i="1" s="1"/>
  <c r="G3154" i="1"/>
  <c r="I3153" i="1"/>
  <c r="J3153" i="1" s="1"/>
  <c r="G3153" i="1"/>
  <c r="J3152" i="1"/>
  <c r="I3152" i="1"/>
  <c r="G3152" i="1"/>
  <c r="I3151" i="1"/>
  <c r="J3151" i="1" s="1"/>
  <c r="G3151" i="1"/>
  <c r="I3150" i="1"/>
  <c r="J3150" i="1" s="1"/>
  <c r="G3150" i="1"/>
  <c r="J3149" i="1"/>
  <c r="I3149" i="1"/>
  <c r="G3149" i="1"/>
  <c r="J3148" i="1"/>
  <c r="I3148" i="1"/>
  <c r="G3148" i="1"/>
  <c r="H3147" i="1"/>
  <c r="I3147" i="1" s="1"/>
  <c r="J3147" i="1" s="1"/>
  <c r="G3147" i="1"/>
  <c r="J3146" i="1"/>
  <c r="I3146" i="1"/>
  <c r="G3146" i="1"/>
  <c r="J3145" i="1"/>
  <c r="H3145" i="1"/>
  <c r="I3145" i="1" s="1"/>
  <c r="G3145" i="1"/>
  <c r="F3144" i="1"/>
  <c r="I3144" i="1" s="1"/>
  <c r="J3144" i="1" s="1"/>
  <c r="I3143" i="1"/>
  <c r="J3143" i="1" s="1"/>
  <c r="G3143" i="1"/>
  <c r="J3142" i="1"/>
  <c r="I3142" i="1"/>
  <c r="H3142" i="1"/>
  <c r="G3142" i="1"/>
  <c r="I3141" i="1"/>
  <c r="J3141" i="1" s="1"/>
  <c r="H3141" i="1"/>
  <c r="G3141" i="1"/>
  <c r="H3140" i="1"/>
  <c r="I3140" i="1" s="1"/>
  <c r="J3140" i="1" s="1"/>
  <c r="G3140" i="1"/>
  <c r="I3139" i="1"/>
  <c r="J3139" i="1" s="1"/>
  <c r="G3139" i="1"/>
  <c r="J3138" i="1"/>
  <c r="I3138" i="1"/>
  <c r="G3138" i="1"/>
  <c r="H3137" i="1"/>
  <c r="I3137" i="1" s="1"/>
  <c r="J3137" i="1" s="1"/>
  <c r="G3137" i="1"/>
  <c r="H3136" i="1"/>
  <c r="I3136" i="1" s="1"/>
  <c r="J3136" i="1" s="1"/>
  <c r="G3136" i="1"/>
  <c r="I3135" i="1"/>
  <c r="J3135" i="1" s="1"/>
  <c r="G3135" i="1"/>
  <c r="J3134" i="1"/>
  <c r="I3134" i="1"/>
  <c r="G3134" i="1"/>
  <c r="H3133" i="1"/>
  <c r="I3133" i="1" s="1"/>
  <c r="J3133" i="1" s="1"/>
  <c r="G3133" i="1"/>
  <c r="I3132" i="1"/>
  <c r="J3132" i="1" s="1"/>
  <c r="H3132" i="1"/>
  <c r="G3132" i="1"/>
  <c r="I3131" i="1"/>
  <c r="J3131" i="1" s="1"/>
  <c r="H3131" i="1"/>
  <c r="G3131" i="1"/>
  <c r="I3130" i="1"/>
  <c r="J3130" i="1" s="1"/>
  <c r="G3130" i="1"/>
  <c r="I3129" i="1"/>
  <c r="J3129" i="1" s="1"/>
  <c r="H3129" i="1"/>
  <c r="G3129" i="1"/>
  <c r="J3128" i="1"/>
  <c r="I3128" i="1"/>
  <c r="G3128" i="1"/>
  <c r="I3127" i="1"/>
  <c r="J3127" i="1" s="1"/>
  <c r="G3127" i="1"/>
  <c r="I3126" i="1"/>
  <c r="J3126" i="1" s="1"/>
  <c r="G3126" i="1"/>
  <c r="I3125" i="1"/>
  <c r="J3125" i="1" s="1"/>
  <c r="G3125" i="1"/>
  <c r="J3124" i="1"/>
  <c r="I3124" i="1"/>
  <c r="G3124" i="1"/>
  <c r="I3123" i="1"/>
  <c r="J3123" i="1" s="1"/>
  <c r="G3123" i="1"/>
  <c r="I3122" i="1"/>
  <c r="J3122" i="1" s="1"/>
  <c r="G3122" i="1"/>
  <c r="J3121" i="1"/>
  <c r="I3121" i="1"/>
  <c r="H3121" i="1"/>
  <c r="G3121" i="1"/>
  <c r="I3120" i="1"/>
  <c r="J3120" i="1" s="1"/>
  <c r="G3120" i="1"/>
  <c r="I3119" i="1"/>
  <c r="J3119" i="1" s="1"/>
  <c r="G3119" i="1"/>
  <c r="J3118" i="1"/>
  <c r="I3118" i="1"/>
  <c r="G3118" i="1"/>
  <c r="J3117" i="1"/>
  <c r="I3117" i="1"/>
  <c r="G3117" i="1"/>
  <c r="I3116" i="1"/>
  <c r="J3116" i="1" s="1"/>
  <c r="G3116" i="1"/>
  <c r="I3115" i="1"/>
  <c r="J3115" i="1" s="1"/>
  <c r="G3115" i="1"/>
  <c r="H3114" i="1"/>
  <c r="I3114" i="1" s="1"/>
  <c r="J3114" i="1" s="1"/>
  <c r="G3114" i="1"/>
  <c r="I3113" i="1"/>
  <c r="J3113" i="1" s="1"/>
  <c r="G3113" i="1"/>
  <c r="J3112" i="1"/>
  <c r="I3112" i="1"/>
  <c r="G3112" i="1"/>
  <c r="I3111" i="1"/>
  <c r="J3111" i="1" s="1"/>
  <c r="G3111" i="1"/>
  <c r="I3110" i="1"/>
  <c r="J3110" i="1" s="1"/>
  <c r="H3110" i="1"/>
  <c r="G3110" i="1"/>
  <c r="J3109" i="1"/>
  <c r="I3109" i="1"/>
  <c r="G3109" i="1"/>
  <c r="H3108" i="1"/>
  <c r="I3108" i="1" s="1"/>
  <c r="J3108" i="1" s="1"/>
  <c r="G3108" i="1"/>
  <c r="J3107" i="1"/>
  <c r="H3107" i="1"/>
  <c r="I3107" i="1" s="1"/>
  <c r="G3107" i="1"/>
  <c r="I3106" i="1"/>
  <c r="J3106" i="1" s="1"/>
  <c r="G3106" i="1"/>
  <c r="J3105" i="1"/>
  <c r="I3105" i="1"/>
  <c r="G3105" i="1"/>
  <c r="H3104" i="1"/>
  <c r="I3104" i="1" s="1"/>
  <c r="J3104" i="1" s="1"/>
  <c r="G3104" i="1"/>
  <c r="J3103" i="1"/>
  <c r="I3103" i="1"/>
  <c r="H3103" i="1"/>
  <c r="G3103" i="1"/>
  <c r="I3102" i="1"/>
  <c r="J3102" i="1" s="1"/>
  <c r="H3102" i="1"/>
  <c r="G3102" i="1"/>
  <c r="H3101" i="1"/>
  <c r="I3101" i="1" s="1"/>
  <c r="J3101" i="1" s="1"/>
  <c r="G3101" i="1"/>
  <c r="I3100" i="1"/>
  <c r="J3100" i="1" s="1"/>
  <c r="H3100" i="1"/>
  <c r="G3100" i="1"/>
  <c r="I3099" i="1"/>
  <c r="J3099" i="1" s="1"/>
  <c r="G3099" i="1"/>
  <c r="H3098" i="1"/>
  <c r="I3098" i="1" s="1"/>
  <c r="J3098" i="1" s="1"/>
  <c r="G3098" i="1"/>
  <c r="H3097" i="1"/>
  <c r="I3097" i="1" s="1"/>
  <c r="J3097" i="1" s="1"/>
  <c r="G3097" i="1"/>
  <c r="J3096" i="1"/>
  <c r="I3096" i="1"/>
  <c r="G3096" i="1"/>
  <c r="I3095" i="1"/>
  <c r="J3095" i="1" s="1"/>
  <c r="G3095" i="1"/>
  <c r="I3094" i="1"/>
  <c r="J3094" i="1" s="1"/>
  <c r="G3094" i="1"/>
  <c r="I3093" i="1"/>
  <c r="J3093" i="1" s="1"/>
  <c r="G3093" i="1"/>
  <c r="J3092" i="1"/>
  <c r="I3092" i="1"/>
  <c r="G3092" i="1"/>
  <c r="I3091" i="1"/>
  <c r="J3091" i="1" s="1"/>
  <c r="G3091" i="1"/>
  <c r="I3090" i="1"/>
  <c r="J3090" i="1" s="1"/>
  <c r="G3090" i="1"/>
  <c r="J3089" i="1"/>
  <c r="I3089" i="1"/>
  <c r="G3089" i="1"/>
  <c r="J3088" i="1"/>
  <c r="I3088" i="1"/>
  <c r="G3088" i="1"/>
  <c r="I3087" i="1"/>
  <c r="J3087" i="1" s="1"/>
  <c r="G3087" i="1"/>
  <c r="I3086" i="1"/>
  <c r="J3086" i="1" s="1"/>
  <c r="G3086" i="1"/>
  <c r="I3085" i="1"/>
  <c r="J3085" i="1" s="1"/>
  <c r="G3085" i="1"/>
  <c r="J3084" i="1"/>
  <c r="I3084" i="1"/>
  <c r="G3084" i="1"/>
  <c r="I3083" i="1"/>
  <c r="J3083" i="1" s="1"/>
  <c r="G3083" i="1"/>
  <c r="J3082" i="1"/>
  <c r="I3082" i="1"/>
  <c r="G3082" i="1"/>
  <c r="J3081" i="1"/>
  <c r="I3081" i="1"/>
  <c r="G3081" i="1"/>
  <c r="J3080" i="1"/>
  <c r="I3080" i="1"/>
  <c r="G3080" i="1"/>
  <c r="I3079" i="1"/>
  <c r="J3079" i="1" s="1"/>
  <c r="G3079" i="1"/>
  <c r="J3078" i="1"/>
  <c r="I3078" i="1"/>
  <c r="G3078" i="1"/>
  <c r="I3077" i="1"/>
  <c r="J3077" i="1" s="1"/>
  <c r="G3077" i="1"/>
  <c r="J3076" i="1"/>
  <c r="I3076" i="1"/>
  <c r="G3076" i="1"/>
  <c r="I3075" i="1"/>
  <c r="J3075" i="1" s="1"/>
  <c r="G3075" i="1"/>
  <c r="I3074" i="1"/>
  <c r="J3074" i="1" s="1"/>
  <c r="G3074" i="1"/>
  <c r="I3073" i="1"/>
  <c r="J3073" i="1" s="1"/>
  <c r="G3073" i="1"/>
  <c r="J3072" i="1"/>
  <c r="I3072" i="1"/>
  <c r="G3072" i="1"/>
  <c r="I3071" i="1"/>
  <c r="J3071" i="1" s="1"/>
  <c r="G3071" i="1"/>
  <c r="I3070" i="1"/>
  <c r="J3070" i="1" s="1"/>
  <c r="H3070" i="1"/>
  <c r="G3070" i="1"/>
  <c r="H3069" i="1"/>
  <c r="I3069" i="1" s="1"/>
  <c r="J3069" i="1" s="1"/>
  <c r="G3069" i="1"/>
  <c r="J3068" i="1"/>
  <c r="I3068" i="1"/>
  <c r="G3068" i="1"/>
  <c r="J3067" i="1"/>
  <c r="I3067" i="1"/>
  <c r="G3067" i="1"/>
  <c r="I3066" i="1"/>
  <c r="J3066" i="1" s="1"/>
  <c r="G3066" i="1"/>
  <c r="I3065" i="1"/>
  <c r="J3065" i="1" s="1"/>
  <c r="H3065" i="1"/>
  <c r="G3065" i="1"/>
  <c r="H3064" i="1"/>
  <c r="I3064" i="1" s="1"/>
  <c r="J3064" i="1" s="1"/>
  <c r="G3064" i="1"/>
  <c r="J3063" i="1"/>
  <c r="H3063" i="1"/>
  <c r="I3063" i="1" s="1"/>
  <c r="G3063" i="1"/>
  <c r="I3062" i="1"/>
  <c r="J3062" i="1" s="1"/>
  <c r="G3062" i="1"/>
  <c r="J3061" i="1"/>
  <c r="I3061" i="1"/>
  <c r="G3061" i="1"/>
  <c r="I3060" i="1"/>
  <c r="J3060" i="1" s="1"/>
  <c r="G3060" i="1"/>
  <c r="I3059" i="1"/>
  <c r="J3059" i="1" s="1"/>
  <c r="G3059" i="1"/>
  <c r="I3058" i="1"/>
  <c r="J3058" i="1" s="1"/>
  <c r="G3058" i="1"/>
  <c r="J3057" i="1"/>
  <c r="I3057" i="1"/>
  <c r="G3057" i="1"/>
  <c r="J3056" i="1"/>
  <c r="I3056" i="1"/>
  <c r="G3056" i="1"/>
  <c r="I3055" i="1"/>
  <c r="J3055" i="1" s="1"/>
  <c r="G3055" i="1"/>
  <c r="I3054" i="1"/>
  <c r="J3054" i="1" s="1"/>
  <c r="G3054" i="1"/>
  <c r="J3053" i="1"/>
  <c r="H3053" i="1"/>
  <c r="I3053" i="1" s="1"/>
  <c r="G3053" i="1"/>
  <c r="I3052" i="1"/>
  <c r="J3052" i="1" s="1"/>
  <c r="G3052" i="1"/>
  <c r="J3051" i="1"/>
  <c r="I3051" i="1"/>
  <c r="H3051" i="1"/>
  <c r="G3051" i="1"/>
  <c r="I3050" i="1"/>
  <c r="J3050" i="1" s="1"/>
  <c r="G3050" i="1"/>
  <c r="I3049" i="1"/>
  <c r="J3049" i="1" s="1"/>
  <c r="G3049" i="1"/>
  <c r="J3048" i="1"/>
  <c r="I3048" i="1"/>
  <c r="G3048" i="1"/>
  <c r="J3047" i="1"/>
  <c r="I3047" i="1"/>
  <c r="G3047" i="1"/>
  <c r="I3046" i="1"/>
  <c r="J3046" i="1" s="1"/>
  <c r="G3046" i="1"/>
  <c r="I3045" i="1"/>
  <c r="J3045" i="1" s="1"/>
  <c r="G3045" i="1"/>
  <c r="J3044" i="1"/>
  <c r="I3044" i="1"/>
  <c r="G3044" i="1"/>
  <c r="J3043" i="1"/>
  <c r="I3043" i="1"/>
  <c r="G3043" i="1"/>
  <c r="I3042" i="1"/>
  <c r="J3042" i="1" s="1"/>
  <c r="G3042" i="1"/>
  <c r="H3041" i="1"/>
  <c r="I3041" i="1" s="1"/>
  <c r="J3041" i="1" s="1"/>
  <c r="G3041" i="1"/>
  <c r="I3040" i="1"/>
  <c r="J3040" i="1" s="1"/>
  <c r="H3040" i="1"/>
  <c r="G3040" i="1"/>
  <c r="J3039" i="1"/>
  <c r="I3039" i="1"/>
  <c r="G3039" i="1"/>
  <c r="I3038" i="1"/>
  <c r="J3038" i="1" s="1"/>
  <c r="G3038" i="1"/>
  <c r="I3037" i="1"/>
  <c r="J3037" i="1" s="1"/>
  <c r="H3037" i="1"/>
  <c r="G3037" i="1"/>
  <c r="J3036" i="1"/>
  <c r="I3036" i="1"/>
  <c r="G3036" i="1"/>
  <c r="I3035" i="1"/>
  <c r="J3035" i="1" s="1"/>
  <c r="G3035" i="1"/>
  <c r="I3034" i="1"/>
  <c r="J3034" i="1" s="1"/>
  <c r="G3034" i="1"/>
  <c r="J3033" i="1"/>
  <c r="H3033" i="1"/>
  <c r="I3033" i="1" s="1"/>
  <c r="G3033" i="1"/>
  <c r="I3032" i="1"/>
  <c r="J3032" i="1" s="1"/>
  <c r="H3032" i="1"/>
  <c r="G3032" i="1"/>
  <c r="I3031" i="1"/>
  <c r="J3031" i="1" s="1"/>
  <c r="G3031" i="1"/>
  <c r="I3030" i="1"/>
  <c r="J3030" i="1" s="1"/>
  <c r="G3030" i="1"/>
  <c r="J3029" i="1"/>
  <c r="I3029" i="1"/>
  <c r="G3029" i="1"/>
  <c r="J3028" i="1"/>
  <c r="I3028" i="1"/>
  <c r="G3028" i="1"/>
  <c r="I3027" i="1"/>
  <c r="J3027" i="1" s="1"/>
  <c r="G3027" i="1"/>
  <c r="J3026" i="1"/>
  <c r="I3026" i="1"/>
  <c r="G3026" i="1"/>
  <c r="I3025" i="1"/>
  <c r="J3025" i="1" s="1"/>
  <c r="H3025" i="1"/>
  <c r="G3025" i="1"/>
  <c r="I3024" i="1"/>
  <c r="J3024" i="1" s="1"/>
  <c r="H3024" i="1"/>
  <c r="G3024" i="1"/>
  <c r="J3023" i="1"/>
  <c r="I3023" i="1"/>
  <c r="H3023" i="1"/>
  <c r="G3023" i="1"/>
  <c r="I3022" i="1"/>
  <c r="J3022" i="1" s="1"/>
  <c r="G3022" i="1"/>
  <c r="J3021" i="1"/>
  <c r="I3021" i="1"/>
  <c r="G3021" i="1"/>
  <c r="I3020" i="1"/>
  <c r="J3020" i="1" s="1"/>
  <c r="G3020" i="1"/>
  <c r="J3019" i="1"/>
  <c r="I3019" i="1"/>
  <c r="G3019" i="1"/>
  <c r="I3018" i="1"/>
  <c r="J3018" i="1" s="1"/>
  <c r="G3018" i="1"/>
  <c r="J3017" i="1"/>
  <c r="I3017" i="1"/>
  <c r="G3017" i="1"/>
  <c r="I3016" i="1"/>
  <c r="J3016" i="1" s="1"/>
  <c r="G3016" i="1"/>
  <c r="I3015" i="1"/>
  <c r="J3015" i="1" s="1"/>
  <c r="G3015" i="1"/>
  <c r="J3014" i="1"/>
  <c r="I3014" i="1"/>
  <c r="G3014" i="1"/>
  <c r="J3013" i="1"/>
  <c r="I3013" i="1"/>
  <c r="G3013" i="1"/>
  <c r="I3012" i="1"/>
  <c r="J3012" i="1" s="1"/>
  <c r="G3012" i="1"/>
  <c r="J3011" i="1"/>
  <c r="I3011" i="1"/>
  <c r="G3011" i="1"/>
  <c r="J3010" i="1"/>
  <c r="I3010" i="1"/>
  <c r="H3010" i="1"/>
  <c r="G3010" i="1"/>
  <c r="I3009" i="1"/>
  <c r="J3009" i="1" s="1"/>
  <c r="G3009" i="1"/>
  <c r="I3008" i="1"/>
  <c r="J3008" i="1" s="1"/>
  <c r="G3008" i="1"/>
  <c r="J3007" i="1"/>
  <c r="I3007" i="1"/>
  <c r="G3007" i="1"/>
  <c r="J3006" i="1"/>
  <c r="I3006" i="1"/>
  <c r="G3006" i="1"/>
  <c r="I3005" i="1"/>
  <c r="J3005" i="1" s="1"/>
  <c r="G3005" i="1"/>
  <c r="I3004" i="1"/>
  <c r="J3004" i="1" s="1"/>
  <c r="G3004" i="1"/>
  <c r="J3003" i="1"/>
  <c r="I3003" i="1"/>
  <c r="G3003" i="1"/>
  <c r="J3002" i="1"/>
  <c r="I3002" i="1"/>
  <c r="G3002" i="1"/>
  <c r="I3001" i="1"/>
  <c r="J3001" i="1" s="1"/>
  <c r="G3001" i="1"/>
  <c r="I3000" i="1"/>
  <c r="J3000" i="1" s="1"/>
  <c r="G3000" i="1"/>
  <c r="J2999" i="1"/>
  <c r="I2999" i="1"/>
  <c r="G2999" i="1"/>
  <c r="J2998" i="1"/>
  <c r="I2998" i="1"/>
  <c r="G2998" i="1"/>
  <c r="I2997" i="1"/>
  <c r="J2997" i="1" s="1"/>
  <c r="G2997" i="1"/>
  <c r="I2996" i="1"/>
  <c r="J2996" i="1" s="1"/>
  <c r="G2996" i="1"/>
  <c r="J2995" i="1"/>
  <c r="I2995" i="1"/>
  <c r="G2995" i="1"/>
  <c r="J2994" i="1"/>
  <c r="H2994" i="1"/>
  <c r="I2994" i="1" s="1"/>
  <c r="G2994" i="1"/>
  <c r="J2993" i="1"/>
  <c r="I2993" i="1"/>
  <c r="G2993" i="1"/>
  <c r="J2992" i="1"/>
  <c r="I2992" i="1"/>
  <c r="G2992" i="1"/>
  <c r="I2991" i="1"/>
  <c r="J2991" i="1" s="1"/>
  <c r="G2991" i="1"/>
  <c r="I2990" i="1"/>
  <c r="J2990" i="1" s="1"/>
  <c r="G2990" i="1"/>
  <c r="J2989" i="1"/>
  <c r="I2989" i="1"/>
  <c r="G2989" i="1"/>
  <c r="J2988" i="1"/>
  <c r="I2988" i="1"/>
  <c r="G2988" i="1"/>
  <c r="I2987" i="1"/>
  <c r="J2987" i="1" s="1"/>
  <c r="G2987" i="1"/>
  <c r="I2986" i="1"/>
  <c r="J2986" i="1" s="1"/>
  <c r="G2986" i="1"/>
  <c r="J2985" i="1"/>
  <c r="I2985" i="1"/>
  <c r="G2985" i="1"/>
  <c r="I2984" i="1"/>
  <c r="J2984" i="1" s="1"/>
  <c r="G2984" i="1"/>
  <c r="I2983" i="1"/>
  <c r="J2983" i="1" s="1"/>
  <c r="G2983" i="1"/>
  <c r="I2982" i="1"/>
  <c r="J2982" i="1" s="1"/>
  <c r="G2982" i="1"/>
  <c r="J2981" i="1"/>
  <c r="I2981" i="1"/>
  <c r="G2981" i="1"/>
  <c r="J2980" i="1"/>
  <c r="I2980" i="1"/>
  <c r="G2980" i="1"/>
  <c r="I2979" i="1"/>
  <c r="J2979" i="1" s="1"/>
  <c r="G2979" i="1"/>
  <c r="I2978" i="1"/>
  <c r="J2978" i="1" s="1"/>
  <c r="G2978" i="1"/>
  <c r="J2977" i="1"/>
  <c r="I2977" i="1"/>
  <c r="G2977" i="1"/>
  <c r="I2976" i="1"/>
  <c r="J2976" i="1" s="1"/>
  <c r="G2976" i="1"/>
  <c r="I2975" i="1"/>
  <c r="J2975" i="1" s="1"/>
  <c r="G2975" i="1"/>
  <c r="I2974" i="1"/>
  <c r="J2974" i="1" s="1"/>
  <c r="G2974" i="1"/>
  <c r="J2973" i="1"/>
  <c r="I2973" i="1"/>
  <c r="G2973" i="1"/>
  <c r="J2972" i="1"/>
  <c r="I2972" i="1"/>
  <c r="G2972" i="1"/>
  <c r="I2971" i="1"/>
  <c r="J2971" i="1" s="1"/>
  <c r="G2971" i="1"/>
  <c r="I2970" i="1"/>
  <c r="J2970" i="1" s="1"/>
  <c r="G2970" i="1"/>
  <c r="H2969" i="1"/>
  <c r="I2969" i="1" s="1"/>
  <c r="J2969" i="1" s="1"/>
  <c r="G2969" i="1"/>
  <c r="J2968" i="1"/>
  <c r="I2968" i="1"/>
  <c r="G2968" i="1"/>
  <c r="I2967" i="1"/>
  <c r="J2967" i="1" s="1"/>
  <c r="G2967" i="1"/>
  <c r="J2966" i="1"/>
  <c r="I2966" i="1"/>
  <c r="G2966" i="1"/>
  <c r="I2965" i="1"/>
  <c r="J2965" i="1" s="1"/>
  <c r="G2965" i="1"/>
  <c r="I2964" i="1"/>
  <c r="J2964" i="1" s="1"/>
  <c r="G2964" i="1"/>
  <c r="J2963" i="1"/>
  <c r="I2963" i="1"/>
  <c r="G2963" i="1"/>
  <c r="J2962" i="1"/>
  <c r="I2962" i="1"/>
  <c r="G2962" i="1"/>
  <c r="I2961" i="1"/>
  <c r="G2961" i="1"/>
  <c r="J2960" i="1"/>
  <c r="I2960" i="1"/>
  <c r="G2960" i="1"/>
  <c r="I2959" i="1"/>
  <c r="J2959" i="1" s="1"/>
  <c r="G2959" i="1"/>
  <c r="I2958" i="1"/>
  <c r="J2958" i="1" s="1"/>
  <c r="G2958" i="1"/>
  <c r="I2957" i="1"/>
  <c r="J2957" i="1" s="1"/>
  <c r="G2957" i="1"/>
  <c r="H2956" i="1"/>
  <c r="I2956" i="1" s="1"/>
  <c r="J2956" i="1" s="1"/>
  <c r="G2956" i="1"/>
  <c r="J2955" i="1"/>
  <c r="I2955" i="1"/>
  <c r="G2955" i="1"/>
  <c r="H2954" i="1"/>
  <c r="I2954" i="1" s="1"/>
  <c r="J2954" i="1" s="1"/>
  <c r="G2954" i="1"/>
  <c r="I2953" i="1"/>
  <c r="J2953" i="1" s="1"/>
  <c r="H2953" i="1"/>
  <c r="G2953" i="1"/>
  <c r="I2952" i="1"/>
  <c r="J2952" i="1" s="1"/>
  <c r="G2952" i="1"/>
  <c r="I2951" i="1"/>
  <c r="J2951" i="1" s="1"/>
  <c r="G2951" i="1"/>
  <c r="J2950" i="1"/>
  <c r="I2950" i="1"/>
  <c r="G2950" i="1"/>
  <c r="I2949" i="1"/>
  <c r="J2949" i="1" s="1"/>
  <c r="G2949" i="1"/>
  <c r="I2948" i="1"/>
  <c r="J2948" i="1" s="1"/>
  <c r="G2948" i="1"/>
  <c r="I2947" i="1"/>
  <c r="J2947" i="1" s="1"/>
  <c r="G2947" i="1"/>
  <c r="I2946" i="1"/>
  <c r="J2946" i="1" s="1"/>
  <c r="G2946" i="1"/>
  <c r="J2945" i="1"/>
  <c r="I2945" i="1"/>
  <c r="G2945" i="1"/>
  <c r="I2944" i="1"/>
  <c r="J2944" i="1" s="1"/>
  <c r="G2944" i="1"/>
  <c r="I2943" i="1"/>
  <c r="J2943" i="1" s="1"/>
  <c r="G2943" i="1"/>
  <c r="I2942" i="1"/>
  <c r="J2942" i="1" s="1"/>
  <c r="G2942" i="1"/>
  <c r="J2941" i="1"/>
  <c r="I2941" i="1"/>
  <c r="G2941" i="1"/>
  <c r="I2940" i="1"/>
  <c r="J2940" i="1" s="1"/>
  <c r="G2940" i="1"/>
  <c r="I2939" i="1"/>
  <c r="J2939" i="1" s="1"/>
  <c r="G2939" i="1"/>
  <c r="I2938" i="1"/>
  <c r="J2938" i="1" s="1"/>
  <c r="G2938" i="1"/>
  <c r="I2937" i="1"/>
  <c r="J2937" i="1" s="1"/>
  <c r="G2937" i="1"/>
  <c r="J2936" i="1"/>
  <c r="I2936" i="1"/>
  <c r="G2936" i="1"/>
  <c r="I2935" i="1"/>
  <c r="J2935" i="1" s="1"/>
  <c r="H2935" i="1"/>
  <c r="G2935" i="1"/>
  <c r="J2934" i="1"/>
  <c r="I2934" i="1"/>
  <c r="G2934" i="1"/>
  <c r="I2933" i="1"/>
  <c r="J2933" i="1" s="1"/>
  <c r="G2933" i="1"/>
  <c r="J2932" i="1"/>
  <c r="I2932" i="1"/>
  <c r="G2932" i="1"/>
  <c r="J2931" i="1"/>
  <c r="I2931" i="1"/>
  <c r="G2931" i="1"/>
  <c r="J2930" i="1"/>
  <c r="I2930" i="1"/>
  <c r="G2930" i="1"/>
  <c r="I2929" i="1"/>
  <c r="J2929" i="1" s="1"/>
  <c r="G2929" i="1"/>
  <c r="J2928" i="1"/>
  <c r="I2928" i="1"/>
  <c r="G2928" i="1"/>
  <c r="J2927" i="1"/>
  <c r="I2927" i="1"/>
  <c r="G2927" i="1"/>
  <c r="H2926" i="1"/>
  <c r="I2926" i="1" s="1"/>
  <c r="J2926" i="1" s="1"/>
  <c r="G2926" i="1"/>
  <c r="I2925" i="1"/>
  <c r="J2925" i="1" s="1"/>
  <c r="H2925" i="1"/>
  <c r="G2925" i="1"/>
  <c r="I2924" i="1"/>
  <c r="J2924" i="1" s="1"/>
  <c r="G2924" i="1"/>
  <c r="I2923" i="1"/>
  <c r="J2923" i="1" s="1"/>
  <c r="G2923" i="1"/>
  <c r="H2922" i="1"/>
  <c r="I2922" i="1" s="1"/>
  <c r="J2922" i="1" s="1"/>
  <c r="G2922" i="1"/>
  <c r="J2921" i="1"/>
  <c r="I2921" i="1"/>
  <c r="H2921" i="1"/>
  <c r="G2921" i="1"/>
  <c r="I2920" i="1"/>
  <c r="J2920" i="1" s="1"/>
  <c r="G2920" i="1"/>
  <c r="I2919" i="1"/>
  <c r="J2919" i="1" s="1"/>
  <c r="G2919" i="1"/>
  <c r="I2918" i="1"/>
  <c r="J2918" i="1" s="1"/>
  <c r="G2918" i="1"/>
  <c r="J2917" i="1"/>
  <c r="I2917" i="1"/>
  <c r="G2917" i="1"/>
  <c r="I2916" i="1"/>
  <c r="J2916" i="1" s="1"/>
  <c r="G2916" i="1"/>
  <c r="I2915" i="1"/>
  <c r="J2915" i="1" s="1"/>
  <c r="G2915" i="1"/>
  <c r="J2914" i="1"/>
  <c r="I2914" i="1"/>
  <c r="G2914" i="1"/>
  <c r="J2913" i="1"/>
  <c r="I2913" i="1"/>
  <c r="G2913" i="1"/>
  <c r="I2912" i="1"/>
  <c r="J2912" i="1" s="1"/>
  <c r="H2912" i="1"/>
  <c r="G2912" i="1"/>
  <c r="H2911" i="1"/>
  <c r="I2911" i="1" s="1"/>
  <c r="J2911" i="1" s="1"/>
  <c r="G2911" i="1"/>
  <c r="J2910" i="1"/>
  <c r="I2910" i="1"/>
  <c r="G2910" i="1"/>
  <c r="J2909" i="1"/>
  <c r="I2909" i="1"/>
  <c r="G2909" i="1"/>
  <c r="J2908" i="1"/>
  <c r="I2908" i="1"/>
  <c r="G2908" i="1"/>
  <c r="I2907" i="1"/>
  <c r="J2907" i="1" s="1"/>
  <c r="G2907" i="1"/>
  <c r="J2906" i="1"/>
  <c r="I2906" i="1"/>
  <c r="H2906" i="1"/>
  <c r="G2906" i="1"/>
  <c r="H2905" i="1"/>
  <c r="I2905" i="1" s="1"/>
  <c r="J2905" i="1" s="1"/>
  <c r="G2905" i="1"/>
  <c r="J2904" i="1"/>
  <c r="I2904" i="1"/>
  <c r="G2904" i="1"/>
  <c r="I2903" i="1"/>
  <c r="J2903" i="1" s="1"/>
  <c r="G2903" i="1"/>
  <c r="I2902" i="1"/>
  <c r="J2902" i="1" s="1"/>
  <c r="G2902" i="1"/>
  <c r="J2901" i="1"/>
  <c r="I2901" i="1"/>
  <c r="G2901" i="1"/>
  <c r="J2900" i="1"/>
  <c r="I2900" i="1"/>
  <c r="G2900" i="1"/>
  <c r="I2899" i="1"/>
  <c r="J2899" i="1" s="1"/>
  <c r="G2899" i="1"/>
  <c r="I2898" i="1"/>
  <c r="J2898" i="1" s="1"/>
  <c r="H2898" i="1"/>
  <c r="G2898" i="1"/>
  <c r="J2897" i="1"/>
  <c r="I2897" i="1"/>
  <c r="G2897" i="1"/>
  <c r="J2896" i="1"/>
  <c r="I2896" i="1"/>
  <c r="G2896" i="1"/>
  <c r="I2895" i="1"/>
  <c r="J2895" i="1" s="1"/>
  <c r="G2895" i="1"/>
  <c r="J2894" i="1"/>
  <c r="H2894" i="1"/>
  <c r="I2894" i="1" s="1"/>
  <c r="G2894" i="1"/>
  <c r="I2893" i="1"/>
  <c r="J2893" i="1" s="1"/>
  <c r="H2893" i="1"/>
  <c r="G2893" i="1"/>
  <c r="J2892" i="1"/>
  <c r="I2892" i="1"/>
  <c r="H2892" i="1"/>
  <c r="G2892" i="1"/>
  <c r="J2891" i="1"/>
  <c r="I2891" i="1"/>
  <c r="G2891" i="1"/>
  <c r="J2890" i="1"/>
  <c r="I2890" i="1"/>
  <c r="G2890" i="1"/>
  <c r="I2889" i="1"/>
  <c r="J2889" i="1" s="1"/>
  <c r="G2889" i="1"/>
  <c r="J2888" i="1"/>
  <c r="I2888" i="1"/>
  <c r="G2888" i="1"/>
  <c r="J2887" i="1"/>
  <c r="I2887" i="1"/>
  <c r="G2887" i="1"/>
  <c r="J2886" i="1"/>
  <c r="I2886" i="1"/>
  <c r="G2886" i="1"/>
  <c r="I2885" i="1"/>
  <c r="J2885" i="1" s="1"/>
  <c r="G2885" i="1"/>
  <c r="J2884" i="1"/>
  <c r="I2884" i="1"/>
  <c r="G2884" i="1"/>
  <c r="J2883" i="1"/>
  <c r="I2883" i="1"/>
  <c r="G2883" i="1"/>
  <c r="J2882" i="1"/>
  <c r="I2882" i="1"/>
  <c r="G2882" i="1"/>
  <c r="I2881" i="1"/>
  <c r="J2881" i="1" s="1"/>
  <c r="H2881" i="1"/>
  <c r="G2881" i="1"/>
  <c r="J2880" i="1"/>
  <c r="I2880" i="1"/>
  <c r="G2880" i="1"/>
  <c r="I2879" i="1"/>
  <c r="J2879" i="1" s="1"/>
  <c r="G2879" i="1"/>
  <c r="I2878" i="1"/>
  <c r="J2878" i="1" s="1"/>
  <c r="G2878" i="1"/>
  <c r="J2877" i="1"/>
  <c r="I2877" i="1"/>
  <c r="G2877" i="1"/>
  <c r="J2876" i="1"/>
  <c r="I2876" i="1"/>
  <c r="G2876" i="1"/>
  <c r="I2875" i="1"/>
  <c r="J2875" i="1" s="1"/>
  <c r="G2875" i="1"/>
  <c r="I2874" i="1"/>
  <c r="J2874" i="1" s="1"/>
  <c r="G2874" i="1"/>
  <c r="I2873" i="1"/>
  <c r="J2873" i="1" s="1"/>
  <c r="G2873" i="1"/>
  <c r="J2872" i="1"/>
  <c r="I2872" i="1"/>
  <c r="G2872" i="1"/>
  <c r="I2871" i="1"/>
  <c r="J2871" i="1" s="1"/>
  <c r="G2871" i="1"/>
  <c r="I2870" i="1"/>
  <c r="J2870" i="1" s="1"/>
  <c r="G2870" i="1"/>
  <c r="J2869" i="1"/>
  <c r="I2869" i="1"/>
  <c r="G2869" i="1"/>
  <c r="H2868" i="1"/>
  <c r="I2868" i="1" s="1"/>
  <c r="J2868" i="1" s="1"/>
  <c r="G2868" i="1"/>
  <c r="J2867" i="1"/>
  <c r="I2867" i="1"/>
  <c r="G2867" i="1"/>
  <c r="I2866" i="1"/>
  <c r="J2866" i="1" s="1"/>
  <c r="G2866" i="1"/>
  <c r="J2865" i="1"/>
  <c r="I2865" i="1"/>
  <c r="H2865" i="1"/>
  <c r="G2865" i="1"/>
  <c r="J2864" i="1"/>
  <c r="H2864" i="1"/>
  <c r="I2864" i="1" s="1"/>
  <c r="G2864" i="1"/>
  <c r="I2863" i="1"/>
  <c r="J2863" i="1" s="1"/>
  <c r="G2863" i="1"/>
  <c r="I2862" i="1"/>
  <c r="J2862" i="1" s="1"/>
  <c r="G2862" i="1"/>
  <c r="J2861" i="1"/>
  <c r="I2861" i="1"/>
  <c r="G2861" i="1"/>
  <c r="I2860" i="1"/>
  <c r="J2860" i="1" s="1"/>
  <c r="G2860" i="1"/>
  <c r="I2859" i="1"/>
  <c r="J2859" i="1" s="1"/>
  <c r="G2859" i="1"/>
  <c r="J2858" i="1"/>
  <c r="I2858" i="1"/>
  <c r="H2858" i="1"/>
  <c r="G2858" i="1"/>
  <c r="I2857" i="1"/>
  <c r="J2857" i="1" s="1"/>
  <c r="G2857" i="1"/>
  <c r="J2856" i="1"/>
  <c r="I2856" i="1"/>
  <c r="H2856" i="1"/>
  <c r="G2856" i="1"/>
  <c r="I2855" i="1"/>
  <c r="J2855" i="1" s="1"/>
  <c r="G2855" i="1"/>
  <c r="J2854" i="1"/>
  <c r="I2854" i="1"/>
  <c r="H2854" i="1"/>
  <c r="G2854" i="1"/>
  <c r="I2853" i="1"/>
  <c r="J2853" i="1" s="1"/>
  <c r="G2853" i="1"/>
  <c r="I2852" i="1"/>
  <c r="J2852" i="1" s="1"/>
  <c r="G2852" i="1"/>
  <c r="J2851" i="1"/>
  <c r="I2851" i="1"/>
  <c r="G2851" i="1"/>
  <c r="J2850" i="1"/>
  <c r="I2850" i="1"/>
  <c r="G2850" i="1"/>
  <c r="I2849" i="1"/>
  <c r="J2849" i="1" s="1"/>
  <c r="G2849" i="1"/>
  <c r="I2848" i="1"/>
  <c r="J2848" i="1" s="1"/>
  <c r="G2848" i="1"/>
  <c r="I2847" i="1"/>
  <c r="J2847" i="1" s="1"/>
  <c r="G2847" i="1"/>
  <c r="J2846" i="1"/>
  <c r="I2846" i="1"/>
  <c r="G2846" i="1"/>
  <c r="I2845" i="1"/>
  <c r="J2845" i="1" s="1"/>
  <c r="H2845" i="1"/>
  <c r="G2845" i="1"/>
  <c r="I2844" i="1"/>
  <c r="J2844" i="1" s="1"/>
  <c r="G2844" i="1"/>
  <c r="H2843" i="1"/>
  <c r="I2843" i="1" s="1"/>
  <c r="J2843" i="1" s="1"/>
  <c r="G2843" i="1"/>
  <c r="J2842" i="1"/>
  <c r="H2842" i="1"/>
  <c r="I2842" i="1" s="1"/>
  <c r="G2842" i="1"/>
  <c r="H2841" i="1"/>
  <c r="I2841" i="1" s="1"/>
  <c r="J2841" i="1" s="1"/>
  <c r="G2841" i="1"/>
  <c r="J2840" i="1"/>
  <c r="I2840" i="1"/>
  <c r="G2840" i="1"/>
  <c r="I2839" i="1"/>
  <c r="J2839" i="1" s="1"/>
  <c r="G2839" i="1"/>
  <c r="I2838" i="1"/>
  <c r="J2838" i="1" s="1"/>
  <c r="G2838" i="1"/>
  <c r="H2837" i="1"/>
  <c r="I2837" i="1" s="1"/>
  <c r="J2837" i="1" s="1"/>
  <c r="G2837" i="1"/>
  <c r="J2836" i="1"/>
  <c r="I2836" i="1"/>
  <c r="G2836" i="1"/>
  <c r="G2835" i="1"/>
  <c r="F2835" i="1"/>
  <c r="I2835" i="1" s="1"/>
  <c r="J2835" i="1" s="1"/>
  <c r="I2834" i="1"/>
  <c r="J2834" i="1" s="1"/>
  <c r="H2834" i="1"/>
  <c r="G2834" i="1"/>
  <c r="I2833" i="1"/>
  <c r="J2833" i="1" s="1"/>
  <c r="G2833" i="1"/>
  <c r="I2832" i="1"/>
  <c r="J2832" i="1" s="1"/>
  <c r="G2832" i="1"/>
  <c r="I2831" i="1"/>
  <c r="J2831" i="1" s="1"/>
  <c r="G2831" i="1"/>
  <c r="I2830" i="1"/>
  <c r="J2830" i="1" s="1"/>
  <c r="G2830" i="1"/>
  <c r="J2829" i="1"/>
  <c r="I2829" i="1"/>
  <c r="G2829" i="1"/>
  <c r="I2828" i="1"/>
  <c r="J2828" i="1" s="1"/>
  <c r="G2828" i="1"/>
  <c r="J2827" i="1"/>
  <c r="I2827" i="1"/>
  <c r="G2827" i="1"/>
  <c r="J2826" i="1"/>
  <c r="I2826" i="1"/>
  <c r="G2826" i="1"/>
  <c r="J2825" i="1"/>
  <c r="I2825" i="1"/>
  <c r="G2825" i="1"/>
  <c r="I2824" i="1"/>
  <c r="J2824" i="1" s="1"/>
  <c r="G2824" i="1"/>
  <c r="J2823" i="1"/>
  <c r="I2823" i="1"/>
  <c r="G2823" i="1"/>
  <c r="I2822" i="1"/>
  <c r="J2822" i="1" s="1"/>
  <c r="G2822" i="1"/>
  <c r="J2821" i="1"/>
  <c r="I2821" i="1"/>
  <c r="G2821" i="1"/>
  <c r="I2820" i="1"/>
  <c r="J2820" i="1" s="1"/>
  <c r="G2820" i="1"/>
  <c r="I2819" i="1"/>
  <c r="J2819" i="1" s="1"/>
  <c r="G2819" i="1"/>
  <c r="H2818" i="1"/>
  <c r="I2818" i="1" s="1"/>
  <c r="J2818" i="1" s="1"/>
  <c r="G2818" i="1"/>
  <c r="J2817" i="1"/>
  <c r="I2817" i="1"/>
  <c r="H2817" i="1"/>
  <c r="G2817" i="1"/>
  <c r="I2816" i="1"/>
  <c r="J2816" i="1" s="1"/>
  <c r="G2816" i="1"/>
  <c r="I2815" i="1"/>
  <c r="J2815" i="1" s="1"/>
  <c r="G2815" i="1"/>
  <c r="H2814" i="1"/>
  <c r="I2814" i="1" s="1"/>
  <c r="J2814" i="1" s="1"/>
  <c r="G2814" i="1"/>
  <c r="I2813" i="1"/>
  <c r="J2813" i="1" s="1"/>
  <c r="H2813" i="1"/>
  <c r="G2813" i="1"/>
  <c r="H2812" i="1"/>
  <c r="I2812" i="1" s="1"/>
  <c r="J2812" i="1" s="1"/>
  <c r="G2812" i="1"/>
  <c r="J2811" i="1"/>
  <c r="I2811" i="1"/>
  <c r="H2811" i="1"/>
  <c r="G2811" i="1"/>
  <c r="I2810" i="1"/>
  <c r="J2810" i="1" s="1"/>
  <c r="H2810" i="1"/>
  <c r="G2810" i="1"/>
  <c r="J2809" i="1"/>
  <c r="I2809" i="1"/>
  <c r="G2809" i="1"/>
  <c r="I2808" i="1"/>
  <c r="J2808" i="1" s="1"/>
  <c r="G2808" i="1"/>
  <c r="J2807" i="1"/>
  <c r="I2807" i="1"/>
  <c r="G2807" i="1"/>
  <c r="J2806" i="1"/>
  <c r="I2806" i="1"/>
  <c r="G2806" i="1"/>
  <c r="J2805" i="1"/>
  <c r="I2805" i="1"/>
  <c r="G2805" i="1"/>
  <c r="I2804" i="1"/>
  <c r="J2804" i="1" s="1"/>
  <c r="G2804" i="1"/>
  <c r="J2803" i="1"/>
  <c r="I2803" i="1"/>
  <c r="G2803" i="1"/>
  <c r="J2802" i="1"/>
  <c r="I2802" i="1"/>
  <c r="G2802" i="1"/>
  <c r="J2801" i="1"/>
  <c r="I2801" i="1"/>
  <c r="G2801" i="1"/>
  <c r="I2800" i="1"/>
  <c r="J2800" i="1" s="1"/>
  <c r="G2800" i="1"/>
  <c r="J2799" i="1"/>
  <c r="I2799" i="1"/>
  <c r="G2799" i="1"/>
  <c r="J2798" i="1"/>
  <c r="I2798" i="1"/>
  <c r="G2798" i="1"/>
  <c r="J2797" i="1"/>
  <c r="I2797" i="1"/>
  <c r="G2797" i="1"/>
  <c r="I2796" i="1"/>
  <c r="J2796" i="1" s="1"/>
  <c r="G2796" i="1"/>
  <c r="J2795" i="1"/>
  <c r="I2795" i="1"/>
  <c r="G2795" i="1"/>
  <c r="J2794" i="1"/>
  <c r="I2794" i="1"/>
  <c r="G2794" i="1"/>
  <c r="J2793" i="1"/>
  <c r="I2793" i="1"/>
  <c r="G2793" i="1"/>
  <c r="I2792" i="1"/>
  <c r="J2792" i="1" s="1"/>
  <c r="G2792" i="1"/>
  <c r="J2791" i="1"/>
  <c r="I2791" i="1"/>
  <c r="G2791" i="1"/>
  <c r="J2790" i="1"/>
  <c r="I2790" i="1"/>
  <c r="G2790" i="1"/>
  <c r="J2789" i="1"/>
  <c r="I2789" i="1"/>
  <c r="G2789" i="1"/>
  <c r="I2788" i="1"/>
  <c r="J2788" i="1" s="1"/>
  <c r="G2788" i="1"/>
  <c r="J2787" i="1"/>
  <c r="I2787" i="1"/>
  <c r="H2787" i="1"/>
  <c r="G2787" i="1"/>
  <c r="I2786" i="1"/>
  <c r="J2786" i="1" s="1"/>
  <c r="G2786" i="1"/>
  <c r="I2785" i="1"/>
  <c r="J2785" i="1" s="1"/>
  <c r="H2785" i="1"/>
  <c r="G2785" i="1"/>
  <c r="H2784" i="1"/>
  <c r="I2784" i="1" s="1"/>
  <c r="J2784" i="1" s="1"/>
  <c r="G2784" i="1"/>
  <c r="J2783" i="1"/>
  <c r="I2783" i="1"/>
  <c r="G2783" i="1"/>
  <c r="J2782" i="1"/>
  <c r="I2782" i="1"/>
  <c r="G2782" i="1"/>
  <c r="J2781" i="1"/>
  <c r="I2781" i="1"/>
  <c r="G2781" i="1"/>
  <c r="I2780" i="1"/>
  <c r="J2780" i="1" s="1"/>
  <c r="G2780" i="1"/>
  <c r="J2779" i="1"/>
  <c r="I2779" i="1"/>
  <c r="G2779" i="1"/>
  <c r="J2778" i="1"/>
  <c r="I2778" i="1"/>
  <c r="G2778" i="1"/>
  <c r="J2777" i="1"/>
  <c r="I2777" i="1"/>
  <c r="G2777" i="1"/>
  <c r="I2776" i="1"/>
  <c r="J2776" i="1" s="1"/>
  <c r="G2776" i="1"/>
  <c r="J2775" i="1"/>
  <c r="I2775" i="1"/>
  <c r="G2775" i="1"/>
  <c r="J2774" i="1"/>
  <c r="I2774" i="1"/>
  <c r="G2774" i="1"/>
  <c r="J2773" i="1"/>
  <c r="I2773" i="1"/>
  <c r="G2773" i="1"/>
  <c r="I2772" i="1"/>
  <c r="J2772" i="1" s="1"/>
  <c r="G2772" i="1"/>
  <c r="J2771" i="1"/>
  <c r="I2771" i="1"/>
  <c r="G2771" i="1"/>
  <c r="I2770" i="1"/>
  <c r="J2770" i="1" s="1"/>
  <c r="G2770" i="1"/>
  <c r="J2769" i="1"/>
  <c r="I2769" i="1"/>
  <c r="G2769" i="1"/>
  <c r="I2768" i="1"/>
  <c r="J2768" i="1" s="1"/>
  <c r="G2768" i="1"/>
  <c r="J2767" i="1"/>
  <c r="I2767" i="1"/>
  <c r="G2767" i="1"/>
  <c r="I2766" i="1"/>
  <c r="J2766" i="1" s="1"/>
  <c r="G2766" i="1"/>
  <c r="J2765" i="1"/>
  <c r="I2765" i="1"/>
  <c r="G2765" i="1"/>
  <c r="I2764" i="1"/>
  <c r="J2764" i="1" s="1"/>
  <c r="G2764" i="1"/>
  <c r="J2763" i="1"/>
  <c r="I2763" i="1"/>
  <c r="G2763" i="1"/>
  <c r="I2762" i="1"/>
  <c r="J2762" i="1" s="1"/>
  <c r="G2762" i="1"/>
  <c r="J2761" i="1"/>
  <c r="I2761" i="1"/>
  <c r="G2761" i="1"/>
  <c r="I2760" i="1"/>
  <c r="J2760" i="1" s="1"/>
  <c r="G2760" i="1"/>
  <c r="J2759" i="1"/>
  <c r="I2759" i="1"/>
  <c r="G2759" i="1"/>
  <c r="I2758" i="1"/>
  <c r="J2758" i="1" s="1"/>
  <c r="G2758" i="1"/>
  <c r="J2757" i="1"/>
  <c r="I2757" i="1"/>
  <c r="G2757" i="1"/>
  <c r="I2756" i="1"/>
  <c r="J2756" i="1" s="1"/>
  <c r="G2756" i="1"/>
  <c r="J2755" i="1"/>
  <c r="I2755" i="1"/>
  <c r="G2755" i="1"/>
  <c r="I2754" i="1"/>
  <c r="J2754" i="1" s="1"/>
  <c r="G2754" i="1"/>
  <c r="J2753" i="1"/>
  <c r="I2753" i="1"/>
  <c r="G2753" i="1"/>
  <c r="I2752" i="1"/>
  <c r="J2752" i="1" s="1"/>
  <c r="G2752" i="1"/>
  <c r="H2751" i="1"/>
  <c r="I2751" i="1" s="1"/>
  <c r="J2751" i="1" s="1"/>
  <c r="G2751" i="1"/>
  <c r="J2750" i="1"/>
  <c r="I2750" i="1"/>
  <c r="G2750" i="1"/>
  <c r="I2749" i="1"/>
  <c r="J2749" i="1" s="1"/>
  <c r="G2749" i="1"/>
  <c r="J2748" i="1"/>
  <c r="I2748" i="1"/>
  <c r="H2748" i="1"/>
  <c r="G2748" i="1"/>
  <c r="J2747" i="1"/>
  <c r="I2747" i="1"/>
  <c r="G2747" i="1"/>
  <c r="J2746" i="1"/>
  <c r="I2746" i="1"/>
  <c r="G2746" i="1"/>
  <c r="I2745" i="1"/>
  <c r="J2745" i="1" s="1"/>
  <c r="G2745" i="1"/>
  <c r="J2744" i="1"/>
  <c r="I2744" i="1"/>
  <c r="G2744" i="1"/>
  <c r="J2743" i="1"/>
  <c r="I2743" i="1"/>
  <c r="G2743" i="1"/>
  <c r="J2742" i="1"/>
  <c r="I2742" i="1"/>
  <c r="G2742" i="1"/>
  <c r="I2741" i="1"/>
  <c r="J2741" i="1" s="1"/>
  <c r="G2741" i="1"/>
  <c r="J2740" i="1"/>
  <c r="I2740" i="1"/>
  <c r="G2740" i="1"/>
  <c r="J2739" i="1"/>
  <c r="I2739" i="1"/>
  <c r="G2739" i="1"/>
  <c r="J2738" i="1"/>
  <c r="I2738" i="1"/>
  <c r="H2738" i="1"/>
  <c r="G2738" i="1"/>
  <c r="I2737" i="1"/>
  <c r="J2737" i="1" s="1"/>
  <c r="G2737" i="1"/>
  <c r="J2736" i="1"/>
  <c r="I2736" i="1"/>
  <c r="G2736" i="1"/>
  <c r="I2735" i="1"/>
  <c r="J2735" i="1" s="1"/>
  <c r="G2735" i="1"/>
  <c r="J2734" i="1"/>
  <c r="I2734" i="1"/>
  <c r="G2734" i="1"/>
  <c r="I2733" i="1"/>
  <c r="J2733" i="1" s="1"/>
  <c r="G2733" i="1"/>
  <c r="J2732" i="1"/>
  <c r="I2732" i="1"/>
  <c r="G2732" i="1"/>
  <c r="I2731" i="1"/>
  <c r="J2731" i="1" s="1"/>
  <c r="G2731" i="1"/>
  <c r="J2730" i="1"/>
  <c r="I2730" i="1"/>
  <c r="G2730" i="1"/>
  <c r="I2729" i="1"/>
  <c r="J2729" i="1" s="1"/>
  <c r="G2729" i="1"/>
  <c r="J2728" i="1"/>
  <c r="I2728" i="1"/>
  <c r="G2728" i="1"/>
  <c r="I2727" i="1"/>
  <c r="J2727" i="1" s="1"/>
  <c r="G2727" i="1"/>
  <c r="J2726" i="1"/>
  <c r="I2726" i="1"/>
  <c r="G2726" i="1"/>
  <c r="I2725" i="1"/>
  <c r="J2725" i="1" s="1"/>
  <c r="G2725" i="1"/>
  <c r="J2724" i="1"/>
  <c r="I2724" i="1"/>
  <c r="G2724" i="1"/>
  <c r="I2723" i="1"/>
  <c r="J2723" i="1" s="1"/>
  <c r="G2723" i="1"/>
  <c r="H2722" i="1"/>
  <c r="I2722" i="1" s="1"/>
  <c r="J2722" i="1" s="1"/>
  <c r="G2722" i="1"/>
  <c r="J2721" i="1"/>
  <c r="I2721" i="1"/>
  <c r="H2721" i="1"/>
  <c r="G2721" i="1"/>
  <c r="H2720" i="1"/>
  <c r="I2720" i="1" s="1"/>
  <c r="J2720" i="1" s="1"/>
  <c r="G2720" i="1"/>
  <c r="H2719" i="1"/>
  <c r="I2719" i="1" s="1"/>
  <c r="J2719" i="1" s="1"/>
  <c r="G2719" i="1"/>
  <c r="J2718" i="1"/>
  <c r="I2718" i="1"/>
  <c r="G2718" i="1"/>
  <c r="I2717" i="1"/>
  <c r="J2717" i="1" s="1"/>
  <c r="G2717" i="1"/>
  <c r="J2716" i="1"/>
  <c r="I2716" i="1"/>
  <c r="G2716" i="1"/>
  <c r="I2715" i="1"/>
  <c r="J2715" i="1" s="1"/>
  <c r="G2715" i="1"/>
  <c r="J2714" i="1"/>
  <c r="I2714" i="1"/>
  <c r="G2714" i="1"/>
  <c r="I2713" i="1"/>
  <c r="J2713" i="1" s="1"/>
  <c r="G2713" i="1"/>
  <c r="J2712" i="1"/>
  <c r="I2712" i="1"/>
  <c r="H2712" i="1"/>
  <c r="G2712" i="1"/>
  <c r="H2711" i="1"/>
  <c r="I2711" i="1" s="1"/>
  <c r="J2711" i="1" s="1"/>
  <c r="G2711" i="1"/>
  <c r="H2710" i="1"/>
  <c r="I2710" i="1" s="1"/>
  <c r="J2710" i="1" s="1"/>
  <c r="G2710" i="1"/>
  <c r="J2709" i="1"/>
  <c r="I2709" i="1"/>
  <c r="G2709" i="1"/>
  <c r="I2708" i="1"/>
  <c r="J2708" i="1" s="1"/>
  <c r="G2708" i="1"/>
  <c r="H2707" i="1"/>
  <c r="I2707" i="1" s="1"/>
  <c r="J2707" i="1" s="1"/>
  <c r="G2707" i="1"/>
  <c r="H2706" i="1"/>
  <c r="I2706" i="1" s="1"/>
  <c r="J2706" i="1" s="1"/>
  <c r="G2706" i="1"/>
  <c r="J2705" i="1"/>
  <c r="I2705" i="1"/>
  <c r="G2705" i="1"/>
  <c r="I2704" i="1"/>
  <c r="J2704" i="1" s="1"/>
  <c r="G2704" i="1"/>
  <c r="J2703" i="1"/>
  <c r="I2703" i="1"/>
  <c r="G2703" i="1"/>
  <c r="I2702" i="1"/>
  <c r="J2702" i="1" s="1"/>
  <c r="G2702" i="1"/>
  <c r="J2701" i="1"/>
  <c r="I2701" i="1"/>
  <c r="G2701" i="1"/>
  <c r="I2700" i="1"/>
  <c r="J2700" i="1" s="1"/>
  <c r="H2700" i="1"/>
  <c r="G2700" i="1"/>
  <c r="I2699" i="1"/>
  <c r="J2699" i="1" s="1"/>
  <c r="G2699" i="1"/>
  <c r="J2698" i="1"/>
  <c r="I2698" i="1"/>
  <c r="G2698" i="1"/>
  <c r="H2697" i="1"/>
  <c r="I2697" i="1" s="1"/>
  <c r="J2697" i="1" s="1"/>
  <c r="G2697" i="1"/>
  <c r="I2696" i="1"/>
  <c r="J2696" i="1" s="1"/>
  <c r="H2696" i="1"/>
  <c r="G2696" i="1"/>
  <c r="I2695" i="1"/>
  <c r="J2695" i="1" s="1"/>
  <c r="G2695" i="1"/>
  <c r="J2694" i="1"/>
  <c r="I2694" i="1"/>
  <c r="G2694" i="1"/>
  <c r="I2693" i="1"/>
  <c r="J2693" i="1" s="1"/>
  <c r="H2693" i="1"/>
  <c r="G2693" i="1"/>
  <c r="I2692" i="1"/>
  <c r="J2692" i="1" s="1"/>
  <c r="H2692" i="1"/>
  <c r="G2692" i="1"/>
  <c r="J2691" i="1"/>
  <c r="I2691" i="1"/>
  <c r="H2691" i="1"/>
  <c r="G2691" i="1"/>
  <c r="I2690" i="1"/>
  <c r="J2690" i="1" s="1"/>
  <c r="G2690" i="1"/>
  <c r="H2689" i="1"/>
  <c r="I2689" i="1" s="1"/>
  <c r="J2689" i="1" s="1"/>
  <c r="G2689" i="1"/>
  <c r="J2688" i="1"/>
  <c r="I2688" i="1"/>
  <c r="G2688" i="1"/>
  <c r="H2687" i="1"/>
  <c r="I2687" i="1" s="1"/>
  <c r="J2687" i="1" s="1"/>
  <c r="G2687" i="1"/>
  <c r="I2686" i="1"/>
  <c r="J2686" i="1" s="1"/>
  <c r="G2686" i="1"/>
  <c r="J2685" i="1"/>
  <c r="I2685" i="1"/>
  <c r="G2685" i="1"/>
  <c r="J2684" i="1"/>
  <c r="I2684" i="1"/>
  <c r="H2684" i="1"/>
  <c r="G2684" i="1"/>
  <c r="I2683" i="1"/>
  <c r="J2683" i="1" s="1"/>
  <c r="G2683" i="1"/>
  <c r="H2682" i="1"/>
  <c r="I2682" i="1" s="1"/>
  <c r="J2682" i="1" s="1"/>
  <c r="G2682" i="1"/>
  <c r="J2681" i="1"/>
  <c r="I2681" i="1"/>
  <c r="H2681" i="1"/>
  <c r="G2681" i="1"/>
  <c r="H2680" i="1"/>
  <c r="I2680" i="1" s="1"/>
  <c r="J2680" i="1" s="1"/>
  <c r="G2680" i="1"/>
  <c r="H2679" i="1"/>
  <c r="I2679" i="1" s="1"/>
  <c r="J2679" i="1" s="1"/>
  <c r="G2679" i="1"/>
  <c r="J2678" i="1"/>
  <c r="I2678" i="1"/>
  <c r="H2678" i="1"/>
  <c r="G2678" i="1"/>
  <c r="H2677" i="1"/>
  <c r="I2677" i="1" s="1"/>
  <c r="J2677" i="1" s="1"/>
  <c r="G2677" i="1"/>
  <c r="H2676" i="1"/>
  <c r="I2676" i="1" s="1"/>
  <c r="J2676" i="1" s="1"/>
  <c r="G2676" i="1"/>
  <c r="J2675" i="1"/>
  <c r="I2675" i="1"/>
  <c r="H2675" i="1"/>
  <c r="G2675" i="1"/>
  <c r="H2674" i="1"/>
  <c r="I2674" i="1" s="1"/>
  <c r="J2674" i="1" s="1"/>
  <c r="G2674" i="1"/>
  <c r="H2673" i="1"/>
  <c r="I2673" i="1" s="1"/>
  <c r="J2673" i="1" s="1"/>
  <c r="G2673" i="1"/>
  <c r="J2672" i="1"/>
  <c r="I2672" i="1"/>
  <c r="H2672" i="1"/>
  <c r="G2672" i="1"/>
  <c r="H2671" i="1"/>
  <c r="I2671" i="1" s="1"/>
  <c r="J2671" i="1" s="1"/>
  <c r="G2671" i="1"/>
  <c r="H2670" i="1"/>
  <c r="I2670" i="1" s="1"/>
  <c r="J2670" i="1" s="1"/>
  <c r="G2670" i="1"/>
  <c r="J2669" i="1"/>
  <c r="I2669" i="1"/>
  <c r="H2669" i="1"/>
  <c r="G2669" i="1"/>
  <c r="H2668" i="1"/>
  <c r="I2668" i="1" s="1"/>
  <c r="J2668" i="1" s="1"/>
  <c r="G2668" i="1"/>
  <c r="H2667" i="1"/>
  <c r="I2667" i="1" s="1"/>
  <c r="J2667" i="1" s="1"/>
  <c r="G2667" i="1"/>
  <c r="J2666" i="1"/>
  <c r="I2666" i="1"/>
  <c r="H2666" i="1"/>
  <c r="G2666" i="1"/>
  <c r="H2665" i="1"/>
  <c r="I2665" i="1" s="1"/>
  <c r="J2665" i="1" s="1"/>
  <c r="G2665" i="1"/>
  <c r="J2664" i="1"/>
  <c r="I2664" i="1"/>
  <c r="G2664" i="1"/>
  <c r="I2663" i="1"/>
  <c r="J2663" i="1" s="1"/>
  <c r="G2663" i="1"/>
  <c r="J2662" i="1"/>
  <c r="I2662" i="1"/>
  <c r="G2662" i="1"/>
  <c r="I2661" i="1"/>
  <c r="J2661" i="1" s="1"/>
  <c r="G2661" i="1"/>
  <c r="J2660" i="1"/>
  <c r="I2660" i="1"/>
  <c r="G2660" i="1"/>
  <c r="I2659" i="1"/>
  <c r="J2659" i="1" s="1"/>
  <c r="H2659" i="1"/>
  <c r="G2659" i="1"/>
  <c r="H2658" i="1"/>
  <c r="I2658" i="1" s="1"/>
  <c r="J2658" i="1" s="1"/>
  <c r="G2658" i="1"/>
  <c r="I2657" i="1"/>
  <c r="J2657" i="1" s="1"/>
  <c r="H2657" i="1"/>
  <c r="G2657" i="1"/>
  <c r="I2656" i="1"/>
  <c r="J2656" i="1" s="1"/>
  <c r="H2656" i="1"/>
  <c r="G2656" i="1"/>
  <c r="H2655" i="1"/>
  <c r="I2655" i="1" s="1"/>
  <c r="J2655" i="1" s="1"/>
  <c r="G2655" i="1"/>
  <c r="I2654" i="1"/>
  <c r="J2654" i="1" s="1"/>
  <c r="H2654" i="1"/>
  <c r="G2654" i="1"/>
  <c r="I2653" i="1"/>
  <c r="J2653" i="1" s="1"/>
  <c r="G2653" i="1"/>
  <c r="J2652" i="1"/>
  <c r="I2652" i="1"/>
  <c r="G2652" i="1"/>
  <c r="I2651" i="1"/>
  <c r="J2651" i="1" s="1"/>
  <c r="G2651" i="1"/>
  <c r="H2650" i="1"/>
  <c r="I2650" i="1" s="1"/>
  <c r="J2650" i="1" s="1"/>
  <c r="G2650" i="1"/>
  <c r="J2649" i="1"/>
  <c r="I2649" i="1"/>
  <c r="G2649" i="1"/>
  <c r="H2648" i="1"/>
  <c r="I2648" i="1" s="1"/>
  <c r="J2648" i="1" s="1"/>
  <c r="G2648" i="1"/>
  <c r="I2647" i="1"/>
  <c r="J2647" i="1" s="1"/>
  <c r="H2647" i="1"/>
  <c r="G2647" i="1"/>
  <c r="I2646" i="1"/>
  <c r="J2646" i="1" s="1"/>
  <c r="H2646" i="1"/>
  <c r="G2646" i="1"/>
  <c r="H2645" i="1"/>
  <c r="I2645" i="1" s="1"/>
  <c r="J2645" i="1" s="1"/>
  <c r="G2645" i="1"/>
  <c r="I2644" i="1"/>
  <c r="J2644" i="1" s="1"/>
  <c r="H2644" i="1"/>
  <c r="G2644" i="1"/>
  <c r="I2643" i="1"/>
  <c r="J2643" i="1" s="1"/>
  <c r="G2643" i="1"/>
  <c r="J2642" i="1"/>
  <c r="I2642" i="1"/>
  <c r="G2642" i="1"/>
  <c r="I2641" i="1"/>
  <c r="J2641" i="1" s="1"/>
  <c r="H2641" i="1"/>
  <c r="G2641" i="1"/>
  <c r="I2640" i="1"/>
  <c r="J2640" i="1" s="1"/>
  <c r="H2640" i="1"/>
  <c r="G2640" i="1"/>
  <c r="J2639" i="1"/>
  <c r="I2639" i="1"/>
  <c r="H2639" i="1"/>
  <c r="G2639" i="1"/>
  <c r="I2638" i="1"/>
  <c r="J2638" i="1" s="1"/>
  <c r="H2638" i="1"/>
  <c r="G2638" i="1"/>
  <c r="I2637" i="1"/>
  <c r="J2637" i="1" s="1"/>
  <c r="H2637" i="1"/>
  <c r="G2637" i="1"/>
  <c r="J2636" i="1"/>
  <c r="I2636" i="1"/>
  <c r="H2636" i="1"/>
  <c r="G2636" i="1"/>
  <c r="I2635" i="1"/>
  <c r="J2635" i="1" s="1"/>
  <c r="G2635" i="1"/>
  <c r="J2634" i="1"/>
  <c r="I2634" i="1"/>
  <c r="G2634" i="1"/>
  <c r="I2633" i="1"/>
  <c r="J2633" i="1" s="1"/>
  <c r="G2633" i="1"/>
  <c r="J2632" i="1"/>
  <c r="I2632" i="1"/>
  <c r="G2632" i="1"/>
  <c r="I2631" i="1"/>
  <c r="J2631" i="1" s="1"/>
  <c r="G2631" i="1"/>
  <c r="J2630" i="1"/>
  <c r="I2630" i="1"/>
  <c r="G2630" i="1"/>
  <c r="I2629" i="1"/>
  <c r="J2629" i="1" s="1"/>
  <c r="G2629" i="1"/>
  <c r="J2628" i="1"/>
  <c r="I2628" i="1"/>
  <c r="G2628" i="1"/>
  <c r="I2627" i="1"/>
  <c r="J2627" i="1" s="1"/>
  <c r="G2627" i="1"/>
  <c r="J2626" i="1"/>
  <c r="I2626" i="1"/>
  <c r="G2626" i="1"/>
  <c r="I2625" i="1"/>
  <c r="J2625" i="1" s="1"/>
  <c r="G2625" i="1"/>
  <c r="J2624" i="1"/>
  <c r="I2624" i="1"/>
  <c r="G2624" i="1"/>
  <c r="I2623" i="1"/>
  <c r="J2623" i="1" s="1"/>
  <c r="G2623" i="1"/>
  <c r="J2622" i="1"/>
  <c r="I2622" i="1"/>
  <c r="G2622" i="1"/>
  <c r="I2621" i="1"/>
  <c r="J2621" i="1" s="1"/>
  <c r="G2621" i="1"/>
  <c r="J2620" i="1"/>
  <c r="I2620" i="1"/>
  <c r="G2620" i="1"/>
  <c r="I2619" i="1"/>
  <c r="J2619" i="1" s="1"/>
  <c r="G2619" i="1"/>
  <c r="J2618" i="1"/>
  <c r="I2618" i="1"/>
  <c r="G2618" i="1"/>
  <c r="I2617" i="1"/>
  <c r="J2617" i="1" s="1"/>
  <c r="G2617" i="1"/>
  <c r="J2616" i="1"/>
  <c r="I2616" i="1"/>
  <c r="G2616" i="1"/>
  <c r="I2615" i="1"/>
  <c r="G2615" i="1"/>
  <c r="I2614" i="1"/>
  <c r="J2614" i="1" s="1"/>
  <c r="H2614" i="1"/>
  <c r="G2614" i="1"/>
  <c r="I2613" i="1"/>
  <c r="J2613" i="1" s="1"/>
  <c r="G2613" i="1"/>
  <c r="J2612" i="1"/>
  <c r="I2612" i="1"/>
  <c r="G2612" i="1"/>
  <c r="I2611" i="1"/>
  <c r="J2611" i="1" s="1"/>
  <c r="H2611" i="1"/>
  <c r="G2611" i="1"/>
  <c r="I2610" i="1"/>
  <c r="J2610" i="1" s="1"/>
  <c r="G2610" i="1"/>
  <c r="J2609" i="1"/>
  <c r="I2609" i="1"/>
  <c r="G2609" i="1"/>
  <c r="I2608" i="1"/>
  <c r="J2608" i="1" s="1"/>
  <c r="G2608" i="1"/>
  <c r="J2607" i="1"/>
  <c r="G2607" i="1"/>
  <c r="F2607" i="1"/>
  <c r="I2607" i="1" s="1"/>
  <c r="G2606" i="1"/>
  <c r="F2606" i="1"/>
  <c r="I2606" i="1" s="1"/>
  <c r="J2606" i="1" s="1"/>
  <c r="J2605" i="1"/>
  <c r="I2605" i="1"/>
  <c r="G2605" i="1"/>
  <c r="I2604" i="1"/>
  <c r="J2604" i="1" s="1"/>
  <c r="G2604" i="1"/>
  <c r="J2603" i="1"/>
  <c r="I2603" i="1"/>
  <c r="G2603" i="1"/>
  <c r="I2602" i="1"/>
  <c r="J2602" i="1" s="1"/>
  <c r="G2602" i="1"/>
  <c r="J2601" i="1"/>
  <c r="I2601" i="1"/>
  <c r="G2601" i="1"/>
  <c r="I2600" i="1"/>
  <c r="J2600" i="1" s="1"/>
  <c r="G2600" i="1"/>
  <c r="J2599" i="1"/>
  <c r="I2599" i="1"/>
  <c r="G2599" i="1"/>
  <c r="I2598" i="1"/>
  <c r="J2598" i="1" s="1"/>
  <c r="G2598" i="1"/>
  <c r="J2597" i="1"/>
  <c r="I2597" i="1"/>
  <c r="G2597" i="1"/>
  <c r="I2596" i="1"/>
  <c r="J2596" i="1" s="1"/>
  <c r="G2596" i="1"/>
  <c r="J2595" i="1"/>
  <c r="I2595" i="1"/>
  <c r="G2595" i="1"/>
  <c r="I2594" i="1"/>
  <c r="J2594" i="1" s="1"/>
  <c r="G2594" i="1"/>
  <c r="J2593" i="1"/>
  <c r="I2593" i="1"/>
  <c r="G2593" i="1"/>
  <c r="I2592" i="1"/>
  <c r="J2592" i="1" s="1"/>
  <c r="G2592" i="1"/>
  <c r="J2591" i="1"/>
  <c r="I2591" i="1"/>
  <c r="G2591" i="1"/>
  <c r="I2590" i="1"/>
  <c r="J2590" i="1" s="1"/>
  <c r="G2590" i="1"/>
  <c r="J2589" i="1"/>
  <c r="I2589" i="1"/>
  <c r="G2589" i="1"/>
  <c r="I2588" i="1"/>
  <c r="J2588" i="1" s="1"/>
  <c r="G2588" i="1"/>
  <c r="J2587" i="1"/>
  <c r="I2587" i="1"/>
  <c r="G2587" i="1"/>
  <c r="I2586" i="1"/>
  <c r="J2586" i="1" s="1"/>
  <c r="G2586" i="1"/>
  <c r="J2585" i="1"/>
  <c r="I2585" i="1"/>
  <c r="G2585" i="1"/>
  <c r="I2584" i="1"/>
  <c r="J2584" i="1" s="1"/>
  <c r="G2584" i="1"/>
  <c r="J2583" i="1"/>
  <c r="I2583" i="1"/>
  <c r="G2583" i="1"/>
  <c r="I2582" i="1"/>
  <c r="J2582" i="1" s="1"/>
  <c r="G2582" i="1"/>
  <c r="J2581" i="1"/>
  <c r="I2581" i="1"/>
  <c r="G2581" i="1"/>
  <c r="I2580" i="1"/>
  <c r="J2580" i="1" s="1"/>
  <c r="H2580" i="1"/>
  <c r="G2580" i="1"/>
  <c r="I2579" i="1"/>
  <c r="J2579" i="1" s="1"/>
  <c r="G2579" i="1"/>
  <c r="J2578" i="1"/>
  <c r="I2578" i="1"/>
  <c r="G2578" i="1"/>
  <c r="H2577" i="1"/>
  <c r="I2577" i="1" s="1"/>
  <c r="J2577" i="1" s="1"/>
  <c r="G2577" i="1"/>
  <c r="I2576" i="1"/>
  <c r="J2576" i="1" s="1"/>
  <c r="H2576" i="1"/>
  <c r="G2576" i="1"/>
  <c r="I2575" i="1"/>
  <c r="J2575" i="1" s="1"/>
  <c r="H2575" i="1"/>
  <c r="G2575" i="1"/>
  <c r="H2574" i="1"/>
  <c r="I2574" i="1" s="1"/>
  <c r="J2574" i="1" s="1"/>
  <c r="G2574" i="1"/>
  <c r="I2573" i="1"/>
  <c r="J2573" i="1" s="1"/>
  <c r="G2573" i="1"/>
  <c r="J2572" i="1"/>
  <c r="I2572" i="1"/>
  <c r="G2572" i="1"/>
  <c r="J2571" i="1"/>
  <c r="I2571" i="1"/>
  <c r="G2571" i="1"/>
  <c r="I2570" i="1"/>
  <c r="J2570" i="1" s="1"/>
  <c r="G2570" i="1"/>
  <c r="I2569" i="1"/>
  <c r="J2569" i="1" s="1"/>
  <c r="G2569" i="1"/>
  <c r="J2568" i="1"/>
  <c r="I2568" i="1"/>
  <c r="G2568" i="1"/>
  <c r="J2567" i="1"/>
  <c r="I2567" i="1"/>
  <c r="G2567" i="1"/>
  <c r="I2566" i="1"/>
  <c r="J2566" i="1" s="1"/>
  <c r="G2566" i="1"/>
  <c r="I2565" i="1"/>
  <c r="J2565" i="1" s="1"/>
  <c r="G2565" i="1"/>
  <c r="I2564" i="1"/>
  <c r="G2564" i="1"/>
  <c r="J2563" i="1"/>
  <c r="I2563" i="1"/>
  <c r="G2563" i="1"/>
  <c r="I2562" i="1"/>
  <c r="J2562" i="1" s="1"/>
  <c r="G2562" i="1"/>
  <c r="J2561" i="1"/>
  <c r="I2561" i="1"/>
  <c r="G2561" i="1"/>
  <c r="I2560" i="1"/>
  <c r="J2560" i="1" s="1"/>
  <c r="G2560" i="1"/>
  <c r="J2559" i="1"/>
  <c r="I2559" i="1"/>
  <c r="H2559" i="1"/>
  <c r="G2559" i="1"/>
  <c r="I2558" i="1"/>
  <c r="J2558" i="1" s="1"/>
  <c r="G2558" i="1"/>
  <c r="I2557" i="1"/>
  <c r="J2557" i="1" s="1"/>
  <c r="G2557" i="1"/>
  <c r="J2556" i="1"/>
  <c r="I2556" i="1"/>
  <c r="G2556" i="1"/>
  <c r="J2555" i="1"/>
  <c r="I2555" i="1"/>
  <c r="G2555" i="1"/>
  <c r="H2554" i="1"/>
  <c r="I2554" i="1" s="1"/>
  <c r="J2554" i="1" s="1"/>
  <c r="G2554" i="1"/>
  <c r="H2553" i="1"/>
  <c r="I2553" i="1" s="1"/>
  <c r="J2553" i="1" s="1"/>
  <c r="G2553" i="1"/>
  <c r="J2552" i="1"/>
  <c r="I2552" i="1"/>
  <c r="H2552" i="1"/>
  <c r="G2552" i="1"/>
  <c r="I2551" i="1"/>
  <c r="J2551" i="1" s="1"/>
  <c r="G2551" i="1"/>
  <c r="H2550" i="1"/>
  <c r="I2550" i="1" s="1"/>
  <c r="J2550" i="1" s="1"/>
  <c r="G2550" i="1"/>
  <c r="I2549" i="1"/>
  <c r="J2549" i="1" s="1"/>
  <c r="G2549" i="1"/>
  <c r="J2548" i="1"/>
  <c r="I2548" i="1"/>
  <c r="G2548" i="1"/>
  <c r="I2547" i="1"/>
  <c r="J2547" i="1" s="1"/>
  <c r="H2547" i="1"/>
  <c r="G2547" i="1"/>
  <c r="F2546" i="1"/>
  <c r="J2545" i="1"/>
  <c r="I2545" i="1"/>
  <c r="G2545" i="1"/>
  <c r="I2544" i="1"/>
  <c r="J2544" i="1" s="1"/>
  <c r="G2544" i="1"/>
  <c r="I2543" i="1"/>
  <c r="J2543" i="1" s="1"/>
  <c r="H2543" i="1"/>
  <c r="G2543" i="1"/>
  <c r="I2542" i="1"/>
  <c r="J2542" i="1" s="1"/>
  <c r="G2542" i="1"/>
  <c r="J2541" i="1"/>
  <c r="I2541" i="1"/>
  <c r="G2541" i="1"/>
  <c r="J2540" i="1"/>
  <c r="I2540" i="1"/>
  <c r="G2540" i="1"/>
  <c r="J2539" i="1"/>
  <c r="I2539" i="1"/>
  <c r="G2539" i="1"/>
  <c r="I2538" i="1"/>
  <c r="J2538" i="1" s="1"/>
  <c r="G2538" i="1"/>
  <c r="H2537" i="1"/>
  <c r="I2537" i="1" s="1"/>
  <c r="J2537" i="1" s="1"/>
  <c r="G2537" i="1"/>
  <c r="J2536" i="1"/>
  <c r="H2536" i="1"/>
  <c r="I2536" i="1" s="1"/>
  <c r="G2536" i="1"/>
  <c r="G2535" i="1"/>
  <c r="F2535" i="1"/>
  <c r="I2535" i="1" s="1"/>
  <c r="J2535" i="1" s="1"/>
  <c r="J2534" i="1"/>
  <c r="I2534" i="1"/>
  <c r="G2534" i="1"/>
  <c r="I2533" i="1"/>
  <c r="J2533" i="1" s="1"/>
  <c r="G2533" i="1"/>
  <c r="H2532" i="1"/>
  <c r="I2532" i="1" s="1"/>
  <c r="J2532" i="1" s="1"/>
  <c r="G2532" i="1"/>
  <c r="J2531" i="1"/>
  <c r="I2531" i="1"/>
  <c r="H2531" i="1"/>
  <c r="G2531" i="1"/>
  <c r="H2530" i="1"/>
  <c r="I2530" i="1" s="1"/>
  <c r="J2530" i="1" s="1"/>
  <c r="G2530" i="1"/>
  <c r="I2529" i="1"/>
  <c r="J2529" i="1" s="1"/>
  <c r="G2529" i="1"/>
  <c r="I2528" i="1"/>
  <c r="J2528" i="1" s="1"/>
  <c r="H2528" i="1"/>
  <c r="G2528" i="1"/>
  <c r="I2527" i="1"/>
  <c r="J2527" i="1" s="1"/>
  <c r="G2527" i="1"/>
  <c r="J2526" i="1"/>
  <c r="I2526" i="1"/>
  <c r="G2526" i="1"/>
  <c r="I2525" i="1"/>
  <c r="J2525" i="1" s="1"/>
  <c r="G2525" i="1"/>
  <c r="J2524" i="1"/>
  <c r="I2524" i="1"/>
  <c r="G2524" i="1"/>
  <c r="I2523" i="1"/>
  <c r="J2523" i="1" s="1"/>
  <c r="G2523" i="1"/>
  <c r="J2522" i="1"/>
  <c r="I2522" i="1"/>
  <c r="G2522" i="1"/>
  <c r="I2521" i="1"/>
  <c r="J2521" i="1" s="1"/>
  <c r="G2521" i="1"/>
  <c r="J2520" i="1"/>
  <c r="I2520" i="1"/>
  <c r="G2520" i="1"/>
  <c r="I2519" i="1"/>
  <c r="J2519" i="1" s="1"/>
  <c r="G2519" i="1"/>
  <c r="J2518" i="1"/>
  <c r="I2518" i="1"/>
  <c r="G2518" i="1"/>
  <c r="I2517" i="1"/>
  <c r="J2517" i="1" s="1"/>
  <c r="G2517" i="1"/>
  <c r="J2516" i="1"/>
  <c r="I2516" i="1"/>
  <c r="G2516" i="1"/>
  <c r="I2515" i="1"/>
  <c r="J2515" i="1" s="1"/>
  <c r="G2515" i="1"/>
  <c r="H2514" i="1"/>
  <c r="I2514" i="1" s="1"/>
  <c r="J2514" i="1" s="1"/>
  <c r="G2514" i="1"/>
  <c r="H2513" i="1"/>
  <c r="I2513" i="1" s="1"/>
  <c r="J2513" i="1" s="1"/>
  <c r="G2513" i="1"/>
  <c r="H2512" i="1"/>
  <c r="I2512" i="1" s="1"/>
  <c r="J2512" i="1" s="1"/>
  <c r="G2512" i="1"/>
  <c r="H2511" i="1"/>
  <c r="I2511" i="1" s="1"/>
  <c r="J2511" i="1" s="1"/>
  <c r="G2511" i="1"/>
  <c r="H2510" i="1"/>
  <c r="I2510" i="1" s="1"/>
  <c r="J2510" i="1" s="1"/>
  <c r="G2510" i="1"/>
  <c r="H2509" i="1"/>
  <c r="I2509" i="1" s="1"/>
  <c r="J2509" i="1" s="1"/>
  <c r="G2509" i="1"/>
  <c r="H2508" i="1"/>
  <c r="I2508" i="1" s="1"/>
  <c r="J2508" i="1" s="1"/>
  <c r="G2508" i="1"/>
  <c r="H2507" i="1"/>
  <c r="I2507" i="1" s="1"/>
  <c r="J2507" i="1" s="1"/>
  <c r="G2507" i="1"/>
  <c r="H2506" i="1"/>
  <c r="I2506" i="1" s="1"/>
  <c r="J2506" i="1" s="1"/>
  <c r="G2506" i="1"/>
  <c r="J2505" i="1"/>
  <c r="I2505" i="1"/>
  <c r="G2505" i="1"/>
  <c r="I2504" i="1"/>
  <c r="J2504" i="1" s="1"/>
  <c r="G2504" i="1"/>
  <c r="J2503" i="1"/>
  <c r="I2503" i="1"/>
  <c r="G2503" i="1"/>
  <c r="H2502" i="1"/>
  <c r="I2502" i="1" s="1"/>
  <c r="J2502" i="1" s="1"/>
  <c r="G2502" i="1"/>
  <c r="I2501" i="1"/>
  <c r="J2501" i="1" s="1"/>
  <c r="G2501" i="1"/>
  <c r="J2500" i="1"/>
  <c r="I2500" i="1"/>
  <c r="G2500" i="1"/>
  <c r="J2499" i="1"/>
  <c r="I2499" i="1"/>
  <c r="G2499" i="1"/>
  <c r="I2498" i="1"/>
  <c r="J2498" i="1" s="1"/>
  <c r="G2498" i="1"/>
  <c r="I2497" i="1"/>
  <c r="J2497" i="1" s="1"/>
  <c r="G2497" i="1"/>
  <c r="J2496" i="1"/>
  <c r="I2496" i="1"/>
  <c r="G2496" i="1"/>
  <c r="J2495" i="1"/>
  <c r="I2495" i="1"/>
  <c r="G2495" i="1"/>
  <c r="I2494" i="1"/>
  <c r="J2494" i="1" s="1"/>
  <c r="G2494" i="1"/>
  <c r="I2493" i="1"/>
  <c r="J2493" i="1" s="1"/>
  <c r="G2493" i="1"/>
  <c r="J2492" i="1"/>
  <c r="I2492" i="1"/>
  <c r="G2492" i="1"/>
  <c r="J2491" i="1"/>
  <c r="I2491" i="1"/>
  <c r="G2491" i="1"/>
  <c r="I2490" i="1"/>
  <c r="J2490" i="1" s="1"/>
  <c r="G2490" i="1"/>
  <c r="I2489" i="1"/>
  <c r="J2489" i="1" s="1"/>
  <c r="G2489" i="1"/>
  <c r="J2488" i="1"/>
  <c r="I2488" i="1"/>
  <c r="G2488" i="1"/>
  <c r="J2487" i="1"/>
  <c r="I2487" i="1"/>
  <c r="G2487" i="1"/>
  <c r="I2486" i="1"/>
  <c r="J2486" i="1" s="1"/>
  <c r="G2486" i="1"/>
  <c r="I2485" i="1"/>
  <c r="J2485" i="1" s="1"/>
  <c r="G2485" i="1"/>
  <c r="J2484" i="1"/>
  <c r="I2484" i="1"/>
  <c r="G2484" i="1"/>
  <c r="J2483" i="1"/>
  <c r="I2483" i="1"/>
  <c r="G2483" i="1"/>
  <c r="I2482" i="1"/>
  <c r="J2482" i="1" s="1"/>
  <c r="G2482" i="1"/>
  <c r="I2481" i="1"/>
  <c r="J2481" i="1" s="1"/>
  <c r="G2481" i="1"/>
  <c r="H2480" i="1"/>
  <c r="I2480" i="1" s="1"/>
  <c r="J2480" i="1" s="1"/>
  <c r="G2480" i="1"/>
  <c r="H2479" i="1"/>
  <c r="I2479" i="1" s="1"/>
  <c r="J2479" i="1" s="1"/>
  <c r="G2479" i="1"/>
  <c r="J2478" i="1"/>
  <c r="H2478" i="1"/>
  <c r="I2478" i="1" s="1"/>
  <c r="G2478" i="1"/>
  <c r="H2477" i="1"/>
  <c r="I2477" i="1" s="1"/>
  <c r="J2477" i="1" s="1"/>
  <c r="G2477" i="1"/>
  <c r="J2476" i="1"/>
  <c r="I2476" i="1"/>
  <c r="G2476" i="1"/>
  <c r="I2475" i="1"/>
  <c r="J2475" i="1" s="1"/>
  <c r="H2475" i="1"/>
  <c r="G2475" i="1"/>
  <c r="I2474" i="1"/>
  <c r="J2474" i="1" s="1"/>
  <c r="G2474" i="1"/>
  <c r="J2473" i="1"/>
  <c r="I2473" i="1"/>
  <c r="G2473" i="1"/>
  <c r="F2472" i="1"/>
  <c r="I2472" i="1" s="1"/>
  <c r="J2472" i="1" s="1"/>
  <c r="I2471" i="1"/>
  <c r="J2471" i="1" s="1"/>
  <c r="G2471" i="1"/>
  <c r="J2470" i="1"/>
  <c r="I2470" i="1"/>
  <c r="G2470" i="1"/>
  <c r="J2469" i="1"/>
  <c r="I2469" i="1"/>
  <c r="H2469" i="1"/>
  <c r="G2469" i="1"/>
  <c r="I2468" i="1"/>
  <c r="J2468" i="1" s="1"/>
  <c r="G2468" i="1"/>
  <c r="H2467" i="1"/>
  <c r="I2467" i="1" s="1"/>
  <c r="J2467" i="1" s="1"/>
  <c r="G2467" i="1"/>
  <c r="J2466" i="1"/>
  <c r="I2466" i="1"/>
  <c r="H2466" i="1"/>
  <c r="G2466" i="1"/>
  <c r="I2465" i="1"/>
  <c r="J2465" i="1" s="1"/>
  <c r="G2465" i="1"/>
  <c r="I2464" i="1"/>
  <c r="J2464" i="1" s="1"/>
  <c r="H2464" i="1"/>
  <c r="G2464" i="1"/>
  <c r="I2463" i="1"/>
  <c r="J2463" i="1" s="1"/>
  <c r="G2463" i="1"/>
  <c r="H2462" i="1"/>
  <c r="I2462" i="1" s="1"/>
  <c r="J2462" i="1" s="1"/>
  <c r="G2462" i="1"/>
  <c r="J2461" i="1"/>
  <c r="I2461" i="1"/>
  <c r="G2461" i="1"/>
  <c r="I2460" i="1"/>
  <c r="J2460" i="1" s="1"/>
  <c r="G2460" i="1"/>
  <c r="J2459" i="1"/>
  <c r="I2459" i="1"/>
  <c r="H2459" i="1"/>
  <c r="G2459" i="1"/>
  <c r="I2458" i="1"/>
  <c r="J2458" i="1" s="1"/>
  <c r="G2458" i="1"/>
  <c r="F2458" i="1"/>
  <c r="J2457" i="1"/>
  <c r="I2457" i="1"/>
  <c r="G2457" i="1"/>
  <c r="I2456" i="1"/>
  <c r="J2456" i="1" s="1"/>
  <c r="G2456" i="1"/>
  <c r="J2455" i="1"/>
  <c r="I2455" i="1"/>
  <c r="G2455" i="1"/>
  <c r="I2454" i="1"/>
  <c r="J2454" i="1" s="1"/>
  <c r="G2454" i="1"/>
  <c r="H2453" i="1"/>
  <c r="I2453" i="1" s="1"/>
  <c r="J2453" i="1" s="1"/>
  <c r="G2453" i="1"/>
  <c r="J2452" i="1"/>
  <c r="I2452" i="1"/>
  <c r="G2452" i="1"/>
  <c r="H2451" i="1"/>
  <c r="I2451" i="1" s="1"/>
  <c r="J2451" i="1" s="1"/>
  <c r="G2451" i="1"/>
  <c r="I2450" i="1"/>
  <c r="J2450" i="1" s="1"/>
  <c r="G2450" i="1"/>
  <c r="J2449" i="1"/>
  <c r="I2449" i="1"/>
  <c r="G2449" i="1"/>
  <c r="J2448" i="1"/>
  <c r="I2448" i="1"/>
  <c r="G2448" i="1"/>
  <c r="I2447" i="1"/>
  <c r="J2447" i="1" s="1"/>
  <c r="G2447" i="1"/>
  <c r="I2446" i="1"/>
  <c r="J2446" i="1" s="1"/>
  <c r="G2446" i="1"/>
  <c r="H2445" i="1"/>
  <c r="I2445" i="1" s="1"/>
  <c r="J2445" i="1" s="1"/>
  <c r="G2445" i="1"/>
  <c r="H2444" i="1"/>
  <c r="I2444" i="1" s="1"/>
  <c r="J2444" i="1" s="1"/>
  <c r="G2444" i="1"/>
  <c r="H2443" i="1"/>
  <c r="I2443" i="1" s="1"/>
  <c r="J2443" i="1" s="1"/>
  <c r="G2443" i="1"/>
  <c r="H2442" i="1"/>
  <c r="I2442" i="1" s="1"/>
  <c r="J2442" i="1" s="1"/>
  <c r="G2442" i="1"/>
  <c r="H2441" i="1"/>
  <c r="I2441" i="1" s="1"/>
  <c r="J2441" i="1" s="1"/>
  <c r="G2441" i="1"/>
  <c r="J2440" i="1"/>
  <c r="H2440" i="1"/>
  <c r="I2440" i="1" s="1"/>
  <c r="G2440" i="1"/>
  <c r="H2439" i="1"/>
  <c r="I2439" i="1" s="1"/>
  <c r="J2439" i="1" s="1"/>
  <c r="G2439" i="1"/>
  <c r="H2438" i="1"/>
  <c r="I2438" i="1" s="1"/>
  <c r="J2438" i="1" s="1"/>
  <c r="G2438" i="1"/>
  <c r="H2437" i="1"/>
  <c r="I2437" i="1" s="1"/>
  <c r="J2437" i="1" s="1"/>
  <c r="G2437" i="1"/>
  <c r="H2436" i="1"/>
  <c r="I2436" i="1" s="1"/>
  <c r="J2436" i="1" s="1"/>
  <c r="G2436" i="1"/>
  <c r="H2435" i="1"/>
  <c r="I2435" i="1" s="1"/>
  <c r="J2435" i="1" s="1"/>
  <c r="G2435" i="1"/>
  <c r="H2434" i="1"/>
  <c r="I2434" i="1" s="1"/>
  <c r="J2434" i="1" s="1"/>
  <c r="G2434" i="1"/>
  <c r="H2433" i="1"/>
  <c r="I2433" i="1" s="1"/>
  <c r="J2433" i="1" s="1"/>
  <c r="G2433" i="1"/>
  <c r="J2432" i="1"/>
  <c r="I2432" i="1"/>
  <c r="G2432" i="1"/>
  <c r="I2431" i="1"/>
  <c r="J2431" i="1" s="1"/>
  <c r="G2431" i="1"/>
  <c r="H2430" i="1"/>
  <c r="I2430" i="1" s="1"/>
  <c r="J2430" i="1" s="1"/>
  <c r="G2430" i="1"/>
  <c r="J2429" i="1"/>
  <c r="I2429" i="1"/>
  <c r="G2429" i="1"/>
  <c r="I2428" i="1"/>
  <c r="J2428" i="1" s="1"/>
  <c r="G2428" i="1"/>
  <c r="J2427" i="1"/>
  <c r="I2427" i="1"/>
  <c r="G2427" i="1"/>
  <c r="I2426" i="1"/>
  <c r="J2426" i="1" s="1"/>
  <c r="H2426" i="1"/>
  <c r="G2426" i="1"/>
  <c r="J2425" i="1"/>
  <c r="I2425" i="1"/>
  <c r="H2425" i="1"/>
  <c r="G2425" i="1"/>
  <c r="I2424" i="1"/>
  <c r="J2424" i="1" s="1"/>
  <c r="G2424" i="1"/>
  <c r="I2423" i="1"/>
  <c r="J2423" i="1" s="1"/>
  <c r="G2423" i="1"/>
  <c r="I2422" i="1"/>
  <c r="J2422" i="1" s="1"/>
  <c r="G2422" i="1"/>
  <c r="J2421" i="1"/>
  <c r="I2421" i="1"/>
  <c r="G2421" i="1"/>
  <c r="J2420" i="1"/>
  <c r="I2420" i="1"/>
  <c r="G2420" i="1"/>
  <c r="I2419" i="1"/>
  <c r="J2419" i="1" s="1"/>
  <c r="G2419" i="1"/>
  <c r="I2418" i="1"/>
  <c r="J2418" i="1" s="1"/>
  <c r="G2418" i="1"/>
  <c r="H2417" i="1"/>
  <c r="I2417" i="1" s="1"/>
  <c r="J2417" i="1" s="1"/>
  <c r="G2417" i="1"/>
  <c r="J2416" i="1"/>
  <c r="I2416" i="1"/>
  <c r="G2416" i="1"/>
  <c r="I2415" i="1"/>
  <c r="J2415" i="1" s="1"/>
  <c r="G2415" i="1"/>
  <c r="J2414" i="1"/>
  <c r="I2414" i="1"/>
  <c r="G2414" i="1"/>
  <c r="I2413" i="1"/>
  <c r="J2413" i="1" s="1"/>
  <c r="G2413" i="1"/>
  <c r="J2412" i="1"/>
  <c r="I2412" i="1"/>
  <c r="H2412" i="1"/>
  <c r="G2412" i="1"/>
  <c r="J2411" i="1"/>
  <c r="I2411" i="1"/>
  <c r="G2411" i="1"/>
  <c r="J2410" i="1"/>
  <c r="I2410" i="1"/>
  <c r="H2410" i="1"/>
  <c r="G2410" i="1"/>
  <c r="I2409" i="1"/>
  <c r="J2409" i="1" s="1"/>
  <c r="G2409" i="1"/>
  <c r="I2408" i="1"/>
  <c r="J2408" i="1" s="1"/>
  <c r="G2408" i="1"/>
  <c r="I2407" i="1"/>
  <c r="J2407" i="1" s="1"/>
  <c r="G2407" i="1"/>
  <c r="H2406" i="1"/>
  <c r="I2406" i="1" s="1"/>
  <c r="J2406" i="1" s="1"/>
  <c r="G2406" i="1"/>
  <c r="J2405" i="1"/>
  <c r="I2405" i="1"/>
  <c r="H2405" i="1"/>
  <c r="G2405" i="1"/>
  <c r="J2404" i="1"/>
  <c r="I2404" i="1"/>
  <c r="G2404" i="1"/>
  <c r="J2403" i="1"/>
  <c r="I2403" i="1"/>
  <c r="G2403" i="1"/>
  <c r="H2402" i="1"/>
  <c r="I2402" i="1" s="1"/>
  <c r="J2402" i="1" s="1"/>
  <c r="G2402" i="1"/>
  <c r="H2401" i="1"/>
  <c r="I2401" i="1" s="1"/>
  <c r="J2401" i="1" s="1"/>
  <c r="G2401" i="1"/>
  <c r="J2400" i="1"/>
  <c r="I2400" i="1"/>
  <c r="H2400" i="1"/>
  <c r="G2400" i="1"/>
  <c r="I2399" i="1"/>
  <c r="J2399" i="1" s="1"/>
  <c r="G2399" i="1"/>
  <c r="J2398" i="1"/>
  <c r="I2398" i="1"/>
  <c r="G2398" i="1"/>
  <c r="J2397" i="1"/>
  <c r="I2397" i="1"/>
  <c r="G2397" i="1"/>
  <c r="J2396" i="1"/>
  <c r="I2396" i="1"/>
  <c r="G2396" i="1"/>
  <c r="I2395" i="1"/>
  <c r="J2395" i="1" s="1"/>
  <c r="G2395" i="1"/>
  <c r="J2394" i="1"/>
  <c r="I2394" i="1"/>
  <c r="G2394" i="1"/>
  <c r="J2393" i="1"/>
  <c r="I2393" i="1"/>
  <c r="G2393" i="1"/>
  <c r="J2392" i="1"/>
  <c r="I2392" i="1"/>
  <c r="H2392" i="1"/>
  <c r="G2392" i="1"/>
  <c r="J2391" i="1"/>
  <c r="I2391" i="1"/>
  <c r="G2391" i="1"/>
  <c r="I2390" i="1"/>
  <c r="J2390" i="1" s="1"/>
  <c r="G2390" i="1"/>
  <c r="I2389" i="1"/>
  <c r="J2389" i="1" s="1"/>
  <c r="G2389" i="1"/>
  <c r="J2388" i="1"/>
  <c r="I2388" i="1"/>
  <c r="G2388" i="1"/>
  <c r="I2387" i="1"/>
  <c r="J2387" i="1" s="1"/>
  <c r="G2387" i="1"/>
  <c r="H2386" i="1"/>
  <c r="F2386" i="1"/>
  <c r="J2385" i="1"/>
  <c r="I2385" i="1"/>
  <c r="G2385" i="1"/>
  <c r="H2384" i="1"/>
  <c r="I2384" i="1" s="1"/>
  <c r="J2384" i="1" s="1"/>
  <c r="G2384" i="1"/>
  <c r="I2383" i="1"/>
  <c r="J2383" i="1" s="1"/>
  <c r="G2383" i="1"/>
  <c r="I2382" i="1"/>
  <c r="J2382" i="1" s="1"/>
  <c r="G2382" i="1"/>
  <c r="J2381" i="1"/>
  <c r="I2381" i="1"/>
  <c r="G2381" i="1"/>
  <c r="I2380" i="1"/>
  <c r="J2380" i="1" s="1"/>
  <c r="G2380" i="1"/>
  <c r="I2379" i="1"/>
  <c r="J2379" i="1" s="1"/>
  <c r="G2379" i="1"/>
  <c r="I2378" i="1"/>
  <c r="J2378" i="1" s="1"/>
  <c r="G2378" i="1"/>
  <c r="J2377" i="1"/>
  <c r="I2377" i="1"/>
  <c r="G2377" i="1"/>
  <c r="I2376" i="1"/>
  <c r="J2376" i="1" s="1"/>
  <c r="G2376" i="1"/>
  <c r="I2375" i="1"/>
  <c r="J2375" i="1" s="1"/>
  <c r="G2375" i="1"/>
  <c r="I2374" i="1"/>
  <c r="J2374" i="1" s="1"/>
  <c r="G2374" i="1"/>
  <c r="J2373" i="1"/>
  <c r="I2373" i="1"/>
  <c r="G2373" i="1"/>
  <c r="J2372" i="1"/>
  <c r="I2372" i="1"/>
  <c r="H2372" i="1"/>
  <c r="G2372" i="1"/>
  <c r="I2371" i="1"/>
  <c r="J2371" i="1" s="1"/>
  <c r="G2371" i="1"/>
  <c r="J2370" i="1"/>
  <c r="I2370" i="1"/>
  <c r="H2370" i="1"/>
  <c r="G2370" i="1"/>
  <c r="H2369" i="1"/>
  <c r="I2369" i="1" s="1"/>
  <c r="J2369" i="1" s="1"/>
  <c r="G2369" i="1"/>
  <c r="H2368" i="1"/>
  <c r="I2368" i="1" s="1"/>
  <c r="J2368" i="1" s="1"/>
  <c r="G2368" i="1"/>
  <c r="J2367" i="1"/>
  <c r="I2367" i="1"/>
  <c r="G2367" i="1"/>
  <c r="I2366" i="1"/>
  <c r="J2366" i="1" s="1"/>
  <c r="G2366" i="1"/>
  <c r="J2365" i="1"/>
  <c r="I2365" i="1"/>
  <c r="G2365" i="1"/>
  <c r="I2364" i="1"/>
  <c r="J2364" i="1" s="1"/>
  <c r="G2364" i="1"/>
  <c r="J2363" i="1"/>
  <c r="I2363" i="1"/>
  <c r="H2363" i="1"/>
  <c r="G2363" i="1"/>
  <c r="I2362" i="1"/>
  <c r="J2362" i="1" s="1"/>
  <c r="G2362" i="1"/>
  <c r="I2361" i="1"/>
  <c r="J2361" i="1" s="1"/>
  <c r="G2361" i="1"/>
  <c r="H2360" i="1"/>
  <c r="I2360" i="1" s="1"/>
  <c r="J2360" i="1" s="1"/>
  <c r="G2360" i="1"/>
  <c r="J2359" i="1"/>
  <c r="I2359" i="1"/>
  <c r="G2359" i="1"/>
  <c r="I2358" i="1"/>
  <c r="J2358" i="1" s="1"/>
  <c r="G2358" i="1"/>
  <c r="I2357" i="1"/>
  <c r="J2357" i="1" s="1"/>
  <c r="G2357" i="1"/>
  <c r="I2356" i="1"/>
  <c r="J2356" i="1" s="1"/>
  <c r="G2356" i="1"/>
  <c r="J2355" i="1"/>
  <c r="I2355" i="1"/>
  <c r="G2355" i="1"/>
  <c r="J2354" i="1"/>
  <c r="I2354" i="1"/>
  <c r="G2354" i="1"/>
  <c r="H2353" i="1"/>
  <c r="I2353" i="1" s="1"/>
  <c r="J2353" i="1" s="1"/>
  <c r="G2353" i="1"/>
  <c r="I2352" i="1"/>
  <c r="J2352" i="1" s="1"/>
  <c r="G2352" i="1"/>
  <c r="I2351" i="1"/>
  <c r="J2351" i="1" s="1"/>
  <c r="G2351" i="1"/>
  <c r="J2350" i="1"/>
  <c r="I2350" i="1"/>
  <c r="G2350" i="1"/>
  <c r="I2349" i="1"/>
  <c r="J2349" i="1" s="1"/>
  <c r="G2349" i="1"/>
  <c r="J2348" i="1"/>
  <c r="I2348" i="1"/>
  <c r="G2348" i="1"/>
  <c r="I2347" i="1"/>
  <c r="J2347" i="1" s="1"/>
  <c r="G2347" i="1"/>
  <c r="J2346" i="1"/>
  <c r="I2346" i="1"/>
  <c r="G2346" i="1"/>
  <c r="I2345" i="1"/>
  <c r="J2345" i="1" s="1"/>
  <c r="H2345" i="1"/>
  <c r="G2345" i="1"/>
  <c r="I2344" i="1"/>
  <c r="J2344" i="1" s="1"/>
  <c r="G2344" i="1"/>
  <c r="I2343" i="1"/>
  <c r="J2343" i="1" s="1"/>
  <c r="G2343" i="1"/>
  <c r="I2342" i="1"/>
  <c r="J2342" i="1" s="1"/>
  <c r="G2342" i="1"/>
  <c r="H2341" i="1"/>
  <c r="I2341" i="1" s="1"/>
  <c r="J2341" i="1" s="1"/>
  <c r="G2341" i="1"/>
  <c r="J2340" i="1"/>
  <c r="I2340" i="1"/>
  <c r="G2340" i="1"/>
  <c r="I2339" i="1"/>
  <c r="J2339" i="1" s="1"/>
  <c r="G2339" i="1"/>
  <c r="I2338" i="1"/>
  <c r="J2338" i="1" s="1"/>
  <c r="G2338" i="1"/>
  <c r="I2337" i="1"/>
  <c r="J2337" i="1" s="1"/>
  <c r="G2337" i="1"/>
  <c r="J2336" i="1"/>
  <c r="I2336" i="1"/>
  <c r="G2336" i="1"/>
  <c r="J2335" i="1"/>
  <c r="I2335" i="1"/>
  <c r="G2335" i="1"/>
  <c r="I2334" i="1"/>
  <c r="J2334" i="1" s="1"/>
  <c r="G2334" i="1"/>
  <c r="I2333" i="1"/>
  <c r="J2333" i="1" s="1"/>
  <c r="G2333" i="1"/>
  <c r="J2332" i="1"/>
  <c r="I2332" i="1"/>
  <c r="G2332" i="1"/>
  <c r="I2331" i="1"/>
  <c r="J2331" i="1" s="1"/>
  <c r="G2331" i="1"/>
  <c r="I2330" i="1"/>
  <c r="J2330" i="1" s="1"/>
  <c r="G2330" i="1"/>
  <c r="I2329" i="1"/>
  <c r="J2329" i="1" s="1"/>
  <c r="H2329" i="1"/>
  <c r="G2329" i="1"/>
  <c r="H2328" i="1"/>
  <c r="I2328" i="1" s="1"/>
  <c r="J2328" i="1" s="1"/>
  <c r="G2328" i="1"/>
  <c r="I2327" i="1"/>
  <c r="J2327" i="1" s="1"/>
  <c r="G2327" i="1"/>
  <c r="J2326" i="1"/>
  <c r="I2326" i="1"/>
  <c r="G2326" i="1"/>
  <c r="I2325" i="1"/>
  <c r="J2325" i="1" s="1"/>
  <c r="G2325" i="1"/>
  <c r="I2324" i="1"/>
  <c r="J2324" i="1" s="1"/>
  <c r="G2324" i="1"/>
  <c r="I2323" i="1"/>
  <c r="J2323" i="1" s="1"/>
  <c r="G2323" i="1"/>
  <c r="J2322" i="1"/>
  <c r="I2322" i="1"/>
  <c r="G2322" i="1"/>
  <c r="J2321" i="1"/>
  <c r="G2321" i="1"/>
  <c r="I2320" i="1"/>
  <c r="J2320" i="1" s="1"/>
  <c r="H2320" i="1"/>
  <c r="G2320" i="1"/>
  <c r="H2319" i="1"/>
  <c r="I2319" i="1" s="1"/>
  <c r="J2319" i="1" s="1"/>
  <c r="G2319" i="1"/>
  <c r="I2318" i="1"/>
  <c r="J2318" i="1" s="1"/>
  <c r="G2318" i="1"/>
  <c r="J2317" i="1"/>
  <c r="I2317" i="1"/>
  <c r="G2317" i="1"/>
  <c r="I2316" i="1"/>
  <c r="J2316" i="1" s="1"/>
  <c r="G2316" i="1"/>
  <c r="I2315" i="1"/>
  <c r="J2315" i="1" s="1"/>
  <c r="G2315" i="1"/>
  <c r="H2314" i="1"/>
  <c r="I2314" i="1" s="1"/>
  <c r="J2314" i="1" s="1"/>
  <c r="G2314" i="1"/>
  <c r="I2313" i="1"/>
  <c r="J2313" i="1" s="1"/>
  <c r="G2313" i="1"/>
  <c r="J2312" i="1"/>
  <c r="I2312" i="1"/>
  <c r="G2312" i="1"/>
  <c r="I2311" i="1"/>
  <c r="J2311" i="1" s="1"/>
  <c r="H2311" i="1"/>
  <c r="G2311" i="1"/>
  <c r="I2310" i="1"/>
  <c r="J2310" i="1" s="1"/>
  <c r="H2310" i="1"/>
  <c r="G2310" i="1"/>
  <c r="I2309" i="1"/>
  <c r="J2309" i="1" s="1"/>
  <c r="G2309" i="1"/>
  <c r="H2308" i="1"/>
  <c r="I2308" i="1" s="1"/>
  <c r="J2308" i="1" s="1"/>
  <c r="G2308" i="1"/>
  <c r="I2307" i="1"/>
  <c r="J2307" i="1" s="1"/>
  <c r="H2307" i="1"/>
  <c r="G2307" i="1"/>
  <c r="I2306" i="1"/>
  <c r="J2306" i="1" s="1"/>
  <c r="G2306" i="1"/>
  <c r="H2305" i="1"/>
  <c r="I2305" i="1" s="1"/>
  <c r="J2305" i="1" s="1"/>
  <c r="G2305" i="1"/>
  <c r="I2304" i="1"/>
  <c r="J2304" i="1" s="1"/>
  <c r="G2304" i="1"/>
  <c r="H2303" i="1"/>
  <c r="I2303" i="1" s="1"/>
  <c r="J2303" i="1" s="1"/>
  <c r="G2303" i="1"/>
  <c r="H2302" i="1"/>
  <c r="I2302" i="1" s="1"/>
  <c r="J2302" i="1" s="1"/>
  <c r="G2302" i="1"/>
  <c r="H2301" i="1"/>
  <c r="I2301" i="1" s="1"/>
  <c r="J2301" i="1" s="1"/>
  <c r="G2301" i="1"/>
  <c r="H2300" i="1"/>
  <c r="I2300" i="1" s="1"/>
  <c r="J2300" i="1" s="1"/>
  <c r="G2300" i="1"/>
  <c r="J2299" i="1"/>
  <c r="I2299" i="1"/>
  <c r="H2299" i="1"/>
  <c r="G2299" i="1"/>
  <c r="H2298" i="1"/>
  <c r="I2298" i="1" s="1"/>
  <c r="J2298" i="1" s="1"/>
  <c r="G2298" i="1"/>
  <c r="J2297" i="1"/>
  <c r="H2297" i="1"/>
  <c r="I2297" i="1" s="1"/>
  <c r="G2297" i="1"/>
  <c r="J2296" i="1"/>
  <c r="I2296" i="1"/>
  <c r="G2296" i="1"/>
  <c r="I2295" i="1"/>
  <c r="J2295" i="1" s="1"/>
  <c r="G2295" i="1"/>
  <c r="H2294" i="1"/>
  <c r="I2294" i="1" s="1"/>
  <c r="J2294" i="1" s="1"/>
  <c r="G2294" i="1"/>
  <c r="H2293" i="1"/>
  <c r="I2293" i="1" s="1"/>
  <c r="J2293" i="1" s="1"/>
  <c r="G2293" i="1"/>
  <c r="H2292" i="1"/>
  <c r="I2292" i="1" s="1"/>
  <c r="J2292" i="1" s="1"/>
  <c r="G2292" i="1"/>
  <c r="I2291" i="1"/>
  <c r="J2291" i="1" s="1"/>
  <c r="H2291" i="1"/>
  <c r="G2291" i="1"/>
  <c r="I2290" i="1"/>
  <c r="J2290" i="1" s="1"/>
  <c r="G2290" i="1"/>
  <c r="H2289" i="1"/>
  <c r="I2289" i="1" s="1"/>
  <c r="J2289" i="1" s="1"/>
  <c r="G2289" i="1"/>
  <c r="I2288" i="1"/>
  <c r="J2288" i="1" s="1"/>
  <c r="G2288" i="1"/>
  <c r="H2287" i="1"/>
  <c r="I2287" i="1" s="1"/>
  <c r="J2287" i="1" s="1"/>
  <c r="G2287" i="1"/>
  <c r="J2286" i="1"/>
  <c r="I2286" i="1"/>
  <c r="G2286" i="1"/>
  <c r="I2285" i="1"/>
  <c r="J2285" i="1" s="1"/>
  <c r="G2285" i="1"/>
  <c r="H2284" i="1"/>
  <c r="I2284" i="1" s="1"/>
  <c r="J2284" i="1" s="1"/>
  <c r="G2284" i="1"/>
  <c r="H2283" i="1"/>
  <c r="I2283" i="1" s="1"/>
  <c r="J2283" i="1" s="1"/>
  <c r="G2283" i="1"/>
  <c r="I2282" i="1"/>
  <c r="J2282" i="1" s="1"/>
  <c r="G2282" i="1"/>
  <c r="H2281" i="1"/>
  <c r="I2281" i="1" s="1"/>
  <c r="J2281" i="1" s="1"/>
  <c r="G2281" i="1"/>
  <c r="I2280" i="1"/>
  <c r="J2280" i="1" s="1"/>
  <c r="H2280" i="1"/>
  <c r="G2280" i="1"/>
  <c r="H2279" i="1"/>
  <c r="I2279" i="1" s="1"/>
  <c r="J2279" i="1" s="1"/>
  <c r="G2279" i="1"/>
  <c r="I2278" i="1"/>
  <c r="J2278" i="1" s="1"/>
  <c r="G2278" i="1"/>
  <c r="J2277" i="1"/>
  <c r="I2277" i="1"/>
  <c r="G2277" i="1"/>
  <c r="J2276" i="1"/>
  <c r="I2276" i="1"/>
  <c r="G2276" i="1"/>
  <c r="I2275" i="1"/>
  <c r="J2275" i="1" s="1"/>
  <c r="G2275" i="1"/>
  <c r="H2274" i="1"/>
  <c r="I2274" i="1" s="1"/>
  <c r="J2274" i="1" s="1"/>
  <c r="G2274" i="1"/>
  <c r="I2273" i="1"/>
  <c r="J2273" i="1" s="1"/>
  <c r="G2273" i="1"/>
  <c r="J2272" i="1"/>
  <c r="I2272" i="1"/>
  <c r="G2272" i="1"/>
  <c r="I2271" i="1"/>
  <c r="J2271" i="1" s="1"/>
  <c r="G2271" i="1"/>
  <c r="J2270" i="1"/>
  <c r="I2270" i="1"/>
  <c r="G2270" i="1"/>
  <c r="I2269" i="1"/>
  <c r="J2269" i="1" s="1"/>
  <c r="G2269" i="1"/>
  <c r="J2268" i="1"/>
  <c r="I2268" i="1"/>
  <c r="G2268" i="1"/>
  <c r="I2267" i="1"/>
  <c r="J2267" i="1" s="1"/>
  <c r="H2267" i="1"/>
  <c r="G2267" i="1"/>
  <c r="I2266" i="1"/>
  <c r="J2266" i="1" s="1"/>
  <c r="H2266" i="1"/>
  <c r="G2266" i="1"/>
  <c r="I2265" i="1"/>
  <c r="J2265" i="1" s="1"/>
  <c r="G2265" i="1"/>
  <c r="J2264" i="1"/>
  <c r="I2264" i="1"/>
  <c r="G2264" i="1"/>
  <c r="I2263" i="1"/>
  <c r="J2263" i="1" s="1"/>
  <c r="G2263" i="1"/>
  <c r="J2262" i="1"/>
  <c r="I2262" i="1"/>
  <c r="G2262" i="1"/>
  <c r="I2261" i="1"/>
  <c r="J2261" i="1" s="1"/>
  <c r="H2261" i="1"/>
  <c r="G2261" i="1"/>
  <c r="I2260" i="1"/>
  <c r="J2260" i="1" s="1"/>
  <c r="G2260" i="1"/>
  <c r="I2259" i="1"/>
  <c r="J2259" i="1" s="1"/>
  <c r="H2259" i="1"/>
  <c r="G2259" i="1"/>
  <c r="J2258" i="1"/>
  <c r="I2258" i="1"/>
  <c r="H2258" i="1"/>
  <c r="G2258" i="1"/>
  <c r="J2257" i="1"/>
  <c r="I2257" i="1"/>
  <c r="G2257" i="1"/>
  <c r="I2256" i="1"/>
  <c r="J2256" i="1" s="1"/>
  <c r="G2256" i="1"/>
  <c r="J2255" i="1"/>
  <c r="H2255" i="1"/>
  <c r="I2255" i="1" s="1"/>
  <c r="G2255" i="1"/>
  <c r="J2254" i="1"/>
  <c r="I2254" i="1"/>
  <c r="G2254" i="1"/>
  <c r="I2253" i="1"/>
  <c r="J2253" i="1" s="1"/>
  <c r="G2253" i="1"/>
  <c r="I2252" i="1"/>
  <c r="J2252" i="1" s="1"/>
  <c r="G2252" i="1"/>
  <c r="I2251" i="1"/>
  <c r="J2251" i="1" s="1"/>
  <c r="G2251" i="1"/>
  <c r="J2250" i="1"/>
  <c r="I2250" i="1"/>
  <c r="G2250" i="1"/>
  <c r="I2249" i="1"/>
  <c r="J2249" i="1" s="1"/>
  <c r="G2249" i="1"/>
  <c r="I2248" i="1"/>
  <c r="J2248" i="1" s="1"/>
  <c r="G2248" i="1"/>
  <c r="I2247" i="1"/>
  <c r="J2247" i="1" s="1"/>
  <c r="G2247" i="1"/>
  <c r="J2246" i="1"/>
  <c r="I2246" i="1"/>
  <c r="G2246" i="1"/>
  <c r="I2245" i="1"/>
  <c r="J2245" i="1" s="1"/>
  <c r="G2245" i="1"/>
  <c r="J2244" i="1"/>
  <c r="I2244" i="1"/>
  <c r="G2244" i="1"/>
  <c r="I2243" i="1"/>
  <c r="J2243" i="1" s="1"/>
  <c r="H2243" i="1"/>
  <c r="G2243" i="1"/>
  <c r="I2242" i="1"/>
  <c r="J2242" i="1" s="1"/>
  <c r="H2242" i="1"/>
  <c r="G2242" i="1"/>
  <c r="H2241" i="1"/>
  <c r="I2241" i="1" s="1"/>
  <c r="J2241" i="1" s="1"/>
  <c r="G2241" i="1"/>
  <c r="I2240" i="1"/>
  <c r="J2240" i="1" s="1"/>
  <c r="G2240" i="1"/>
  <c r="H2239" i="1"/>
  <c r="I2239" i="1" s="1"/>
  <c r="J2239" i="1" s="1"/>
  <c r="G2239" i="1"/>
  <c r="J2238" i="1"/>
  <c r="I2238" i="1"/>
  <c r="G2238" i="1"/>
  <c r="J2237" i="1"/>
  <c r="I2237" i="1"/>
  <c r="G2237" i="1"/>
  <c r="J2236" i="1"/>
  <c r="I2236" i="1"/>
  <c r="G2236" i="1"/>
  <c r="I2235" i="1"/>
  <c r="J2235" i="1" s="1"/>
  <c r="G2235" i="1"/>
  <c r="J2234" i="1"/>
  <c r="I2234" i="1"/>
  <c r="G2234" i="1"/>
  <c r="I2233" i="1"/>
  <c r="J2233" i="1" s="1"/>
  <c r="G2233" i="1"/>
  <c r="I2232" i="1"/>
  <c r="J2232" i="1" s="1"/>
  <c r="G2232" i="1"/>
  <c r="I2231" i="1"/>
  <c r="J2231" i="1" s="1"/>
  <c r="G2231" i="1"/>
  <c r="J2230" i="1"/>
  <c r="I2230" i="1"/>
  <c r="G2230" i="1"/>
  <c r="I2229" i="1"/>
  <c r="J2229" i="1" s="1"/>
  <c r="G2229" i="1"/>
  <c r="I2228" i="1"/>
  <c r="J2228" i="1" s="1"/>
  <c r="G2228" i="1"/>
  <c r="I2227" i="1"/>
  <c r="J2227" i="1" s="1"/>
  <c r="G2227" i="1"/>
  <c r="J2226" i="1"/>
  <c r="I2226" i="1"/>
  <c r="G2226" i="1"/>
  <c r="I2225" i="1"/>
  <c r="J2225" i="1" s="1"/>
  <c r="G2225" i="1"/>
  <c r="J2224" i="1"/>
  <c r="H2224" i="1"/>
  <c r="I2224" i="1" s="1"/>
  <c r="G2224" i="1"/>
  <c r="I2223" i="1"/>
  <c r="J2223" i="1" s="1"/>
  <c r="G2223" i="1"/>
  <c r="H2222" i="1"/>
  <c r="I2222" i="1" s="1"/>
  <c r="J2222" i="1" s="1"/>
  <c r="G2222" i="1"/>
  <c r="I2221" i="1"/>
  <c r="J2221" i="1" s="1"/>
  <c r="G2221" i="1"/>
  <c r="H2220" i="1"/>
  <c r="I2220" i="1" s="1"/>
  <c r="J2220" i="1" s="1"/>
  <c r="G2220" i="1"/>
  <c r="J2219" i="1"/>
  <c r="I2219" i="1"/>
  <c r="G2219" i="1"/>
  <c r="I2218" i="1"/>
  <c r="J2218" i="1" s="1"/>
  <c r="G2218" i="1"/>
  <c r="I2217" i="1"/>
  <c r="J2217" i="1" s="1"/>
  <c r="G2217" i="1"/>
  <c r="I2216" i="1"/>
  <c r="J2216" i="1" s="1"/>
  <c r="G2216" i="1"/>
  <c r="J2215" i="1"/>
  <c r="I2215" i="1"/>
  <c r="G2215" i="1"/>
  <c r="J2214" i="1"/>
  <c r="I2214" i="1"/>
  <c r="G2214" i="1"/>
  <c r="J2213" i="1"/>
  <c r="I2213" i="1"/>
  <c r="G2213" i="1"/>
  <c r="I2212" i="1"/>
  <c r="J2212" i="1" s="1"/>
  <c r="G2212" i="1"/>
  <c r="J2211" i="1"/>
  <c r="I2211" i="1"/>
  <c r="G2211" i="1"/>
  <c r="J2210" i="1"/>
  <c r="I2210" i="1"/>
  <c r="G2210" i="1"/>
  <c r="I2209" i="1"/>
  <c r="J2209" i="1" s="1"/>
  <c r="G2209" i="1"/>
  <c r="I2208" i="1"/>
  <c r="J2208" i="1" s="1"/>
  <c r="G2208" i="1"/>
  <c r="J2207" i="1"/>
  <c r="I2207" i="1"/>
  <c r="G2207" i="1"/>
  <c r="J2206" i="1"/>
  <c r="I2206" i="1"/>
  <c r="G2206" i="1"/>
  <c r="I2205" i="1"/>
  <c r="J2205" i="1" s="1"/>
  <c r="G2205" i="1"/>
  <c r="I2204" i="1"/>
  <c r="J2204" i="1" s="1"/>
  <c r="G2204" i="1"/>
  <c r="J2203" i="1"/>
  <c r="I2203" i="1"/>
  <c r="G2203" i="1"/>
  <c r="I2202" i="1"/>
  <c r="J2202" i="1" s="1"/>
  <c r="G2202" i="1"/>
  <c r="J2201" i="1"/>
  <c r="I2201" i="1"/>
  <c r="G2201" i="1"/>
  <c r="I2200" i="1"/>
  <c r="J2200" i="1" s="1"/>
  <c r="G2200" i="1"/>
  <c r="H2199" i="1"/>
  <c r="I2199" i="1" s="1"/>
  <c r="J2199" i="1" s="1"/>
  <c r="G2199" i="1"/>
  <c r="J2198" i="1"/>
  <c r="I2198" i="1"/>
  <c r="G2198" i="1"/>
  <c r="J2197" i="1"/>
  <c r="I2197" i="1"/>
  <c r="G2197" i="1"/>
  <c r="I2196" i="1"/>
  <c r="J2196" i="1" s="1"/>
  <c r="G2196" i="1"/>
  <c r="I2195" i="1"/>
  <c r="J2195" i="1" s="1"/>
  <c r="G2195" i="1"/>
  <c r="J2194" i="1"/>
  <c r="I2194" i="1"/>
  <c r="G2194" i="1"/>
  <c r="I2193" i="1"/>
  <c r="J2193" i="1" s="1"/>
  <c r="G2193" i="1"/>
  <c r="I2192" i="1"/>
  <c r="J2192" i="1" s="1"/>
  <c r="G2192" i="1"/>
  <c r="H2191" i="1"/>
  <c r="I2191" i="1" s="1"/>
  <c r="J2191" i="1" s="1"/>
  <c r="G2191" i="1"/>
  <c r="I2190" i="1"/>
  <c r="J2190" i="1" s="1"/>
  <c r="G2190" i="1"/>
  <c r="H2189" i="1"/>
  <c r="I2189" i="1" s="1"/>
  <c r="J2189" i="1" s="1"/>
  <c r="G2189" i="1"/>
  <c r="H2188" i="1"/>
  <c r="I2188" i="1" s="1"/>
  <c r="J2188" i="1" s="1"/>
  <c r="G2188" i="1"/>
  <c r="J2187" i="1"/>
  <c r="I2187" i="1"/>
  <c r="G2187" i="1"/>
  <c r="I2186" i="1"/>
  <c r="J2186" i="1" s="1"/>
  <c r="G2186" i="1"/>
  <c r="I2185" i="1"/>
  <c r="J2185" i="1" s="1"/>
  <c r="G2185" i="1"/>
  <c r="I2184" i="1"/>
  <c r="J2184" i="1" s="1"/>
  <c r="G2184" i="1"/>
  <c r="J2183" i="1"/>
  <c r="I2183" i="1"/>
  <c r="G2183" i="1"/>
  <c r="I2182" i="1"/>
  <c r="J2182" i="1" s="1"/>
  <c r="G2182" i="1"/>
  <c r="I2181" i="1"/>
  <c r="J2181" i="1" s="1"/>
  <c r="G2181" i="1"/>
  <c r="I2180" i="1"/>
  <c r="J2180" i="1" s="1"/>
  <c r="G2180" i="1"/>
  <c r="H2179" i="1"/>
  <c r="I2179" i="1" s="1"/>
  <c r="J2179" i="1" s="1"/>
  <c r="G2179" i="1"/>
  <c r="J2178" i="1"/>
  <c r="I2178" i="1"/>
  <c r="G2178" i="1"/>
  <c r="I2177" i="1"/>
  <c r="J2177" i="1" s="1"/>
  <c r="H2177" i="1"/>
  <c r="G2177" i="1"/>
  <c r="I2176" i="1"/>
  <c r="J2176" i="1" s="1"/>
  <c r="G2176" i="1"/>
  <c r="I2175" i="1"/>
  <c r="J2175" i="1" s="1"/>
  <c r="G2175" i="1"/>
  <c r="H2174" i="1"/>
  <c r="I2174" i="1" s="1"/>
  <c r="J2174" i="1" s="1"/>
  <c r="G2174" i="1"/>
  <c r="I2173" i="1"/>
  <c r="J2173" i="1" s="1"/>
  <c r="G2173" i="1"/>
  <c r="J2172" i="1"/>
  <c r="I2172" i="1"/>
  <c r="G2172" i="1"/>
  <c r="I2171" i="1"/>
  <c r="J2171" i="1" s="1"/>
  <c r="G2171" i="1"/>
  <c r="I2170" i="1"/>
  <c r="J2170" i="1" s="1"/>
  <c r="G2170" i="1"/>
  <c r="I2169" i="1"/>
  <c r="J2169" i="1" s="1"/>
  <c r="G2169" i="1"/>
  <c r="J2168" i="1"/>
  <c r="I2168" i="1"/>
  <c r="G2168" i="1"/>
  <c r="I2167" i="1"/>
  <c r="J2167" i="1" s="1"/>
  <c r="G2167" i="1"/>
  <c r="I2166" i="1"/>
  <c r="J2166" i="1" s="1"/>
  <c r="G2166" i="1"/>
  <c r="I2165" i="1"/>
  <c r="J2165" i="1" s="1"/>
  <c r="G2165" i="1"/>
  <c r="J2164" i="1"/>
  <c r="I2164" i="1"/>
  <c r="G2164" i="1"/>
  <c r="J2163" i="1"/>
  <c r="I2163" i="1"/>
  <c r="G2163" i="1"/>
  <c r="I2162" i="1"/>
  <c r="J2162" i="1" s="1"/>
  <c r="G2162" i="1"/>
  <c r="I2161" i="1"/>
  <c r="J2161" i="1" s="1"/>
  <c r="G2161" i="1"/>
  <c r="J2160" i="1"/>
  <c r="I2160" i="1"/>
  <c r="G2160" i="1"/>
  <c r="I2159" i="1"/>
  <c r="J2159" i="1" s="1"/>
  <c r="G2159" i="1"/>
  <c r="H2158" i="1"/>
  <c r="I2158" i="1" s="1"/>
  <c r="J2158" i="1" s="1"/>
  <c r="G2158" i="1"/>
  <c r="I2157" i="1"/>
  <c r="J2157" i="1" s="1"/>
  <c r="G2157" i="1"/>
  <c r="I2156" i="1"/>
  <c r="J2156" i="1" s="1"/>
  <c r="G2156" i="1"/>
  <c r="J2155" i="1"/>
  <c r="I2155" i="1"/>
  <c r="H2155" i="1"/>
  <c r="G2155" i="1"/>
  <c r="J2154" i="1"/>
  <c r="I2154" i="1"/>
  <c r="G2154" i="1"/>
  <c r="I2153" i="1"/>
  <c r="J2153" i="1" s="1"/>
  <c r="G2153" i="1"/>
  <c r="J2152" i="1"/>
  <c r="G2152" i="1"/>
  <c r="J2151" i="1"/>
  <c r="I2151" i="1"/>
  <c r="G2151" i="1"/>
  <c r="I2150" i="1"/>
  <c r="J2150" i="1" s="1"/>
  <c r="G2150" i="1"/>
  <c r="I2149" i="1"/>
  <c r="J2149" i="1" s="1"/>
  <c r="G2149" i="1"/>
  <c r="I2148" i="1"/>
  <c r="J2148" i="1" s="1"/>
  <c r="G2148" i="1"/>
  <c r="J2147" i="1"/>
  <c r="I2147" i="1"/>
  <c r="G2147" i="1"/>
  <c r="I2146" i="1"/>
  <c r="J2146" i="1" s="1"/>
  <c r="G2146" i="1"/>
  <c r="I2145" i="1"/>
  <c r="J2145" i="1" s="1"/>
  <c r="G2145" i="1"/>
  <c r="I2144" i="1"/>
  <c r="J2144" i="1" s="1"/>
  <c r="G2144" i="1"/>
  <c r="J2143" i="1"/>
  <c r="I2143" i="1"/>
  <c r="G2143" i="1"/>
  <c r="I2142" i="1"/>
  <c r="J2142" i="1" s="1"/>
  <c r="G2142" i="1"/>
  <c r="H2141" i="1"/>
  <c r="I2141" i="1" s="1"/>
  <c r="J2141" i="1" s="1"/>
  <c r="G2141" i="1"/>
  <c r="I2140" i="1"/>
  <c r="J2140" i="1" s="1"/>
  <c r="G2140" i="1"/>
  <c r="I2139" i="1"/>
  <c r="J2139" i="1" s="1"/>
  <c r="G2139" i="1"/>
  <c r="J2138" i="1"/>
  <c r="I2138" i="1"/>
  <c r="G2138" i="1"/>
  <c r="J2137" i="1"/>
  <c r="I2137" i="1"/>
  <c r="G2137" i="1"/>
  <c r="J2136" i="1"/>
  <c r="I2136" i="1"/>
  <c r="G2136" i="1"/>
  <c r="I2135" i="1"/>
  <c r="J2135" i="1" s="1"/>
  <c r="G2135" i="1"/>
  <c r="J2134" i="1"/>
  <c r="H2134" i="1"/>
  <c r="I2134" i="1" s="1"/>
  <c r="G2134" i="1"/>
  <c r="J2133" i="1"/>
  <c r="I2133" i="1"/>
  <c r="G2133" i="1"/>
  <c r="I2132" i="1"/>
  <c r="J2132" i="1" s="1"/>
  <c r="G2132" i="1"/>
  <c r="I2131" i="1"/>
  <c r="J2131" i="1" s="1"/>
  <c r="G2131" i="1"/>
  <c r="I2130" i="1"/>
  <c r="J2130" i="1" s="1"/>
  <c r="G2130" i="1"/>
  <c r="J2129" i="1"/>
  <c r="I2129" i="1"/>
  <c r="G2129" i="1"/>
  <c r="J2128" i="1"/>
  <c r="I2128" i="1"/>
  <c r="G2128" i="1"/>
  <c r="I2127" i="1"/>
  <c r="J2127" i="1" s="1"/>
  <c r="G2127" i="1"/>
  <c r="I2126" i="1"/>
  <c r="J2126" i="1" s="1"/>
  <c r="G2126" i="1"/>
  <c r="J2125" i="1"/>
  <c r="I2125" i="1"/>
  <c r="G2125" i="1"/>
  <c r="I2124" i="1"/>
  <c r="J2124" i="1" s="1"/>
  <c r="G2124" i="1"/>
  <c r="I2123" i="1"/>
  <c r="J2123" i="1" s="1"/>
  <c r="G2123" i="1"/>
  <c r="I2122" i="1"/>
  <c r="J2122" i="1" s="1"/>
  <c r="G2122" i="1"/>
  <c r="J2121" i="1"/>
  <c r="I2121" i="1"/>
  <c r="G2121" i="1"/>
  <c r="J2120" i="1"/>
  <c r="I2120" i="1"/>
  <c r="G2120" i="1"/>
  <c r="I2119" i="1"/>
  <c r="J2119" i="1" s="1"/>
  <c r="G2119" i="1"/>
  <c r="I2118" i="1"/>
  <c r="J2118" i="1" s="1"/>
  <c r="G2118" i="1"/>
  <c r="J2117" i="1"/>
  <c r="I2117" i="1"/>
  <c r="G2117" i="1"/>
  <c r="I2116" i="1"/>
  <c r="J2116" i="1" s="1"/>
  <c r="G2116" i="1"/>
  <c r="I2115" i="1"/>
  <c r="J2115" i="1" s="1"/>
  <c r="G2115" i="1"/>
  <c r="I2114" i="1"/>
  <c r="J2114" i="1" s="1"/>
  <c r="G2114" i="1"/>
  <c r="H2113" i="1"/>
  <c r="I2113" i="1" s="1"/>
  <c r="J2113" i="1" s="1"/>
  <c r="G2113" i="1"/>
  <c r="J2112" i="1"/>
  <c r="I2112" i="1"/>
  <c r="G2112" i="1"/>
  <c r="I2111" i="1"/>
  <c r="J2111" i="1" s="1"/>
  <c r="G2111" i="1"/>
  <c r="I2110" i="1"/>
  <c r="J2110" i="1" s="1"/>
  <c r="G2110" i="1"/>
  <c r="I2109" i="1"/>
  <c r="J2109" i="1" s="1"/>
  <c r="G2109" i="1"/>
  <c r="J2108" i="1"/>
  <c r="I2108" i="1"/>
  <c r="G2108" i="1"/>
  <c r="I2107" i="1"/>
  <c r="J2107" i="1" s="1"/>
  <c r="G2107" i="1"/>
  <c r="I2106" i="1"/>
  <c r="J2106" i="1" s="1"/>
  <c r="G2106" i="1"/>
  <c r="I2105" i="1"/>
  <c r="J2105" i="1" s="1"/>
  <c r="G2105" i="1"/>
  <c r="J2104" i="1"/>
  <c r="I2104" i="1"/>
  <c r="G2104" i="1"/>
  <c r="I2103" i="1"/>
  <c r="J2103" i="1" s="1"/>
  <c r="G2103" i="1"/>
  <c r="I2102" i="1"/>
  <c r="J2102" i="1" s="1"/>
  <c r="G2102" i="1"/>
  <c r="J2101" i="1"/>
  <c r="I2101" i="1"/>
  <c r="G2101" i="1"/>
  <c r="J2100" i="1"/>
  <c r="I2100" i="1"/>
  <c r="G2100" i="1"/>
  <c r="I2099" i="1"/>
  <c r="J2099" i="1" s="1"/>
  <c r="G2099" i="1"/>
  <c r="I2098" i="1"/>
  <c r="J2098" i="1" s="1"/>
  <c r="G2098" i="1"/>
  <c r="I2097" i="1"/>
  <c r="J2097" i="1" s="1"/>
  <c r="G2097" i="1"/>
  <c r="J2096" i="1"/>
  <c r="I2096" i="1"/>
  <c r="G2096" i="1"/>
  <c r="I2095" i="1"/>
  <c r="J2095" i="1" s="1"/>
  <c r="G2095" i="1"/>
  <c r="I2094" i="1"/>
  <c r="J2094" i="1" s="1"/>
  <c r="G2094" i="1"/>
  <c r="I2093" i="1"/>
  <c r="J2093" i="1" s="1"/>
  <c r="H2093" i="1"/>
  <c r="G2093" i="1"/>
  <c r="J2092" i="1"/>
  <c r="I2092" i="1"/>
  <c r="G2092" i="1"/>
  <c r="I2091" i="1"/>
  <c r="J2091" i="1" s="1"/>
  <c r="H2091" i="1"/>
  <c r="G2091" i="1"/>
  <c r="I2090" i="1"/>
  <c r="J2090" i="1" s="1"/>
  <c r="G2090" i="1"/>
  <c r="I2089" i="1"/>
  <c r="J2089" i="1" s="1"/>
  <c r="G2089" i="1"/>
  <c r="H2088" i="1"/>
  <c r="I2088" i="1" s="1"/>
  <c r="J2088" i="1" s="1"/>
  <c r="G2088" i="1"/>
  <c r="H2087" i="1"/>
  <c r="I2087" i="1" s="1"/>
  <c r="J2087" i="1" s="1"/>
  <c r="G2087" i="1"/>
  <c r="J2086" i="1"/>
  <c r="I2086" i="1"/>
  <c r="G2086" i="1"/>
  <c r="J2085" i="1"/>
  <c r="I2085" i="1"/>
  <c r="G2085" i="1"/>
  <c r="I2084" i="1"/>
  <c r="J2084" i="1" s="1"/>
  <c r="G2084" i="1"/>
  <c r="H2083" i="1"/>
  <c r="I2083" i="1" s="1"/>
  <c r="J2083" i="1" s="1"/>
  <c r="G2083" i="1"/>
  <c r="I2082" i="1"/>
  <c r="J2082" i="1" s="1"/>
  <c r="G2082" i="1"/>
  <c r="H2081" i="1"/>
  <c r="I2081" i="1" s="1"/>
  <c r="J2081" i="1" s="1"/>
  <c r="G2081" i="1"/>
  <c r="I2080" i="1"/>
  <c r="J2080" i="1" s="1"/>
  <c r="G2080" i="1"/>
  <c r="I2079" i="1"/>
  <c r="J2079" i="1" s="1"/>
  <c r="H2079" i="1"/>
  <c r="G2079" i="1"/>
  <c r="J2078" i="1"/>
  <c r="I2078" i="1"/>
  <c r="H2078" i="1"/>
  <c r="G2078" i="1"/>
  <c r="H2077" i="1"/>
  <c r="I2077" i="1" s="1"/>
  <c r="J2077" i="1" s="1"/>
  <c r="G2077" i="1"/>
  <c r="I2076" i="1"/>
  <c r="J2076" i="1" s="1"/>
  <c r="H2076" i="1"/>
  <c r="G2076" i="1"/>
  <c r="J2075" i="1"/>
  <c r="I2075" i="1"/>
  <c r="G2075" i="1"/>
  <c r="I2074" i="1"/>
  <c r="J2074" i="1" s="1"/>
  <c r="G2074" i="1"/>
  <c r="H2073" i="1"/>
  <c r="I2073" i="1" s="1"/>
  <c r="J2073" i="1" s="1"/>
  <c r="G2073" i="1"/>
  <c r="I2072" i="1"/>
  <c r="J2072" i="1" s="1"/>
  <c r="G2072" i="1"/>
  <c r="J2071" i="1"/>
  <c r="I2071" i="1"/>
  <c r="G2071" i="1"/>
  <c r="J2070" i="1"/>
  <c r="I2070" i="1"/>
  <c r="G2070" i="1"/>
  <c r="I2069" i="1"/>
  <c r="J2069" i="1" s="1"/>
  <c r="G2069" i="1"/>
  <c r="I2068" i="1"/>
  <c r="J2068" i="1" s="1"/>
  <c r="G2068" i="1"/>
  <c r="J2067" i="1"/>
  <c r="I2067" i="1"/>
  <c r="G2067" i="1"/>
  <c r="J2066" i="1"/>
  <c r="I2066" i="1"/>
  <c r="G2066" i="1"/>
  <c r="I2065" i="1"/>
  <c r="J2065" i="1" s="1"/>
  <c r="G2065" i="1"/>
  <c r="I2064" i="1"/>
  <c r="J2064" i="1" s="1"/>
  <c r="G2064" i="1"/>
  <c r="J2063" i="1"/>
  <c r="I2063" i="1"/>
  <c r="G2063" i="1"/>
  <c r="J2062" i="1"/>
  <c r="I2062" i="1"/>
  <c r="G2062" i="1"/>
  <c r="I2061" i="1"/>
  <c r="J2061" i="1" s="1"/>
  <c r="G2061" i="1"/>
  <c r="I2060" i="1"/>
  <c r="J2060" i="1" s="1"/>
  <c r="H2060" i="1"/>
  <c r="G2060" i="1"/>
  <c r="H2059" i="1"/>
  <c r="I2059" i="1" s="1"/>
  <c r="J2059" i="1" s="1"/>
  <c r="G2059" i="1"/>
  <c r="I2058" i="1"/>
  <c r="J2058" i="1" s="1"/>
  <c r="G2058" i="1"/>
  <c r="J2057" i="1"/>
  <c r="F2057" i="1"/>
  <c r="I2057" i="1" s="1"/>
  <c r="J2056" i="1"/>
  <c r="I2056" i="1"/>
  <c r="G2056" i="1"/>
  <c r="H2055" i="1"/>
  <c r="I2055" i="1" s="1"/>
  <c r="J2055" i="1" s="1"/>
  <c r="G2055" i="1"/>
  <c r="I2054" i="1"/>
  <c r="J2054" i="1" s="1"/>
  <c r="H2054" i="1"/>
  <c r="G2054" i="1"/>
  <c r="J2053" i="1"/>
  <c r="I2053" i="1"/>
  <c r="H2053" i="1"/>
  <c r="G2053" i="1"/>
  <c r="J2052" i="1"/>
  <c r="I2052" i="1"/>
  <c r="G2052" i="1"/>
  <c r="I2051" i="1"/>
  <c r="J2051" i="1" s="1"/>
  <c r="G2051" i="1"/>
  <c r="I2050" i="1"/>
  <c r="J2050" i="1" s="1"/>
  <c r="G2050" i="1"/>
  <c r="J2049" i="1"/>
  <c r="I2049" i="1"/>
  <c r="G2049" i="1"/>
  <c r="J2048" i="1"/>
  <c r="I2048" i="1"/>
  <c r="G2048" i="1"/>
  <c r="I2047" i="1"/>
  <c r="J2047" i="1" s="1"/>
  <c r="G2047" i="1"/>
  <c r="I2046" i="1"/>
  <c r="J2046" i="1" s="1"/>
  <c r="G2046" i="1"/>
  <c r="J2045" i="1"/>
  <c r="I2045" i="1"/>
  <c r="G2045" i="1"/>
  <c r="J2044" i="1"/>
  <c r="I2044" i="1"/>
  <c r="G2044" i="1"/>
  <c r="I2043" i="1"/>
  <c r="J2043" i="1" s="1"/>
  <c r="G2043" i="1"/>
  <c r="I2042" i="1"/>
  <c r="J2042" i="1" s="1"/>
  <c r="G2042" i="1"/>
  <c r="J2041" i="1"/>
  <c r="I2041" i="1"/>
  <c r="G2041" i="1"/>
  <c r="J2040" i="1"/>
  <c r="I2040" i="1"/>
  <c r="G2040" i="1"/>
  <c r="H2039" i="1"/>
  <c r="I2039" i="1" s="1"/>
  <c r="J2039" i="1" s="1"/>
  <c r="G2039" i="1"/>
  <c r="I2038" i="1"/>
  <c r="J2038" i="1" s="1"/>
  <c r="G2038" i="1"/>
  <c r="I2037" i="1"/>
  <c r="J2037" i="1" s="1"/>
  <c r="G2037" i="1"/>
  <c r="I2036" i="1"/>
  <c r="J2036" i="1" s="1"/>
  <c r="G2036" i="1"/>
  <c r="I2035" i="1"/>
  <c r="J2035" i="1" s="1"/>
  <c r="G2035" i="1"/>
  <c r="I2034" i="1"/>
  <c r="J2034" i="1" s="1"/>
  <c r="H2034" i="1"/>
  <c r="G2034" i="1"/>
  <c r="I2033" i="1"/>
  <c r="J2033" i="1" s="1"/>
  <c r="H2033" i="1"/>
  <c r="G2033" i="1"/>
  <c r="I2032" i="1"/>
  <c r="J2032" i="1" s="1"/>
  <c r="G2032" i="1"/>
  <c r="I2031" i="1"/>
  <c r="J2031" i="1" s="1"/>
  <c r="G2031" i="1"/>
  <c r="J2030" i="1"/>
  <c r="I2030" i="1"/>
  <c r="G2030" i="1"/>
  <c r="J2029" i="1"/>
  <c r="I2029" i="1"/>
  <c r="G2029" i="1"/>
  <c r="H2028" i="1"/>
  <c r="I2028" i="1" s="1"/>
  <c r="J2028" i="1" s="1"/>
  <c r="G2028" i="1"/>
  <c r="I2027" i="1"/>
  <c r="J2027" i="1" s="1"/>
  <c r="H2027" i="1"/>
  <c r="G2027" i="1"/>
  <c r="I2026" i="1"/>
  <c r="J2026" i="1" s="1"/>
  <c r="G2026" i="1"/>
  <c r="I2025" i="1"/>
  <c r="J2025" i="1" s="1"/>
  <c r="G2025" i="1"/>
  <c r="J2024" i="1"/>
  <c r="I2024" i="1"/>
  <c r="G2024" i="1"/>
  <c r="J2023" i="1"/>
  <c r="I2023" i="1"/>
  <c r="G2023" i="1"/>
  <c r="I2022" i="1"/>
  <c r="J2022" i="1" s="1"/>
  <c r="H2022" i="1"/>
  <c r="G2022" i="1"/>
  <c r="I2021" i="1"/>
  <c r="J2021" i="1" s="1"/>
  <c r="G2021" i="1"/>
  <c r="I2020" i="1"/>
  <c r="J2020" i="1" s="1"/>
  <c r="G2020" i="1"/>
  <c r="J2019" i="1"/>
  <c r="I2019" i="1"/>
  <c r="G2019" i="1"/>
  <c r="H2018" i="1"/>
  <c r="I2018" i="1" s="1"/>
  <c r="J2018" i="1" s="1"/>
  <c r="G2018" i="1"/>
  <c r="I2017" i="1"/>
  <c r="J2017" i="1" s="1"/>
  <c r="G2017" i="1"/>
  <c r="I2016" i="1"/>
  <c r="J2016" i="1" s="1"/>
  <c r="G2016" i="1"/>
  <c r="I2015" i="1"/>
  <c r="J2015" i="1" s="1"/>
  <c r="G2015" i="1"/>
  <c r="H2014" i="1"/>
  <c r="I2014" i="1" s="1"/>
  <c r="J2014" i="1" s="1"/>
  <c r="G2014" i="1"/>
  <c r="J2013" i="1"/>
  <c r="I2013" i="1"/>
  <c r="G2013" i="1"/>
  <c r="J2012" i="1"/>
  <c r="I2012" i="1"/>
  <c r="G2012" i="1"/>
  <c r="I2011" i="1"/>
  <c r="J2011" i="1" s="1"/>
  <c r="H2011" i="1"/>
  <c r="G2011" i="1"/>
  <c r="H2010" i="1"/>
  <c r="I2010" i="1" s="1"/>
  <c r="J2010" i="1" s="1"/>
  <c r="G2010" i="1"/>
  <c r="J2009" i="1"/>
  <c r="I2009" i="1"/>
  <c r="H2009" i="1"/>
  <c r="G2009" i="1"/>
  <c r="I2008" i="1"/>
  <c r="J2008" i="1" s="1"/>
  <c r="G2008" i="1"/>
  <c r="I2007" i="1"/>
  <c r="J2007" i="1" s="1"/>
  <c r="G2007" i="1"/>
  <c r="J2006" i="1"/>
  <c r="I2006" i="1"/>
  <c r="G2006" i="1"/>
  <c r="J2005" i="1"/>
  <c r="I2005" i="1"/>
  <c r="G2005" i="1"/>
  <c r="I2004" i="1"/>
  <c r="J2004" i="1" s="1"/>
  <c r="G2004" i="1"/>
  <c r="H2003" i="1"/>
  <c r="I2003" i="1" s="1"/>
  <c r="J2003" i="1" s="1"/>
  <c r="G2003" i="1"/>
  <c r="I2002" i="1"/>
  <c r="J2002" i="1" s="1"/>
  <c r="G2002" i="1"/>
  <c r="J2001" i="1"/>
  <c r="I2001" i="1"/>
  <c r="G2001" i="1"/>
  <c r="J2000" i="1"/>
  <c r="I2000" i="1"/>
  <c r="G2000" i="1"/>
  <c r="I1999" i="1"/>
  <c r="J1999" i="1" s="1"/>
  <c r="G1999" i="1"/>
  <c r="I1998" i="1"/>
  <c r="J1998" i="1" s="1"/>
  <c r="G1998" i="1"/>
  <c r="J1997" i="1"/>
  <c r="I1997" i="1"/>
  <c r="G1997" i="1"/>
  <c r="J1996" i="1"/>
  <c r="I1996" i="1"/>
  <c r="G1996" i="1"/>
  <c r="I1995" i="1"/>
  <c r="J1995" i="1" s="1"/>
  <c r="G1995" i="1"/>
  <c r="I1994" i="1"/>
  <c r="J1994" i="1" s="1"/>
  <c r="G1994" i="1"/>
  <c r="J1993" i="1"/>
  <c r="I1993" i="1"/>
  <c r="G1993" i="1"/>
  <c r="H1992" i="1"/>
  <c r="I1992" i="1" s="1"/>
  <c r="J1992" i="1" s="1"/>
  <c r="G1992" i="1"/>
  <c r="I1991" i="1"/>
  <c r="J1991" i="1" s="1"/>
  <c r="G1991" i="1"/>
  <c r="I1990" i="1"/>
  <c r="J1990" i="1" s="1"/>
  <c r="G1990" i="1"/>
  <c r="I1989" i="1"/>
  <c r="J1989" i="1" s="1"/>
  <c r="G1989" i="1"/>
  <c r="I1988" i="1"/>
  <c r="J1988" i="1" s="1"/>
  <c r="G1988" i="1"/>
  <c r="I1987" i="1"/>
  <c r="J1987" i="1" s="1"/>
  <c r="G1987" i="1"/>
  <c r="J1986" i="1"/>
  <c r="I1986" i="1"/>
  <c r="H1986" i="1"/>
  <c r="G1986" i="1"/>
  <c r="I1985" i="1"/>
  <c r="J1985" i="1" s="1"/>
  <c r="G1985" i="1"/>
  <c r="I1984" i="1"/>
  <c r="J1984" i="1" s="1"/>
  <c r="G1984" i="1"/>
  <c r="J1983" i="1"/>
  <c r="I1983" i="1"/>
  <c r="G1983" i="1"/>
  <c r="J1982" i="1"/>
  <c r="I1982" i="1"/>
  <c r="G1982" i="1"/>
  <c r="I1981" i="1"/>
  <c r="J1981" i="1" s="1"/>
  <c r="I1980" i="1"/>
  <c r="J1980" i="1" s="1"/>
  <c r="G1980" i="1"/>
  <c r="I1979" i="1"/>
  <c r="J1979" i="1" s="1"/>
  <c r="H1979" i="1"/>
  <c r="G1979" i="1"/>
  <c r="J1978" i="1"/>
  <c r="I1978" i="1"/>
  <c r="G1978" i="1"/>
  <c r="I1977" i="1"/>
  <c r="J1977" i="1" s="1"/>
  <c r="G1977" i="1"/>
  <c r="H1976" i="1"/>
  <c r="I1976" i="1" s="1"/>
  <c r="J1976" i="1" s="1"/>
  <c r="G1976" i="1"/>
  <c r="I1975" i="1"/>
  <c r="J1975" i="1" s="1"/>
  <c r="G1975" i="1"/>
  <c r="J1974" i="1"/>
  <c r="I1974" i="1"/>
  <c r="G1974" i="1"/>
  <c r="J1973" i="1"/>
  <c r="I1973" i="1"/>
  <c r="G1973" i="1"/>
  <c r="H1972" i="1"/>
  <c r="I1972" i="1" s="1"/>
  <c r="J1972" i="1" s="1"/>
  <c r="G1972" i="1"/>
  <c r="I1971" i="1"/>
  <c r="J1971" i="1" s="1"/>
  <c r="H1971" i="1"/>
  <c r="G1971" i="1"/>
  <c r="I1970" i="1"/>
  <c r="J1970" i="1" s="1"/>
  <c r="H1970" i="1"/>
  <c r="G1970" i="1"/>
  <c r="H1969" i="1"/>
  <c r="I1969" i="1" s="1"/>
  <c r="J1969" i="1" s="1"/>
  <c r="G1969" i="1"/>
  <c r="I1968" i="1"/>
  <c r="J1968" i="1" s="1"/>
  <c r="G1968" i="1"/>
  <c r="I1967" i="1"/>
  <c r="J1967" i="1" s="1"/>
  <c r="G1967" i="1"/>
  <c r="I1966" i="1"/>
  <c r="J1966" i="1" s="1"/>
  <c r="G1966" i="1"/>
  <c r="I1965" i="1"/>
  <c r="J1965" i="1" s="1"/>
  <c r="G1965" i="1"/>
  <c r="I1964" i="1"/>
  <c r="J1964" i="1" s="1"/>
  <c r="G1964" i="1"/>
  <c r="I1963" i="1"/>
  <c r="J1963" i="1" s="1"/>
  <c r="G1963" i="1"/>
  <c r="I1962" i="1"/>
  <c r="J1962" i="1" s="1"/>
  <c r="G1962" i="1"/>
  <c r="I1961" i="1"/>
  <c r="J1961" i="1" s="1"/>
  <c r="G1961" i="1"/>
  <c r="J1960" i="1"/>
  <c r="I1960" i="1"/>
  <c r="H1960" i="1"/>
  <c r="G1960" i="1"/>
  <c r="I1959" i="1"/>
  <c r="J1959" i="1" s="1"/>
  <c r="G1959" i="1"/>
  <c r="I1958" i="1"/>
  <c r="J1958" i="1" s="1"/>
  <c r="G1958" i="1"/>
  <c r="J1957" i="1"/>
  <c r="I1957" i="1"/>
  <c r="G1957" i="1"/>
  <c r="J1956" i="1"/>
  <c r="I1956" i="1"/>
  <c r="G1956" i="1"/>
  <c r="I1955" i="1"/>
  <c r="J1955" i="1" s="1"/>
  <c r="G1955" i="1"/>
  <c r="I1954" i="1"/>
  <c r="J1954" i="1" s="1"/>
  <c r="H1954" i="1"/>
  <c r="G1954" i="1"/>
  <c r="I1953" i="1"/>
  <c r="J1953" i="1" s="1"/>
  <c r="G1953" i="1"/>
  <c r="J1952" i="1"/>
  <c r="I1952" i="1"/>
  <c r="G1952" i="1"/>
  <c r="H1951" i="1"/>
  <c r="I1951" i="1" s="1"/>
  <c r="J1951" i="1" s="1"/>
  <c r="G1951" i="1"/>
  <c r="I1950" i="1"/>
  <c r="J1950" i="1" s="1"/>
  <c r="G1950" i="1"/>
  <c r="I1949" i="1"/>
  <c r="J1949" i="1" s="1"/>
  <c r="G1949" i="1"/>
  <c r="H1948" i="1"/>
  <c r="I1948" i="1" s="1"/>
  <c r="J1948" i="1" s="1"/>
  <c r="G1948" i="1"/>
  <c r="I1947" i="1"/>
  <c r="J1947" i="1" s="1"/>
  <c r="G1947" i="1"/>
  <c r="J1946" i="1"/>
  <c r="I1946" i="1"/>
  <c r="G1946" i="1"/>
  <c r="J1945" i="1"/>
  <c r="I1945" i="1"/>
  <c r="G1945" i="1"/>
  <c r="I1944" i="1"/>
  <c r="J1944" i="1" s="1"/>
  <c r="G1944" i="1"/>
  <c r="I1943" i="1"/>
  <c r="J1943" i="1" s="1"/>
  <c r="G1943" i="1"/>
  <c r="J1942" i="1"/>
  <c r="I1942" i="1"/>
  <c r="G1942" i="1"/>
  <c r="J1941" i="1"/>
  <c r="I1941" i="1"/>
  <c r="G1941" i="1"/>
  <c r="I1940" i="1"/>
  <c r="J1940" i="1" s="1"/>
  <c r="G1940" i="1"/>
  <c r="H1939" i="1"/>
  <c r="I1939" i="1" s="1"/>
  <c r="J1939" i="1" s="1"/>
  <c r="G1939" i="1"/>
  <c r="I1938" i="1"/>
  <c r="J1938" i="1" s="1"/>
  <c r="G1938" i="1"/>
  <c r="J1937" i="1"/>
  <c r="I1937" i="1"/>
  <c r="G1937" i="1"/>
  <c r="J1936" i="1"/>
  <c r="I1936" i="1"/>
  <c r="G1936" i="1"/>
  <c r="I1935" i="1"/>
  <c r="J1935" i="1" s="1"/>
  <c r="G1935" i="1"/>
  <c r="I1934" i="1"/>
  <c r="J1934" i="1" s="1"/>
  <c r="G1934" i="1"/>
  <c r="J1933" i="1"/>
  <c r="I1933" i="1"/>
  <c r="G1933" i="1"/>
  <c r="J1932" i="1"/>
  <c r="I1932" i="1"/>
  <c r="G1932" i="1"/>
  <c r="I1931" i="1"/>
  <c r="J1931" i="1" s="1"/>
  <c r="G1931" i="1"/>
  <c r="I1930" i="1"/>
  <c r="J1930" i="1" s="1"/>
  <c r="G1930" i="1"/>
  <c r="J1929" i="1"/>
  <c r="I1929" i="1"/>
  <c r="G1929" i="1"/>
  <c r="J1928" i="1"/>
  <c r="I1928" i="1"/>
  <c r="G1928" i="1"/>
  <c r="I1927" i="1"/>
  <c r="J1927" i="1" s="1"/>
  <c r="G1927" i="1"/>
  <c r="I1926" i="1"/>
  <c r="J1926" i="1" s="1"/>
  <c r="G1926" i="1"/>
  <c r="J1925" i="1"/>
  <c r="I1925" i="1"/>
  <c r="G1925" i="1"/>
  <c r="J1924" i="1"/>
  <c r="I1924" i="1"/>
  <c r="G1924" i="1"/>
  <c r="I1923" i="1"/>
  <c r="J1923" i="1" s="1"/>
  <c r="G1923" i="1"/>
  <c r="I1922" i="1"/>
  <c r="J1922" i="1" s="1"/>
  <c r="G1922" i="1"/>
  <c r="J1921" i="1"/>
  <c r="I1921" i="1"/>
  <c r="G1921" i="1"/>
  <c r="H1920" i="1"/>
  <c r="I1920" i="1" s="1"/>
  <c r="J1920" i="1" s="1"/>
  <c r="G1920" i="1"/>
  <c r="I1919" i="1"/>
  <c r="J1919" i="1" s="1"/>
  <c r="G1919" i="1"/>
  <c r="J1918" i="1"/>
  <c r="I1918" i="1"/>
  <c r="H1918" i="1"/>
  <c r="G1918" i="1"/>
  <c r="I1917" i="1"/>
  <c r="J1917" i="1" s="1"/>
  <c r="G1917" i="1"/>
  <c r="I1916" i="1"/>
  <c r="J1916" i="1" s="1"/>
  <c r="G1916" i="1"/>
  <c r="J1915" i="1"/>
  <c r="I1915" i="1"/>
  <c r="G1915" i="1"/>
  <c r="J1914" i="1"/>
  <c r="I1914" i="1"/>
  <c r="G1914" i="1"/>
  <c r="I1913" i="1"/>
  <c r="J1913" i="1" s="1"/>
  <c r="G1913" i="1"/>
  <c r="I1912" i="1"/>
  <c r="J1912" i="1" s="1"/>
  <c r="G1912" i="1"/>
  <c r="H1911" i="1"/>
  <c r="I1911" i="1" s="1"/>
  <c r="J1911" i="1" s="1"/>
  <c r="G1911" i="1"/>
  <c r="H1910" i="1"/>
  <c r="I1910" i="1" s="1"/>
  <c r="J1910" i="1" s="1"/>
  <c r="G1910" i="1"/>
  <c r="H1909" i="1"/>
  <c r="I1909" i="1" s="1"/>
  <c r="J1909" i="1" s="1"/>
  <c r="G1909" i="1"/>
  <c r="H1908" i="1"/>
  <c r="I1908" i="1" s="1"/>
  <c r="J1908" i="1" s="1"/>
  <c r="G1908" i="1"/>
  <c r="H1907" i="1"/>
  <c r="I1907" i="1" s="1"/>
  <c r="J1907" i="1" s="1"/>
  <c r="G1907" i="1"/>
  <c r="I1906" i="1"/>
  <c r="J1906" i="1" s="1"/>
  <c r="G1906" i="1"/>
  <c r="I1905" i="1"/>
  <c r="J1905" i="1" s="1"/>
  <c r="H1905" i="1"/>
  <c r="G1905" i="1"/>
  <c r="J1904" i="1"/>
  <c r="I1904" i="1"/>
  <c r="H1904" i="1"/>
  <c r="G1904" i="1"/>
  <c r="J1903" i="1"/>
  <c r="I1903" i="1"/>
  <c r="G1903" i="1"/>
  <c r="I1902" i="1"/>
  <c r="J1902" i="1" s="1"/>
  <c r="G1902" i="1"/>
  <c r="I1901" i="1"/>
  <c r="J1901" i="1" s="1"/>
  <c r="G1901" i="1"/>
  <c r="J1900" i="1"/>
  <c r="I1900" i="1"/>
  <c r="G1900" i="1"/>
  <c r="J1899" i="1"/>
  <c r="I1899" i="1"/>
  <c r="G1899" i="1"/>
  <c r="H1898" i="1"/>
  <c r="I1898" i="1" s="1"/>
  <c r="J1898" i="1" s="1"/>
  <c r="G1898" i="1"/>
  <c r="I1897" i="1"/>
  <c r="J1897" i="1" s="1"/>
  <c r="G1897" i="1"/>
  <c r="H1896" i="1"/>
  <c r="I1896" i="1" s="1"/>
  <c r="J1896" i="1" s="1"/>
  <c r="G1896" i="1"/>
  <c r="I1895" i="1"/>
  <c r="J1895" i="1" s="1"/>
  <c r="G1895" i="1"/>
  <c r="H1894" i="1"/>
  <c r="I1894" i="1" s="1"/>
  <c r="J1894" i="1" s="1"/>
  <c r="G1894" i="1"/>
  <c r="H1893" i="1"/>
  <c r="I1893" i="1" s="1"/>
  <c r="J1893" i="1" s="1"/>
  <c r="G1893" i="1"/>
  <c r="H1892" i="1"/>
  <c r="I1892" i="1" s="1"/>
  <c r="J1892" i="1" s="1"/>
  <c r="G1892" i="1"/>
  <c r="J1891" i="1"/>
  <c r="I1891" i="1"/>
  <c r="G1891" i="1"/>
  <c r="J1890" i="1"/>
  <c r="I1890" i="1"/>
  <c r="G1890" i="1"/>
  <c r="I1889" i="1"/>
  <c r="J1889" i="1" s="1"/>
  <c r="G1889" i="1"/>
  <c r="I1888" i="1"/>
  <c r="J1888" i="1" s="1"/>
  <c r="G1888" i="1"/>
  <c r="J1887" i="1"/>
  <c r="I1887" i="1"/>
  <c r="G1887" i="1"/>
  <c r="J1886" i="1"/>
  <c r="I1886" i="1"/>
  <c r="G1886" i="1"/>
  <c r="I1885" i="1"/>
  <c r="J1885" i="1" s="1"/>
  <c r="G1885" i="1"/>
  <c r="I1884" i="1"/>
  <c r="J1884" i="1" s="1"/>
  <c r="G1884" i="1"/>
  <c r="J1883" i="1"/>
  <c r="I1883" i="1"/>
  <c r="G1883" i="1"/>
  <c r="J1882" i="1"/>
  <c r="I1882" i="1"/>
  <c r="H1882" i="1"/>
  <c r="G1882" i="1"/>
  <c r="J1881" i="1"/>
  <c r="I1881" i="1"/>
  <c r="H1881" i="1"/>
  <c r="G1881" i="1"/>
  <c r="I1880" i="1"/>
  <c r="J1880" i="1" s="1"/>
  <c r="G1880" i="1"/>
  <c r="I1879" i="1"/>
  <c r="J1879" i="1" s="1"/>
  <c r="H1879" i="1"/>
  <c r="G1879" i="1"/>
  <c r="I1878" i="1"/>
  <c r="J1878" i="1" s="1"/>
  <c r="G1878" i="1"/>
  <c r="I1877" i="1"/>
  <c r="J1877" i="1" s="1"/>
  <c r="G1877" i="1"/>
  <c r="J1876" i="1"/>
  <c r="I1876" i="1"/>
  <c r="G1876" i="1"/>
  <c r="J1875" i="1"/>
  <c r="I1875" i="1"/>
  <c r="G1875" i="1"/>
  <c r="I1874" i="1"/>
  <c r="J1874" i="1" s="1"/>
  <c r="G1874" i="1"/>
  <c r="I1873" i="1"/>
  <c r="J1873" i="1" s="1"/>
  <c r="G1873" i="1"/>
  <c r="J1872" i="1"/>
  <c r="I1872" i="1"/>
  <c r="G1872" i="1"/>
  <c r="J1871" i="1"/>
  <c r="I1871" i="1"/>
  <c r="G1871" i="1"/>
  <c r="I1870" i="1"/>
  <c r="J1870" i="1" s="1"/>
  <c r="G1870" i="1"/>
  <c r="I1869" i="1"/>
  <c r="J1869" i="1" s="1"/>
  <c r="G1869" i="1"/>
  <c r="J1868" i="1"/>
  <c r="I1868" i="1"/>
  <c r="G1868" i="1"/>
  <c r="J1867" i="1"/>
  <c r="I1867" i="1"/>
  <c r="G1867" i="1"/>
  <c r="I1866" i="1"/>
  <c r="J1866" i="1" s="1"/>
  <c r="G1866" i="1"/>
  <c r="I1865" i="1"/>
  <c r="J1865" i="1" s="1"/>
  <c r="G1865" i="1"/>
  <c r="J1864" i="1"/>
  <c r="I1864" i="1"/>
  <c r="G1864" i="1"/>
  <c r="J1863" i="1"/>
  <c r="I1863" i="1"/>
  <c r="G1863" i="1"/>
  <c r="I1862" i="1"/>
  <c r="J1862" i="1" s="1"/>
  <c r="G1862" i="1"/>
  <c r="I1861" i="1"/>
  <c r="J1861" i="1" s="1"/>
  <c r="G1861" i="1"/>
  <c r="J1860" i="1"/>
  <c r="I1860" i="1"/>
  <c r="G1860" i="1"/>
  <c r="H1859" i="1"/>
  <c r="I1859" i="1" s="1"/>
  <c r="J1859" i="1" s="1"/>
  <c r="G1859" i="1"/>
  <c r="J1858" i="1"/>
  <c r="I1858" i="1"/>
  <c r="G1858" i="1"/>
  <c r="I1857" i="1"/>
  <c r="J1857" i="1" s="1"/>
  <c r="G1857" i="1"/>
  <c r="I1856" i="1"/>
  <c r="J1856" i="1" s="1"/>
  <c r="G1856" i="1"/>
  <c r="I1855" i="1"/>
  <c r="J1855" i="1" s="1"/>
  <c r="G1855" i="1"/>
  <c r="J1854" i="1"/>
  <c r="I1854" i="1"/>
  <c r="G1854" i="1"/>
  <c r="I1853" i="1"/>
  <c r="J1853" i="1" s="1"/>
  <c r="G1853" i="1"/>
  <c r="I1852" i="1"/>
  <c r="J1852" i="1" s="1"/>
  <c r="G1852" i="1"/>
  <c r="I1851" i="1"/>
  <c r="J1851" i="1" s="1"/>
  <c r="G1851" i="1"/>
  <c r="J1850" i="1"/>
  <c r="I1850" i="1"/>
  <c r="G1850" i="1"/>
  <c r="I1849" i="1"/>
  <c r="J1849" i="1" s="1"/>
  <c r="G1849" i="1"/>
  <c r="I1848" i="1"/>
  <c r="J1848" i="1" s="1"/>
  <c r="G1848" i="1"/>
  <c r="I1847" i="1"/>
  <c r="J1847" i="1" s="1"/>
  <c r="G1847" i="1"/>
  <c r="J1846" i="1"/>
  <c r="I1846" i="1"/>
  <c r="G1846" i="1"/>
  <c r="I1845" i="1"/>
  <c r="J1845" i="1" s="1"/>
  <c r="G1845" i="1"/>
  <c r="I1844" i="1"/>
  <c r="J1844" i="1" s="1"/>
  <c r="G1844" i="1"/>
  <c r="H1843" i="1"/>
  <c r="I1843" i="1" s="1"/>
  <c r="J1843" i="1" s="1"/>
  <c r="G1843" i="1"/>
  <c r="H1842" i="1"/>
  <c r="I1842" i="1" s="1"/>
  <c r="J1842" i="1" s="1"/>
  <c r="G1842" i="1"/>
  <c r="J1841" i="1"/>
  <c r="I1841" i="1"/>
  <c r="G1841" i="1"/>
  <c r="J1840" i="1"/>
  <c r="I1840" i="1"/>
  <c r="G1840" i="1"/>
  <c r="I1839" i="1"/>
  <c r="J1839" i="1" s="1"/>
  <c r="H1839" i="1"/>
  <c r="G1839" i="1"/>
  <c r="I1838" i="1"/>
  <c r="J1838" i="1" s="1"/>
  <c r="G1838" i="1"/>
  <c r="I1837" i="1"/>
  <c r="J1837" i="1" s="1"/>
  <c r="G1837" i="1"/>
  <c r="H1836" i="1"/>
  <c r="I1836" i="1" s="1"/>
  <c r="J1836" i="1" s="1"/>
  <c r="G1836" i="1"/>
  <c r="H1835" i="1"/>
  <c r="I1835" i="1" s="1"/>
  <c r="J1835" i="1" s="1"/>
  <c r="G1835" i="1"/>
  <c r="H1834" i="1"/>
  <c r="I1834" i="1" s="1"/>
  <c r="J1834" i="1" s="1"/>
  <c r="G1834" i="1"/>
  <c r="I1833" i="1"/>
  <c r="J1833" i="1" s="1"/>
  <c r="G1833" i="1"/>
  <c r="J1832" i="1"/>
  <c r="I1832" i="1"/>
  <c r="G1832" i="1"/>
  <c r="H1831" i="1"/>
  <c r="I1831" i="1" s="1"/>
  <c r="J1831" i="1" s="1"/>
  <c r="G1831" i="1"/>
  <c r="J1830" i="1"/>
  <c r="I1830" i="1"/>
  <c r="H1830" i="1"/>
  <c r="G1830" i="1"/>
  <c r="I1829" i="1"/>
  <c r="J1829" i="1" s="1"/>
  <c r="G1829" i="1"/>
  <c r="I1828" i="1"/>
  <c r="J1828" i="1" s="1"/>
  <c r="G1828" i="1"/>
  <c r="J1827" i="1"/>
  <c r="I1827" i="1"/>
  <c r="G1827" i="1"/>
  <c r="J1826" i="1"/>
  <c r="I1826" i="1"/>
  <c r="H1826" i="1"/>
  <c r="G1826" i="1"/>
  <c r="J1825" i="1"/>
  <c r="I1825" i="1"/>
  <c r="G1825" i="1"/>
  <c r="H1824" i="1"/>
  <c r="I1824" i="1" s="1"/>
  <c r="J1824" i="1" s="1"/>
  <c r="G1824" i="1"/>
  <c r="J1823" i="1"/>
  <c r="I1823" i="1"/>
  <c r="H1823" i="1"/>
  <c r="G1823" i="1"/>
  <c r="I1822" i="1"/>
  <c r="J1822" i="1" s="1"/>
  <c r="G1822" i="1"/>
  <c r="I1821" i="1"/>
  <c r="J1821" i="1" s="1"/>
  <c r="G1821" i="1"/>
  <c r="J1820" i="1"/>
  <c r="I1820" i="1"/>
  <c r="G1820" i="1"/>
  <c r="J1819" i="1"/>
  <c r="I1819" i="1"/>
  <c r="G1819" i="1"/>
  <c r="I1818" i="1"/>
  <c r="J1818" i="1" s="1"/>
  <c r="G1818" i="1"/>
  <c r="I1817" i="1"/>
  <c r="J1817" i="1" s="1"/>
  <c r="G1817" i="1"/>
  <c r="H1816" i="1"/>
  <c r="I1816" i="1" s="1"/>
  <c r="J1816" i="1" s="1"/>
  <c r="G1816" i="1"/>
  <c r="H1815" i="1"/>
  <c r="I1815" i="1" s="1"/>
  <c r="J1815" i="1" s="1"/>
  <c r="G1815" i="1"/>
  <c r="H1814" i="1"/>
  <c r="I1814" i="1" s="1"/>
  <c r="J1814" i="1" s="1"/>
  <c r="G1814" i="1"/>
  <c r="H1813" i="1"/>
  <c r="I1813" i="1" s="1"/>
  <c r="J1813" i="1" s="1"/>
  <c r="G1813" i="1"/>
  <c r="H1812" i="1"/>
  <c r="I1812" i="1" s="1"/>
  <c r="J1812" i="1" s="1"/>
  <c r="G1812" i="1"/>
  <c r="H1811" i="1"/>
  <c r="I1811" i="1" s="1"/>
  <c r="J1811" i="1" s="1"/>
  <c r="G1811" i="1"/>
  <c r="H1810" i="1"/>
  <c r="I1810" i="1" s="1"/>
  <c r="J1810" i="1" s="1"/>
  <c r="G1810" i="1"/>
  <c r="I1809" i="1"/>
  <c r="J1809" i="1" s="1"/>
  <c r="G1809" i="1"/>
  <c r="J1808" i="1"/>
  <c r="I1808" i="1"/>
  <c r="G1808" i="1"/>
  <c r="I1807" i="1"/>
  <c r="J1807" i="1" s="1"/>
  <c r="G1807" i="1"/>
  <c r="I1806" i="1"/>
  <c r="J1806" i="1" s="1"/>
  <c r="G1806" i="1"/>
  <c r="H1805" i="1"/>
  <c r="I1805" i="1" s="1"/>
  <c r="J1805" i="1" s="1"/>
  <c r="G1805" i="1"/>
  <c r="J1804" i="1"/>
  <c r="I1804" i="1"/>
  <c r="G1804" i="1"/>
  <c r="I1803" i="1"/>
  <c r="J1803" i="1" s="1"/>
  <c r="G1803" i="1"/>
  <c r="I1802" i="1"/>
  <c r="J1802" i="1" s="1"/>
  <c r="G1802" i="1"/>
  <c r="I1801" i="1"/>
  <c r="J1801" i="1" s="1"/>
  <c r="G1801" i="1"/>
  <c r="J1800" i="1"/>
  <c r="I1800" i="1"/>
  <c r="G1800" i="1"/>
  <c r="I1799" i="1"/>
  <c r="J1799" i="1" s="1"/>
  <c r="G1799" i="1"/>
  <c r="I1798" i="1"/>
  <c r="J1798" i="1" s="1"/>
  <c r="G1798" i="1"/>
  <c r="I1797" i="1"/>
  <c r="J1797" i="1" s="1"/>
  <c r="G1797" i="1"/>
  <c r="J1796" i="1"/>
  <c r="I1796" i="1"/>
  <c r="G1796" i="1"/>
  <c r="I1795" i="1"/>
  <c r="J1795" i="1" s="1"/>
  <c r="G1795" i="1"/>
  <c r="J1794" i="1"/>
  <c r="I1794" i="1"/>
  <c r="G1794" i="1"/>
  <c r="I1793" i="1"/>
  <c r="J1793" i="1" s="1"/>
  <c r="G1793" i="1"/>
  <c r="J1792" i="1"/>
  <c r="I1792" i="1"/>
  <c r="G1792" i="1"/>
  <c r="I1791" i="1"/>
  <c r="J1791" i="1" s="1"/>
  <c r="G1791" i="1"/>
  <c r="J1790" i="1"/>
  <c r="I1790" i="1"/>
  <c r="H1790" i="1"/>
  <c r="G1790" i="1"/>
  <c r="I1789" i="1"/>
  <c r="J1789" i="1" s="1"/>
  <c r="G1789" i="1"/>
  <c r="H1788" i="1"/>
  <c r="I1788" i="1" s="1"/>
  <c r="J1788" i="1" s="1"/>
  <c r="G1788" i="1"/>
  <c r="H1787" i="1"/>
  <c r="I1787" i="1" s="1"/>
  <c r="J1787" i="1" s="1"/>
  <c r="G1787" i="1"/>
  <c r="I1786" i="1"/>
  <c r="J1786" i="1" s="1"/>
  <c r="G1786" i="1"/>
  <c r="J1785" i="1"/>
  <c r="I1785" i="1"/>
  <c r="G1785" i="1"/>
  <c r="I1784" i="1"/>
  <c r="J1784" i="1" s="1"/>
  <c r="G1784" i="1"/>
  <c r="I1783" i="1"/>
  <c r="J1783" i="1" s="1"/>
  <c r="G1783" i="1"/>
  <c r="I1782" i="1"/>
  <c r="J1782" i="1" s="1"/>
  <c r="G1782" i="1"/>
  <c r="J1781" i="1"/>
  <c r="I1781" i="1"/>
  <c r="G1781" i="1"/>
  <c r="I1780" i="1"/>
  <c r="J1780" i="1" s="1"/>
  <c r="H1780" i="1"/>
  <c r="G1780" i="1"/>
  <c r="J1779" i="1"/>
  <c r="I1779" i="1"/>
  <c r="G1779" i="1"/>
  <c r="I1778" i="1"/>
  <c r="J1778" i="1" s="1"/>
  <c r="H1778" i="1"/>
  <c r="G1778" i="1"/>
  <c r="H1777" i="1"/>
  <c r="I1777" i="1" s="1"/>
  <c r="J1777" i="1" s="1"/>
  <c r="G1777" i="1"/>
  <c r="I1776" i="1"/>
  <c r="J1776" i="1" s="1"/>
  <c r="H1776" i="1"/>
  <c r="G1776" i="1"/>
  <c r="I1775" i="1"/>
  <c r="J1775" i="1" s="1"/>
  <c r="G1775" i="1"/>
  <c r="I1774" i="1"/>
  <c r="J1774" i="1" s="1"/>
  <c r="G1774" i="1"/>
  <c r="F1773" i="1"/>
  <c r="I1773" i="1" s="1"/>
  <c r="J1773" i="1" s="1"/>
  <c r="I1772" i="1"/>
  <c r="J1772" i="1" s="1"/>
  <c r="G1772" i="1"/>
  <c r="J1771" i="1"/>
  <c r="I1771" i="1"/>
  <c r="G1771" i="1"/>
  <c r="I1770" i="1"/>
  <c r="J1770" i="1" s="1"/>
  <c r="G1770" i="1"/>
  <c r="I1769" i="1"/>
  <c r="J1769" i="1" s="1"/>
  <c r="G1769" i="1"/>
  <c r="I1768" i="1"/>
  <c r="J1768" i="1" s="1"/>
  <c r="G1768" i="1"/>
  <c r="J1767" i="1"/>
  <c r="I1767" i="1"/>
  <c r="G1767" i="1"/>
  <c r="I1766" i="1"/>
  <c r="J1766" i="1" s="1"/>
  <c r="G1766" i="1"/>
  <c r="I1765" i="1"/>
  <c r="J1765" i="1" s="1"/>
  <c r="G1765" i="1"/>
  <c r="I1764" i="1"/>
  <c r="J1764" i="1" s="1"/>
  <c r="G1764" i="1"/>
  <c r="J1763" i="1"/>
  <c r="I1763" i="1"/>
  <c r="G1763" i="1"/>
  <c r="I1762" i="1"/>
  <c r="J1762" i="1" s="1"/>
  <c r="G1762" i="1"/>
  <c r="I1761" i="1"/>
  <c r="J1761" i="1" s="1"/>
  <c r="G1761" i="1"/>
  <c r="I1760" i="1"/>
  <c r="J1760" i="1" s="1"/>
  <c r="G1760" i="1"/>
  <c r="J1759" i="1"/>
  <c r="I1759" i="1"/>
  <c r="G1759" i="1"/>
  <c r="I1758" i="1"/>
  <c r="J1758" i="1" s="1"/>
  <c r="G1758" i="1"/>
  <c r="I1757" i="1"/>
  <c r="J1757" i="1" s="1"/>
  <c r="G1757" i="1"/>
  <c r="I1756" i="1"/>
  <c r="J1756" i="1" s="1"/>
  <c r="G1756" i="1"/>
  <c r="J1755" i="1"/>
  <c r="I1755" i="1"/>
  <c r="G1755" i="1"/>
  <c r="I1754" i="1"/>
  <c r="J1754" i="1" s="1"/>
  <c r="G1754" i="1"/>
  <c r="I1753" i="1"/>
  <c r="J1753" i="1" s="1"/>
  <c r="G1753" i="1"/>
  <c r="I1752" i="1"/>
  <c r="J1752" i="1" s="1"/>
  <c r="G1752" i="1"/>
  <c r="J1751" i="1"/>
  <c r="I1751" i="1"/>
  <c r="G1751" i="1"/>
  <c r="I1750" i="1"/>
  <c r="J1750" i="1" s="1"/>
  <c r="G1750" i="1"/>
  <c r="I1749" i="1"/>
  <c r="J1749" i="1" s="1"/>
  <c r="G1749" i="1"/>
  <c r="I1748" i="1"/>
  <c r="J1748" i="1" s="1"/>
  <c r="G1748" i="1"/>
  <c r="J1747" i="1"/>
  <c r="I1747" i="1"/>
  <c r="G1747" i="1"/>
  <c r="H1746" i="1"/>
  <c r="I1746" i="1" s="1"/>
  <c r="J1746" i="1" s="1"/>
  <c r="G1746" i="1"/>
  <c r="I1745" i="1"/>
  <c r="J1745" i="1" s="1"/>
  <c r="G1745" i="1"/>
  <c r="I1744" i="1"/>
  <c r="J1744" i="1" s="1"/>
  <c r="G1744" i="1"/>
  <c r="I1743" i="1"/>
  <c r="J1743" i="1" s="1"/>
  <c r="G1743" i="1"/>
  <c r="I1742" i="1"/>
  <c r="J1742" i="1" s="1"/>
  <c r="G1742" i="1"/>
  <c r="I1741" i="1"/>
  <c r="J1741" i="1" s="1"/>
  <c r="G1741" i="1"/>
  <c r="I1740" i="1"/>
  <c r="J1740" i="1" s="1"/>
  <c r="G1740" i="1"/>
  <c r="I1739" i="1"/>
  <c r="J1739" i="1" s="1"/>
  <c r="G1739" i="1"/>
  <c r="I1738" i="1"/>
  <c r="J1738" i="1" s="1"/>
  <c r="G1738" i="1"/>
  <c r="J1737" i="1"/>
  <c r="I1737" i="1"/>
  <c r="G1737" i="1"/>
  <c r="I1736" i="1"/>
  <c r="J1736" i="1" s="1"/>
  <c r="G1736" i="1"/>
  <c r="I1735" i="1"/>
  <c r="J1735" i="1" s="1"/>
  <c r="G1735" i="1"/>
  <c r="I1734" i="1"/>
  <c r="J1734" i="1" s="1"/>
  <c r="G1734" i="1"/>
  <c r="I1733" i="1"/>
  <c r="J1733" i="1" s="1"/>
  <c r="G1733" i="1"/>
  <c r="I1732" i="1"/>
  <c r="J1732" i="1" s="1"/>
  <c r="G1732" i="1"/>
  <c r="I1731" i="1"/>
  <c r="J1731" i="1" s="1"/>
  <c r="G1731" i="1"/>
  <c r="I1730" i="1"/>
  <c r="J1730" i="1" s="1"/>
  <c r="G1730" i="1"/>
  <c r="I1729" i="1"/>
  <c r="J1729" i="1" s="1"/>
  <c r="G1729" i="1"/>
  <c r="I1728" i="1"/>
  <c r="J1728" i="1" s="1"/>
  <c r="G1728" i="1"/>
  <c r="I1727" i="1"/>
  <c r="J1727" i="1" s="1"/>
  <c r="G1727" i="1"/>
  <c r="I1726" i="1"/>
  <c r="J1726" i="1" s="1"/>
  <c r="G1726" i="1"/>
  <c r="I1725" i="1"/>
  <c r="J1725" i="1" s="1"/>
  <c r="G1725" i="1"/>
  <c r="H1724" i="1"/>
  <c r="I1724" i="1" s="1"/>
  <c r="J1724" i="1" s="1"/>
  <c r="G1724" i="1"/>
  <c r="I1723" i="1"/>
  <c r="J1723" i="1" s="1"/>
  <c r="G1723" i="1"/>
  <c r="J1722" i="1"/>
  <c r="I1722" i="1"/>
  <c r="G1722" i="1"/>
  <c r="J1721" i="1"/>
  <c r="I1721" i="1"/>
  <c r="G1721" i="1"/>
  <c r="I1720" i="1"/>
  <c r="J1720" i="1" s="1"/>
  <c r="G1720" i="1"/>
  <c r="I1719" i="1"/>
  <c r="J1719" i="1" s="1"/>
  <c r="G1719" i="1"/>
  <c r="J1718" i="1"/>
  <c r="I1718" i="1"/>
  <c r="G1718" i="1"/>
  <c r="J1717" i="1"/>
  <c r="I1717" i="1"/>
  <c r="G1717" i="1"/>
  <c r="I1716" i="1"/>
  <c r="J1716" i="1" s="1"/>
  <c r="G1716" i="1"/>
  <c r="I1715" i="1"/>
  <c r="J1715" i="1" s="1"/>
  <c r="G1715" i="1"/>
  <c r="J1714" i="1"/>
  <c r="I1714" i="1"/>
  <c r="G1714" i="1"/>
  <c r="J1713" i="1"/>
  <c r="I1713" i="1"/>
  <c r="G1713" i="1"/>
  <c r="I1712" i="1"/>
  <c r="J1712" i="1" s="1"/>
  <c r="G1712" i="1"/>
  <c r="I1711" i="1"/>
  <c r="J1711" i="1" s="1"/>
  <c r="G1711" i="1"/>
  <c r="J1710" i="1"/>
  <c r="I1710" i="1"/>
  <c r="G1710" i="1"/>
  <c r="J1709" i="1"/>
  <c r="I1709" i="1"/>
  <c r="G1709" i="1"/>
  <c r="I1708" i="1"/>
  <c r="J1708" i="1" s="1"/>
  <c r="G1708" i="1"/>
  <c r="I1707" i="1"/>
  <c r="J1707" i="1" s="1"/>
  <c r="G1707" i="1"/>
  <c r="J1706" i="1"/>
  <c r="I1706" i="1"/>
  <c r="G1706" i="1"/>
  <c r="J1705" i="1"/>
  <c r="I1705" i="1"/>
  <c r="G1705" i="1"/>
  <c r="I1704" i="1"/>
  <c r="J1704" i="1" s="1"/>
  <c r="H1704" i="1"/>
  <c r="G1704" i="1"/>
  <c r="H1703" i="1"/>
  <c r="I1703" i="1" s="1"/>
  <c r="J1703" i="1" s="1"/>
  <c r="G1703" i="1"/>
  <c r="I1702" i="1"/>
  <c r="J1702" i="1" s="1"/>
  <c r="G1702" i="1"/>
  <c r="H1701" i="1"/>
  <c r="I1701" i="1" s="1"/>
  <c r="J1701" i="1" s="1"/>
  <c r="G1701" i="1"/>
  <c r="I1700" i="1"/>
  <c r="J1700" i="1" s="1"/>
  <c r="G1700" i="1"/>
  <c r="J1699" i="1"/>
  <c r="I1699" i="1"/>
  <c r="G1699" i="1"/>
  <c r="J1698" i="1"/>
  <c r="G1698" i="1"/>
  <c r="I1697" i="1"/>
  <c r="J1697" i="1" s="1"/>
  <c r="G1697" i="1"/>
  <c r="I1696" i="1"/>
  <c r="J1696" i="1" s="1"/>
  <c r="G1696" i="1"/>
  <c r="I1695" i="1"/>
  <c r="J1695" i="1" s="1"/>
  <c r="G1695" i="1"/>
  <c r="I1694" i="1"/>
  <c r="J1694" i="1" s="1"/>
  <c r="H1694" i="1"/>
  <c r="G1694" i="1"/>
  <c r="I1693" i="1"/>
  <c r="J1693" i="1" s="1"/>
  <c r="G1693" i="1"/>
  <c r="I1692" i="1"/>
  <c r="J1692" i="1" s="1"/>
  <c r="G1692" i="1"/>
  <c r="H1691" i="1"/>
  <c r="I1691" i="1" s="1"/>
  <c r="J1691" i="1" s="1"/>
  <c r="G1691" i="1"/>
  <c r="I1690" i="1"/>
  <c r="J1690" i="1" s="1"/>
  <c r="G1690" i="1"/>
  <c r="J1689" i="1"/>
  <c r="I1689" i="1"/>
  <c r="G1689" i="1"/>
  <c r="I1688" i="1"/>
  <c r="J1688" i="1" s="1"/>
  <c r="G1688" i="1"/>
  <c r="I1687" i="1"/>
  <c r="J1687" i="1" s="1"/>
  <c r="G1687" i="1"/>
  <c r="I1686" i="1"/>
  <c r="J1686" i="1" s="1"/>
  <c r="G1686" i="1"/>
  <c r="J1685" i="1"/>
  <c r="I1685" i="1"/>
  <c r="G1685" i="1"/>
  <c r="I1684" i="1"/>
  <c r="J1684" i="1" s="1"/>
  <c r="G1684" i="1"/>
  <c r="I1683" i="1"/>
  <c r="J1683" i="1" s="1"/>
  <c r="G1683" i="1"/>
  <c r="I1682" i="1"/>
  <c r="J1682" i="1" s="1"/>
  <c r="G1682" i="1"/>
  <c r="J1681" i="1"/>
  <c r="I1681" i="1"/>
  <c r="G1681" i="1"/>
  <c r="I1680" i="1"/>
  <c r="J1680" i="1" s="1"/>
  <c r="G1680" i="1"/>
  <c r="I1679" i="1"/>
  <c r="J1679" i="1" s="1"/>
  <c r="G1679" i="1"/>
  <c r="I1678" i="1"/>
  <c r="J1678" i="1" s="1"/>
  <c r="G1678" i="1"/>
  <c r="J1677" i="1"/>
  <c r="I1677" i="1"/>
  <c r="G1677" i="1"/>
  <c r="I1676" i="1"/>
  <c r="J1676" i="1" s="1"/>
  <c r="G1676" i="1"/>
  <c r="I1675" i="1"/>
  <c r="J1675" i="1" s="1"/>
  <c r="G1675" i="1"/>
  <c r="I1674" i="1"/>
  <c r="J1674" i="1" s="1"/>
  <c r="G1674" i="1"/>
  <c r="J1673" i="1"/>
  <c r="I1673" i="1"/>
  <c r="G1673" i="1"/>
  <c r="I1672" i="1"/>
  <c r="J1672" i="1" s="1"/>
  <c r="G1672" i="1"/>
  <c r="I1671" i="1"/>
  <c r="J1671" i="1" s="1"/>
  <c r="G1671" i="1"/>
  <c r="I1670" i="1"/>
  <c r="J1670" i="1" s="1"/>
  <c r="G1670" i="1"/>
  <c r="J1669" i="1"/>
  <c r="I1669" i="1"/>
  <c r="G1669" i="1"/>
  <c r="I1668" i="1"/>
  <c r="J1668" i="1" s="1"/>
  <c r="G1668" i="1"/>
  <c r="I1667" i="1"/>
  <c r="J1667" i="1" s="1"/>
  <c r="G1667" i="1"/>
  <c r="H1666" i="1"/>
  <c r="I1666" i="1" s="1"/>
  <c r="J1666" i="1" s="1"/>
  <c r="G1666" i="1"/>
  <c r="H1665" i="1"/>
  <c r="I1665" i="1" s="1"/>
  <c r="J1665" i="1" s="1"/>
  <c r="G1665" i="1"/>
  <c r="H1664" i="1"/>
  <c r="I1664" i="1" s="1"/>
  <c r="J1664" i="1" s="1"/>
  <c r="G1664" i="1"/>
  <c r="I1663" i="1"/>
  <c r="J1663" i="1" s="1"/>
  <c r="G1663" i="1"/>
  <c r="J1662" i="1"/>
  <c r="I1662" i="1"/>
  <c r="G1662" i="1"/>
  <c r="I1661" i="1"/>
  <c r="J1661" i="1" s="1"/>
  <c r="G1661" i="1"/>
  <c r="H1660" i="1"/>
  <c r="I1660" i="1" s="1"/>
  <c r="J1660" i="1" s="1"/>
  <c r="G1660" i="1"/>
  <c r="I1659" i="1"/>
  <c r="J1659" i="1" s="1"/>
  <c r="G1659" i="1"/>
  <c r="I1658" i="1"/>
  <c r="J1658" i="1" s="1"/>
  <c r="G1658" i="1"/>
  <c r="I1657" i="1"/>
  <c r="J1657" i="1" s="1"/>
  <c r="G1657" i="1"/>
  <c r="I1656" i="1"/>
  <c r="J1656" i="1" s="1"/>
  <c r="G1656" i="1"/>
  <c r="I1655" i="1"/>
  <c r="J1655" i="1" s="1"/>
  <c r="G1655" i="1"/>
  <c r="I1654" i="1"/>
  <c r="J1654" i="1" s="1"/>
  <c r="G1654" i="1"/>
  <c r="I1653" i="1"/>
  <c r="J1653" i="1" s="1"/>
  <c r="H1653" i="1"/>
  <c r="G1653" i="1"/>
  <c r="J1652" i="1"/>
  <c r="I1652" i="1"/>
  <c r="G1652" i="1"/>
  <c r="I1651" i="1"/>
  <c r="J1651" i="1" s="1"/>
  <c r="G1651" i="1"/>
  <c r="I1650" i="1"/>
  <c r="J1650" i="1" s="1"/>
  <c r="G1650" i="1"/>
  <c r="J1649" i="1"/>
  <c r="I1649" i="1"/>
  <c r="G1649" i="1"/>
  <c r="J1648" i="1"/>
  <c r="I1648" i="1"/>
  <c r="G1648" i="1"/>
  <c r="I1647" i="1"/>
  <c r="J1647" i="1" s="1"/>
  <c r="G1647" i="1"/>
  <c r="I1646" i="1"/>
  <c r="J1646" i="1" s="1"/>
  <c r="G1646" i="1"/>
  <c r="J1645" i="1"/>
  <c r="I1645" i="1"/>
  <c r="G1645" i="1"/>
  <c r="J1644" i="1"/>
  <c r="I1644" i="1"/>
  <c r="G1644" i="1"/>
  <c r="I1643" i="1"/>
  <c r="J1643" i="1" s="1"/>
  <c r="G1643" i="1"/>
  <c r="I1642" i="1"/>
  <c r="J1642" i="1" s="1"/>
  <c r="G1642" i="1"/>
  <c r="J1641" i="1"/>
  <c r="I1641" i="1"/>
  <c r="G1641" i="1"/>
  <c r="J1640" i="1"/>
  <c r="I1640" i="1"/>
  <c r="G1640" i="1"/>
  <c r="I1639" i="1"/>
  <c r="J1639" i="1" s="1"/>
  <c r="G1639" i="1"/>
  <c r="H1638" i="1"/>
  <c r="I1638" i="1" s="1"/>
  <c r="J1638" i="1" s="1"/>
  <c r="G1638" i="1"/>
  <c r="I1637" i="1"/>
  <c r="J1637" i="1" s="1"/>
  <c r="G1637" i="1"/>
  <c r="I1636" i="1"/>
  <c r="J1636" i="1" s="1"/>
  <c r="G1636" i="1"/>
  <c r="J1635" i="1"/>
  <c r="I1635" i="1"/>
  <c r="H1635" i="1"/>
  <c r="G1635" i="1"/>
  <c r="I1634" i="1"/>
  <c r="J1634" i="1" s="1"/>
  <c r="G1634" i="1"/>
  <c r="J1633" i="1"/>
  <c r="I1633" i="1"/>
  <c r="H1633" i="1"/>
  <c r="G1633" i="1"/>
  <c r="I1632" i="1"/>
  <c r="J1632" i="1" s="1"/>
  <c r="G1632" i="1"/>
  <c r="I1631" i="1"/>
  <c r="J1631" i="1" s="1"/>
  <c r="G1631" i="1"/>
  <c r="J1630" i="1"/>
  <c r="I1630" i="1"/>
  <c r="G1630" i="1"/>
  <c r="J1629" i="1"/>
  <c r="I1629" i="1"/>
  <c r="G1629" i="1"/>
  <c r="I1628" i="1"/>
  <c r="J1628" i="1" s="1"/>
  <c r="G1628" i="1"/>
  <c r="H1627" i="1"/>
  <c r="I1627" i="1" s="1"/>
  <c r="J1627" i="1" s="1"/>
  <c r="G1627" i="1"/>
  <c r="H1626" i="1"/>
  <c r="I1626" i="1" s="1"/>
  <c r="J1626" i="1" s="1"/>
  <c r="G1626" i="1"/>
  <c r="I1625" i="1"/>
  <c r="J1625" i="1" s="1"/>
  <c r="G1625" i="1"/>
  <c r="I1624" i="1"/>
  <c r="J1624" i="1" s="1"/>
  <c r="G1624" i="1"/>
  <c r="I1623" i="1"/>
  <c r="J1623" i="1" s="1"/>
  <c r="G1623" i="1"/>
  <c r="I1622" i="1"/>
  <c r="J1622" i="1" s="1"/>
  <c r="G1622" i="1"/>
  <c r="I1621" i="1"/>
  <c r="J1621" i="1" s="1"/>
  <c r="G1621" i="1"/>
  <c r="H1620" i="1"/>
  <c r="I1620" i="1" s="1"/>
  <c r="J1620" i="1" s="1"/>
  <c r="G1620" i="1"/>
  <c r="J1619" i="1"/>
  <c r="I1619" i="1"/>
  <c r="G1619" i="1"/>
  <c r="J1618" i="1"/>
  <c r="I1618" i="1"/>
  <c r="G1618" i="1"/>
  <c r="I1617" i="1"/>
  <c r="J1617" i="1" s="1"/>
  <c r="G1617" i="1"/>
  <c r="I1616" i="1"/>
  <c r="J1616" i="1" s="1"/>
  <c r="G1616" i="1"/>
  <c r="J1615" i="1"/>
  <c r="I1615" i="1"/>
  <c r="G1615" i="1"/>
  <c r="J1614" i="1"/>
  <c r="I1614" i="1"/>
  <c r="G1614" i="1"/>
  <c r="I1613" i="1"/>
  <c r="J1613" i="1" s="1"/>
  <c r="G1613" i="1"/>
  <c r="I1612" i="1"/>
  <c r="J1612" i="1" s="1"/>
  <c r="G1612" i="1"/>
  <c r="J1611" i="1"/>
  <c r="I1611" i="1"/>
  <c r="G1611" i="1"/>
  <c r="J1610" i="1"/>
  <c r="I1610" i="1"/>
  <c r="G1610" i="1"/>
  <c r="I1609" i="1"/>
  <c r="J1609" i="1" s="1"/>
  <c r="G1609" i="1"/>
  <c r="H1608" i="1"/>
  <c r="I1608" i="1" s="1"/>
  <c r="J1608" i="1" s="1"/>
  <c r="G1608" i="1"/>
  <c r="I1607" i="1"/>
  <c r="J1607" i="1" s="1"/>
  <c r="G1607" i="1"/>
  <c r="I1606" i="1"/>
  <c r="J1606" i="1" s="1"/>
  <c r="G1606" i="1"/>
  <c r="J1605" i="1"/>
  <c r="I1605" i="1"/>
  <c r="G1605" i="1"/>
  <c r="I1604" i="1"/>
  <c r="J1604" i="1" s="1"/>
  <c r="G1604" i="1"/>
  <c r="I1603" i="1"/>
  <c r="J1603" i="1" s="1"/>
  <c r="G1603" i="1"/>
  <c r="I1602" i="1"/>
  <c r="J1602" i="1" s="1"/>
  <c r="H1602" i="1"/>
  <c r="G1602" i="1"/>
  <c r="H1601" i="1"/>
  <c r="I1601" i="1" s="1"/>
  <c r="J1601" i="1" s="1"/>
  <c r="G1601" i="1"/>
  <c r="H1600" i="1"/>
  <c r="I1600" i="1" s="1"/>
  <c r="J1600" i="1" s="1"/>
  <c r="G1600" i="1"/>
  <c r="I1599" i="1"/>
  <c r="J1599" i="1" s="1"/>
  <c r="G1599" i="1"/>
  <c r="J1598" i="1"/>
  <c r="I1598" i="1"/>
  <c r="G1598" i="1"/>
  <c r="I1597" i="1"/>
  <c r="J1597" i="1" s="1"/>
  <c r="G1597" i="1"/>
  <c r="I1596" i="1"/>
  <c r="J1596" i="1" s="1"/>
  <c r="G1596" i="1"/>
  <c r="I1595" i="1"/>
  <c r="J1595" i="1" s="1"/>
  <c r="G1595" i="1"/>
  <c r="J1594" i="1"/>
  <c r="I1594" i="1"/>
  <c r="G1594" i="1"/>
  <c r="I1593" i="1"/>
  <c r="J1593" i="1" s="1"/>
  <c r="G1593" i="1"/>
  <c r="I1592" i="1"/>
  <c r="J1592" i="1" s="1"/>
  <c r="G1592" i="1"/>
  <c r="I1591" i="1"/>
  <c r="J1591" i="1" s="1"/>
  <c r="G1591" i="1"/>
  <c r="J1590" i="1"/>
  <c r="I1590" i="1"/>
  <c r="G1590" i="1"/>
  <c r="I1589" i="1"/>
  <c r="J1589" i="1" s="1"/>
  <c r="G1589" i="1"/>
  <c r="I1588" i="1"/>
  <c r="J1588" i="1" s="1"/>
  <c r="H1588" i="1"/>
  <c r="G1588" i="1"/>
  <c r="H1587" i="1"/>
  <c r="I1587" i="1" s="1"/>
  <c r="J1587" i="1" s="1"/>
  <c r="G1587" i="1"/>
  <c r="H1586" i="1"/>
  <c r="I1586" i="1" s="1"/>
  <c r="J1586" i="1" s="1"/>
  <c r="G1586" i="1"/>
  <c r="H1585" i="1"/>
  <c r="I1585" i="1" s="1"/>
  <c r="J1585" i="1" s="1"/>
  <c r="G1585" i="1"/>
  <c r="I1584" i="1"/>
  <c r="J1584" i="1" s="1"/>
  <c r="G1584" i="1"/>
  <c r="I1583" i="1"/>
  <c r="J1583" i="1" s="1"/>
  <c r="G1583" i="1"/>
  <c r="I1582" i="1"/>
  <c r="J1582" i="1" s="1"/>
  <c r="G1582" i="1"/>
  <c r="J1581" i="1"/>
  <c r="I1581" i="1"/>
  <c r="G1581" i="1"/>
  <c r="I1580" i="1"/>
  <c r="J1580" i="1" s="1"/>
  <c r="G1580" i="1"/>
  <c r="I1579" i="1"/>
  <c r="J1579" i="1" s="1"/>
  <c r="G1579" i="1"/>
  <c r="I1578" i="1"/>
  <c r="J1578" i="1" s="1"/>
  <c r="G1578" i="1"/>
  <c r="I1577" i="1"/>
  <c r="J1577" i="1" s="1"/>
  <c r="H1577" i="1"/>
  <c r="G1577" i="1"/>
  <c r="I1576" i="1"/>
  <c r="J1576" i="1" s="1"/>
  <c r="G1576" i="1"/>
  <c r="I1575" i="1"/>
  <c r="J1575" i="1" s="1"/>
  <c r="G1575" i="1"/>
  <c r="J1574" i="1"/>
  <c r="I1574" i="1"/>
  <c r="G1574" i="1"/>
  <c r="J1573" i="1"/>
  <c r="I1573" i="1"/>
  <c r="G1573" i="1"/>
  <c r="I1572" i="1"/>
  <c r="J1572" i="1" s="1"/>
  <c r="G1572" i="1"/>
  <c r="I1571" i="1"/>
  <c r="J1571" i="1" s="1"/>
  <c r="G1571" i="1"/>
  <c r="J1570" i="1"/>
  <c r="I1570" i="1"/>
  <c r="G1570" i="1"/>
  <c r="J1569" i="1"/>
  <c r="I1569" i="1"/>
  <c r="G1569" i="1"/>
  <c r="I1568" i="1"/>
  <c r="J1568" i="1" s="1"/>
  <c r="G1568" i="1"/>
  <c r="I1567" i="1"/>
  <c r="J1567" i="1" s="1"/>
  <c r="G1567" i="1"/>
  <c r="J1566" i="1"/>
  <c r="I1566" i="1"/>
  <c r="G1566" i="1"/>
  <c r="J1565" i="1"/>
  <c r="I1565" i="1"/>
  <c r="G1565" i="1"/>
  <c r="I1564" i="1"/>
  <c r="J1564" i="1" s="1"/>
  <c r="G1564" i="1"/>
  <c r="I1563" i="1"/>
  <c r="J1563" i="1" s="1"/>
  <c r="G1563" i="1"/>
  <c r="J1562" i="1"/>
  <c r="I1562" i="1"/>
  <c r="G1562" i="1"/>
  <c r="J1561" i="1"/>
  <c r="I1561" i="1"/>
  <c r="G1561" i="1"/>
  <c r="I1560" i="1"/>
  <c r="J1560" i="1" s="1"/>
  <c r="G1560" i="1"/>
  <c r="I1559" i="1"/>
  <c r="J1559" i="1" s="1"/>
  <c r="G1559" i="1"/>
  <c r="J1558" i="1"/>
  <c r="I1558" i="1"/>
  <c r="G1558" i="1"/>
  <c r="J1557" i="1"/>
  <c r="I1557" i="1"/>
  <c r="G1557" i="1"/>
  <c r="I1556" i="1"/>
  <c r="J1556" i="1" s="1"/>
  <c r="H1556" i="1"/>
  <c r="G1556" i="1"/>
  <c r="I1555" i="1"/>
  <c r="J1555" i="1" s="1"/>
  <c r="G1555" i="1"/>
  <c r="I1554" i="1"/>
  <c r="J1554" i="1" s="1"/>
  <c r="G1554" i="1"/>
  <c r="I1553" i="1"/>
  <c r="J1553" i="1" s="1"/>
  <c r="G1553" i="1"/>
  <c r="J1552" i="1"/>
  <c r="I1552" i="1"/>
  <c r="G1552" i="1"/>
  <c r="I1551" i="1"/>
  <c r="J1551" i="1" s="1"/>
  <c r="G1551" i="1"/>
  <c r="I1550" i="1"/>
  <c r="J1550" i="1" s="1"/>
  <c r="H1550" i="1"/>
  <c r="G1550" i="1"/>
  <c r="I1549" i="1"/>
  <c r="J1549" i="1" s="1"/>
  <c r="G1549" i="1"/>
  <c r="I1548" i="1"/>
  <c r="J1548" i="1" s="1"/>
  <c r="G1548" i="1"/>
  <c r="I1547" i="1"/>
  <c r="J1547" i="1" s="1"/>
  <c r="G1547" i="1"/>
  <c r="I1546" i="1"/>
  <c r="J1546" i="1" s="1"/>
  <c r="G1546" i="1"/>
  <c r="I1545" i="1"/>
  <c r="J1545" i="1" s="1"/>
  <c r="G1545" i="1"/>
  <c r="I1544" i="1"/>
  <c r="J1544" i="1" s="1"/>
  <c r="G1544" i="1"/>
  <c r="I1543" i="1"/>
  <c r="J1543" i="1" s="1"/>
  <c r="G1543" i="1"/>
  <c r="I1542" i="1"/>
  <c r="J1542" i="1" s="1"/>
  <c r="H1542" i="1"/>
  <c r="G1542" i="1"/>
  <c r="I1541" i="1"/>
  <c r="J1541" i="1" s="1"/>
  <c r="G1541" i="1"/>
  <c r="I1540" i="1"/>
  <c r="J1540" i="1" s="1"/>
  <c r="G1540" i="1"/>
  <c r="J1539" i="1"/>
  <c r="I1539" i="1"/>
  <c r="G1539" i="1"/>
  <c r="J1538" i="1"/>
  <c r="I1538" i="1"/>
  <c r="G1538" i="1"/>
  <c r="I1537" i="1"/>
  <c r="J1537" i="1" s="1"/>
  <c r="G1537" i="1"/>
  <c r="I1536" i="1"/>
  <c r="J1536" i="1" s="1"/>
  <c r="G1536" i="1"/>
  <c r="J1535" i="1"/>
  <c r="I1535" i="1"/>
  <c r="G1535" i="1"/>
  <c r="J1534" i="1"/>
  <c r="I1534" i="1"/>
  <c r="G1534" i="1"/>
  <c r="I1533" i="1"/>
  <c r="J1533" i="1" s="1"/>
  <c r="H1533" i="1"/>
  <c r="G1533" i="1"/>
  <c r="I1532" i="1"/>
  <c r="J1532" i="1" s="1"/>
  <c r="G1532" i="1"/>
  <c r="I1531" i="1"/>
  <c r="J1531" i="1" s="1"/>
  <c r="G1531" i="1"/>
  <c r="I1530" i="1"/>
  <c r="J1530" i="1" s="1"/>
  <c r="G1530" i="1"/>
  <c r="J1529" i="1"/>
  <c r="I1529" i="1"/>
  <c r="G1529" i="1"/>
  <c r="I1528" i="1"/>
  <c r="J1528" i="1" s="1"/>
  <c r="G1528" i="1"/>
  <c r="I1527" i="1"/>
  <c r="J1527" i="1" s="1"/>
  <c r="G1527" i="1"/>
  <c r="I1526" i="1"/>
  <c r="J1526" i="1" s="1"/>
  <c r="G1526" i="1"/>
  <c r="J1525" i="1"/>
  <c r="I1525" i="1"/>
  <c r="G1525" i="1"/>
  <c r="I1524" i="1"/>
  <c r="J1524" i="1" s="1"/>
  <c r="G1524" i="1"/>
  <c r="I1523" i="1"/>
  <c r="J1523" i="1" s="1"/>
  <c r="G1523" i="1"/>
  <c r="I1522" i="1"/>
  <c r="J1522" i="1" s="1"/>
  <c r="G1522" i="1"/>
  <c r="J1521" i="1"/>
  <c r="I1521" i="1"/>
  <c r="G1521" i="1"/>
  <c r="I1520" i="1"/>
  <c r="J1520" i="1" s="1"/>
  <c r="G1520" i="1"/>
  <c r="I1519" i="1"/>
  <c r="J1519" i="1" s="1"/>
  <c r="G1519" i="1"/>
  <c r="I1518" i="1"/>
  <c r="J1518" i="1" s="1"/>
  <c r="G1518" i="1"/>
  <c r="J1517" i="1"/>
  <c r="I1517" i="1"/>
  <c r="G1517" i="1"/>
  <c r="I1516" i="1"/>
  <c r="J1516" i="1" s="1"/>
  <c r="G1516" i="1"/>
  <c r="I1515" i="1"/>
  <c r="J1515" i="1" s="1"/>
  <c r="G1515" i="1"/>
  <c r="I1514" i="1"/>
  <c r="J1514" i="1" s="1"/>
  <c r="G1514" i="1"/>
  <c r="J1513" i="1"/>
  <c r="I1513" i="1"/>
  <c r="G1513" i="1"/>
  <c r="H1512" i="1"/>
  <c r="I1512" i="1" s="1"/>
  <c r="J1512" i="1" s="1"/>
  <c r="G1512" i="1"/>
  <c r="I1511" i="1"/>
  <c r="J1511" i="1" s="1"/>
  <c r="G1511" i="1"/>
  <c r="I1510" i="1"/>
  <c r="J1510" i="1" s="1"/>
  <c r="G1510" i="1"/>
  <c r="I1509" i="1"/>
  <c r="J1509" i="1" s="1"/>
  <c r="G1509" i="1"/>
  <c r="I1508" i="1"/>
  <c r="J1508" i="1" s="1"/>
  <c r="G1508" i="1"/>
  <c r="I1507" i="1"/>
  <c r="J1507" i="1" s="1"/>
  <c r="H1507" i="1"/>
  <c r="G1507" i="1"/>
  <c r="I1506" i="1"/>
  <c r="J1506" i="1" s="1"/>
  <c r="G1506" i="1"/>
  <c r="I1505" i="1"/>
  <c r="J1505" i="1" s="1"/>
  <c r="G1505" i="1"/>
  <c r="J1504" i="1"/>
  <c r="I1504" i="1"/>
  <c r="G1504" i="1"/>
  <c r="J1503" i="1"/>
  <c r="I1503" i="1"/>
  <c r="G1503" i="1"/>
  <c r="I1502" i="1"/>
  <c r="J1502" i="1" s="1"/>
  <c r="G1502" i="1"/>
  <c r="I1501" i="1"/>
  <c r="J1501" i="1" s="1"/>
  <c r="G1501" i="1"/>
  <c r="J1500" i="1"/>
  <c r="I1500" i="1"/>
  <c r="G1500" i="1"/>
  <c r="J1499" i="1"/>
  <c r="I1499" i="1"/>
  <c r="G1499" i="1"/>
  <c r="I1498" i="1"/>
  <c r="J1498" i="1" s="1"/>
  <c r="G1498" i="1"/>
  <c r="I1497" i="1"/>
  <c r="J1497" i="1" s="1"/>
  <c r="G1497" i="1"/>
  <c r="J1496" i="1"/>
  <c r="I1496" i="1"/>
  <c r="G1496" i="1"/>
  <c r="J1495" i="1"/>
  <c r="I1495" i="1"/>
  <c r="G1495" i="1"/>
  <c r="I1494" i="1"/>
  <c r="J1494" i="1" s="1"/>
  <c r="G1494" i="1"/>
  <c r="I1493" i="1"/>
  <c r="J1493" i="1" s="1"/>
  <c r="G1493" i="1"/>
  <c r="J1492" i="1"/>
  <c r="I1492" i="1"/>
  <c r="G1492" i="1"/>
  <c r="J1491" i="1"/>
  <c r="I1491" i="1"/>
  <c r="G1491" i="1"/>
  <c r="I1490" i="1"/>
  <c r="J1490" i="1" s="1"/>
  <c r="G1490" i="1"/>
  <c r="I1489" i="1"/>
  <c r="J1489" i="1" s="1"/>
  <c r="G1489" i="1"/>
  <c r="J1488" i="1"/>
  <c r="I1488" i="1"/>
  <c r="G1488" i="1"/>
  <c r="J1487" i="1"/>
  <c r="I1487" i="1"/>
  <c r="G1487" i="1"/>
  <c r="J1486" i="1"/>
  <c r="G1486" i="1"/>
  <c r="J1485" i="1"/>
  <c r="G1485" i="1"/>
  <c r="I1484" i="1"/>
  <c r="J1484" i="1" s="1"/>
  <c r="G1484" i="1"/>
  <c r="I1483" i="1"/>
  <c r="J1483" i="1" s="1"/>
  <c r="G1483" i="1"/>
  <c r="I1482" i="1"/>
  <c r="J1482" i="1" s="1"/>
  <c r="G1482" i="1"/>
  <c r="J1481" i="1"/>
  <c r="I1481" i="1"/>
  <c r="G1481" i="1"/>
  <c r="I1480" i="1"/>
  <c r="J1480" i="1" s="1"/>
  <c r="G1480" i="1"/>
  <c r="I1479" i="1"/>
  <c r="J1479" i="1" s="1"/>
  <c r="G1479" i="1"/>
  <c r="I1478" i="1"/>
  <c r="J1478" i="1" s="1"/>
  <c r="G1478" i="1"/>
  <c r="J1477" i="1"/>
  <c r="I1477" i="1"/>
  <c r="G1477" i="1"/>
  <c r="I1476" i="1"/>
  <c r="J1476" i="1" s="1"/>
  <c r="G1476" i="1"/>
  <c r="I1475" i="1"/>
  <c r="J1475" i="1" s="1"/>
  <c r="G1475" i="1"/>
  <c r="I1474" i="1"/>
  <c r="J1474" i="1" s="1"/>
  <c r="G1474" i="1"/>
  <c r="J1473" i="1"/>
  <c r="I1473" i="1"/>
  <c r="G1473" i="1"/>
  <c r="I1472" i="1"/>
  <c r="J1472" i="1" s="1"/>
  <c r="G1472" i="1"/>
  <c r="I1471" i="1"/>
  <c r="J1471" i="1" s="1"/>
  <c r="G1471" i="1"/>
  <c r="I1470" i="1"/>
  <c r="J1470" i="1" s="1"/>
  <c r="G1470" i="1"/>
  <c r="J1469" i="1"/>
  <c r="I1469" i="1"/>
  <c r="G1469" i="1"/>
  <c r="I1468" i="1"/>
  <c r="J1468" i="1" s="1"/>
  <c r="G1468" i="1"/>
  <c r="I1467" i="1"/>
  <c r="J1467" i="1" s="1"/>
  <c r="G1467" i="1"/>
  <c r="I1466" i="1"/>
  <c r="J1466" i="1" s="1"/>
  <c r="G1466" i="1"/>
  <c r="J1465" i="1"/>
  <c r="I1465" i="1"/>
  <c r="G1465" i="1"/>
  <c r="I1464" i="1"/>
  <c r="J1464" i="1" s="1"/>
  <c r="G1464" i="1"/>
  <c r="I1463" i="1"/>
  <c r="J1463" i="1" s="1"/>
  <c r="G1463" i="1"/>
  <c r="I1462" i="1"/>
  <c r="J1462" i="1" s="1"/>
  <c r="G1462" i="1"/>
  <c r="J1461" i="1"/>
  <c r="I1461" i="1"/>
  <c r="G1461" i="1"/>
  <c r="H1460" i="1"/>
  <c r="I1460" i="1" s="1"/>
  <c r="J1460" i="1" s="1"/>
  <c r="G1460" i="1"/>
  <c r="I1459" i="1"/>
  <c r="J1459" i="1" s="1"/>
  <c r="H1459" i="1"/>
  <c r="G1459" i="1"/>
  <c r="I1458" i="1"/>
  <c r="J1458" i="1" s="1"/>
  <c r="G1458" i="1"/>
  <c r="I1457" i="1"/>
  <c r="J1457" i="1" s="1"/>
  <c r="G1457" i="1"/>
  <c r="J1456" i="1"/>
  <c r="I1456" i="1"/>
  <c r="G1456" i="1"/>
  <c r="J1455" i="1"/>
  <c r="I1455" i="1"/>
  <c r="G1455" i="1"/>
  <c r="I1454" i="1"/>
  <c r="J1454" i="1" s="1"/>
  <c r="G1454" i="1"/>
  <c r="I1453" i="1"/>
  <c r="J1453" i="1" s="1"/>
  <c r="G1453" i="1"/>
  <c r="J1452" i="1"/>
  <c r="H1452" i="1"/>
  <c r="I1452" i="1" s="1"/>
  <c r="G1452" i="1"/>
  <c r="H1451" i="1"/>
  <c r="I1451" i="1" s="1"/>
  <c r="J1451" i="1" s="1"/>
  <c r="G1451" i="1"/>
  <c r="I1450" i="1"/>
  <c r="J1450" i="1" s="1"/>
  <c r="G1450" i="1"/>
  <c r="J1449" i="1"/>
  <c r="I1449" i="1"/>
  <c r="H1449" i="1"/>
  <c r="G1449" i="1"/>
  <c r="H1448" i="1"/>
  <c r="I1448" i="1" s="1"/>
  <c r="J1448" i="1" s="1"/>
  <c r="G1448" i="1"/>
  <c r="J1447" i="1"/>
  <c r="I1447" i="1"/>
  <c r="G1447" i="1"/>
  <c r="I1446" i="1"/>
  <c r="J1446" i="1" s="1"/>
  <c r="G1446" i="1"/>
  <c r="I1445" i="1"/>
  <c r="J1445" i="1" s="1"/>
  <c r="G1445" i="1"/>
  <c r="I1444" i="1"/>
  <c r="J1444" i="1" s="1"/>
  <c r="G1444" i="1"/>
  <c r="J1443" i="1"/>
  <c r="I1443" i="1"/>
  <c r="G1443" i="1"/>
  <c r="I1442" i="1"/>
  <c r="J1442" i="1" s="1"/>
  <c r="G1442" i="1"/>
  <c r="I1441" i="1"/>
  <c r="J1441" i="1" s="1"/>
  <c r="G1441" i="1"/>
  <c r="I1440" i="1"/>
  <c r="J1440" i="1" s="1"/>
  <c r="G1440" i="1"/>
  <c r="J1439" i="1"/>
  <c r="I1439" i="1"/>
  <c r="G1439" i="1"/>
  <c r="I1438" i="1"/>
  <c r="J1438" i="1" s="1"/>
  <c r="G1438" i="1"/>
  <c r="I1437" i="1"/>
  <c r="J1437" i="1" s="1"/>
  <c r="G1437" i="1"/>
  <c r="I1436" i="1"/>
  <c r="J1436" i="1" s="1"/>
  <c r="G1436" i="1"/>
  <c r="J1435" i="1"/>
  <c r="I1435" i="1"/>
  <c r="G1435" i="1"/>
  <c r="I1434" i="1"/>
  <c r="J1434" i="1" s="1"/>
  <c r="G1434" i="1"/>
  <c r="I1433" i="1"/>
  <c r="J1433" i="1" s="1"/>
  <c r="G1433" i="1"/>
  <c r="H1432" i="1"/>
  <c r="I1432" i="1" s="1"/>
  <c r="J1432" i="1" s="1"/>
  <c r="G1432" i="1"/>
  <c r="I1431" i="1"/>
  <c r="J1431" i="1" s="1"/>
  <c r="G1431" i="1"/>
  <c r="I1430" i="1"/>
  <c r="J1430" i="1" s="1"/>
  <c r="G1430" i="1"/>
  <c r="I1429" i="1"/>
  <c r="J1429" i="1" s="1"/>
  <c r="G1429" i="1"/>
  <c r="H1428" i="1"/>
  <c r="I1428" i="1" s="1"/>
  <c r="J1428" i="1" s="1"/>
  <c r="G1428" i="1"/>
  <c r="I1427" i="1"/>
  <c r="J1427" i="1" s="1"/>
  <c r="G1427" i="1"/>
  <c r="J1426" i="1"/>
  <c r="I1426" i="1"/>
  <c r="G1426" i="1"/>
  <c r="J1425" i="1"/>
  <c r="I1425" i="1"/>
  <c r="G1425" i="1"/>
  <c r="I1424" i="1"/>
  <c r="J1424" i="1" s="1"/>
  <c r="G1424" i="1"/>
  <c r="I1423" i="1"/>
  <c r="J1423" i="1" s="1"/>
  <c r="H1423" i="1"/>
  <c r="G1423" i="1"/>
  <c r="I1422" i="1"/>
  <c r="J1422" i="1" s="1"/>
  <c r="G1422" i="1"/>
  <c r="I1421" i="1"/>
  <c r="J1421" i="1" s="1"/>
  <c r="G1421" i="1"/>
  <c r="J1420" i="1"/>
  <c r="I1420" i="1"/>
  <c r="G1420" i="1"/>
  <c r="J1419" i="1"/>
  <c r="I1419" i="1"/>
  <c r="G1419" i="1"/>
  <c r="I1418" i="1"/>
  <c r="J1418" i="1" s="1"/>
  <c r="G1418" i="1"/>
  <c r="I1417" i="1"/>
  <c r="J1417" i="1" s="1"/>
  <c r="G1417" i="1"/>
  <c r="J1416" i="1"/>
  <c r="I1416" i="1"/>
  <c r="G1416" i="1"/>
  <c r="J1415" i="1"/>
  <c r="I1415" i="1"/>
  <c r="G1415" i="1"/>
  <c r="H1414" i="1"/>
  <c r="I1414" i="1" s="1"/>
  <c r="J1414" i="1" s="1"/>
  <c r="G1414" i="1"/>
  <c r="I1413" i="1"/>
  <c r="J1413" i="1" s="1"/>
  <c r="G1413" i="1"/>
  <c r="H1412" i="1"/>
  <c r="I1412" i="1" s="1"/>
  <c r="J1412" i="1" s="1"/>
  <c r="G1412" i="1"/>
  <c r="J1411" i="1"/>
  <c r="I1411" i="1"/>
  <c r="G1411" i="1"/>
  <c r="J1410" i="1"/>
  <c r="I1410" i="1"/>
  <c r="G1410" i="1"/>
  <c r="I1409" i="1"/>
  <c r="J1409" i="1" s="1"/>
  <c r="H1409" i="1"/>
  <c r="G1409" i="1"/>
  <c r="H1408" i="1"/>
  <c r="I1408" i="1" s="1"/>
  <c r="J1408" i="1" s="1"/>
  <c r="G1408" i="1"/>
  <c r="I1407" i="1"/>
  <c r="J1407" i="1" s="1"/>
  <c r="G1407" i="1"/>
  <c r="I1406" i="1"/>
  <c r="J1406" i="1" s="1"/>
  <c r="G1406" i="1"/>
  <c r="I1405" i="1"/>
  <c r="J1405" i="1" s="1"/>
  <c r="G1405" i="1"/>
  <c r="I1404" i="1"/>
  <c r="J1404" i="1" s="1"/>
  <c r="G1404" i="1"/>
  <c r="J1403" i="1"/>
  <c r="I1403" i="1"/>
  <c r="G1403" i="1"/>
  <c r="I1402" i="1"/>
  <c r="J1402" i="1" s="1"/>
  <c r="G1402" i="1"/>
  <c r="I1401" i="1"/>
  <c r="J1401" i="1" s="1"/>
  <c r="G1401" i="1"/>
  <c r="J1400" i="1"/>
  <c r="I1400" i="1"/>
  <c r="G1400" i="1"/>
  <c r="I1399" i="1"/>
  <c r="J1399" i="1" s="1"/>
  <c r="G1399" i="1"/>
  <c r="I1398" i="1"/>
  <c r="J1398" i="1" s="1"/>
  <c r="G1398" i="1"/>
  <c r="H1397" i="1"/>
  <c r="I1397" i="1" s="1"/>
  <c r="J1397" i="1" s="1"/>
  <c r="G1397" i="1"/>
  <c r="J1396" i="1"/>
  <c r="I1396" i="1"/>
  <c r="G1396" i="1"/>
  <c r="H1395" i="1"/>
  <c r="I1395" i="1" s="1"/>
  <c r="J1395" i="1" s="1"/>
  <c r="G1395" i="1"/>
  <c r="J1394" i="1"/>
  <c r="I1394" i="1"/>
  <c r="G1394" i="1"/>
  <c r="J1393" i="1"/>
  <c r="I1393" i="1"/>
  <c r="G1393" i="1"/>
  <c r="I1392" i="1"/>
  <c r="J1392" i="1" s="1"/>
  <c r="G1392" i="1"/>
  <c r="I1391" i="1"/>
  <c r="J1391" i="1" s="1"/>
  <c r="G1391" i="1"/>
  <c r="J1390" i="1"/>
  <c r="I1390" i="1"/>
  <c r="G1390" i="1"/>
  <c r="J1389" i="1"/>
  <c r="H1389" i="1"/>
  <c r="I1389" i="1" s="1"/>
  <c r="G1389" i="1"/>
  <c r="I1388" i="1"/>
  <c r="J1388" i="1" s="1"/>
  <c r="G1388" i="1"/>
  <c r="I1387" i="1"/>
  <c r="J1387" i="1" s="1"/>
  <c r="G1387" i="1"/>
  <c r="I1386" i="1"/>
  <c r="J1386" i="1" s="1"/>
  <c r="G1386" i="1"/>
  <c r="I1385" i="1"/>
  <c r="J1385" i="1" s="1"/>
  <c r="G1385" i="1"/>
  <c r="I1384" i="1"/>
  <c r="J1384" i="1" s="1"/>
  <c r="G1384" i="1"/>
  <c r="I1383" i="1"/>
  <c r="J1383" i="1" s="1"/>
  <c r="G1383" i="1"/>
  <c r="I1382" i="1"/>
  <c r="J1382" i="1" s="1"/>
  <c r="G1382" i="1"/>
  <c r="J1381" i="1"/>
  <c r="G1381" i="1"/>
  <c r="J1380" i="1"/>
  <c r="G1380" i="1"/>
  <c r="J1379" i="1"/>
  <c r="G1379" i="1"/>
  <c r="J1378" i="1"/>
  <c r="G1378" i="1"/>
  <c r="J1377" i="1"/>
  <c r="G1377" i="1"/>
  <c r="I1376" i="1"/>
  <c r="J1376" i="1" s="1"/>
  <c r="G1376" i="1"/>
  <c r="J1375" i="1"/>
  <c r="I1375" i="1"/>
  <c r="G1375" i="1"/>
  <c r="J1374" i="1"/>
  <c r="I1374" i="1"/>
  <c r="G1374" i="1"/>
  <c r="I1373" i="1"/>
  <c r="J1373" i="1" s="1"/>
  <c r="G1373" i="1"/>
  <c r="I1372" i="1"/>
  <c r="J1372" i="1" s="1"/>
  <c r="G1372" i="1"/>
  <c r="J1371" i="1"/>
  <c r="I1371" i="1"/>
  <c r="G1371" i="1"/>
  <c r="J1370" i="1"/>
  <c r="I1370" i="1"/>
  <c r="G1370" i="1"/>
  <c r="I1369" i="1"/>
  <c r="J1369" i="1" s="1"/>
  <c r="G1369" i="1"/>
  <c r="I1368" i="1"/>
  <c r="J1368" i="1" s="1"/>
  <c r="G1368" i="1"/>
  <c r="J1367" i="1"/>
  <c r="I1367" i="1"/>
  <c r="G1367" i="1"/>
  <c r="J1366" i="1"/>
  <c r="I1366" i="1"/>
  <c r="G1366" i="1"/>
  <c r="I1365" i="1"/>
  <c r="J1365" i="1" s="1"/>
  <c r="G1365" i="1"/>
  <c r="I1364" i="1"/>
  <c r="J1364" i="1" s="1"/>
  <c r="G1364" i="1"/>
  <c r="J1363" i="1"/>
  <c r="I1363" i="1"/>
  <c r="G1363" i="1"/>
  <c r="J1362" i="1"/>
  <c r="I1362" i="1"/>
  <c r="G1362" i="1"/>
  <c r="I1361" i="1"/>
  <c r="J1361" i="1" s="1"/>
  <c r="G1361" i="1"/>
  <c r="I1360" i="1"/>
  <c r="J1360" i="1" s="1"/>
  <c r="G1360" i="1"/>
  <c r="J1359" i="1"/>
  <c r="I1359" i="1"/>
  <c r="G1359" i="1"/>
  <c r="J1358" i="1"/>
  <c r="I1358" i="1"/>
  <c r="G1358" i="1"/>
  <c r="I1357" i="1"/>
  <c r="J1357" i="1" s="1"/>
  <c r="G1357" i="1"/>
  <c r="I1356" i="1"/>
  <c r="J1356" i="1" s="1"/>
  <c r="G1356" i="1"/>
  <c r="J1355" i="1"/>
  <c r="I1355" i="1"/>
  <c r="G1355" i="1"/>
  <c r="J1354" i="1"/>
  <c r="I1354" i="1"/>
  <c r="G1354" i="1"/>
  <c r="I1353" i="1"/>
  <c r="J1353" i="1" s="1"/>
  <c r="G1353" i="1"/>
  <c r="I1352" i="1"/>
  <c r="J1352" i="1" s="1"/>
  <c r="G1352" i="1"/>
  <c r="J1351" i="1"/>
  <c r="I1351" i="1"/>
  <c r="G1351" i="1"/>
  <c r="J1350" i="1"/>
  <c r="I1350" i="1"/>
  <c r="G1350" i="1"/>
  <c r="I1349" i="1"/>
  <c r="J1349" i="1" s="1"/>
  <c r="G1349" i="1"/>
  <c r="I1348" i="1"/>
  <c r="J1348" i="1" s="1"/>
  <c r="H1348" i="1"/>
  <c r="G1348" i="1"/>
  <c r="I1347" i="1"/>
  <c r="J1347" i="1" s="1"/>
  <c r="G1347" i="1"/>
  <c r="I1346" i="1"/>
  <c r="J1346" i="1" s="1"/>
  <c r="G1346" i="1"/>
  <c r="J1345" i="1"/>
  <c r="I1345" i="1"/>
  <c r="G1345" i="1"/>
  <c r="J1344" i="1"/>
  <c r="I1344" i="1"/>
  <c r="G1344" i="1"/>
  <c r="I1343" i="1"/>
  <c r="J1343" i="1" s="1"/>
  <c r="G1343" i="1"/>
  <c r="I1342" i="1"/>
  <c r="J1342" i="1" s="1"/>
  <c r="G1342" i="1"/>
  <c r="J1341" i="1"/>
  <c r="I1341" i="1"/>
  <c r="G1341" i="1"/>
  <c r="I1340" i="1"/>
  <c r="J1340" i="1" s="1"/>
  <c r="G1340" i="1"/>
  <c r="H1339" i="1"/>
  <c r="I1339" i="1" s="1"/>
  <c r="J1339" i="1" s="1"/>
  <c r="G1339" i="1"/>
  <c r="I1338" i="1"/>
  <c r="J1338" i="1" s="1"/>
  <c r="G1338" i="1"/>
  <c r="I1337" i="1"/>
  <c r="J1337" i="1" s="1"/>
  <c r="G1337" i="1"/>
  <c r="I1336" i="1"/>
  <c r="J1336" i="1" s="1"/>
  <c r="H1336" i="1"/>
  <c r="G1336" i="1"/>
  <c r="J1335" i="1"/>
  <c r="I1335" i="1"/>
  <c r="G1335" i="1"/>
  <c r="I1334" i="1"/>
  <c r="J1334" i="1" s="1"/>
  <c r="G1334" i="1"/>
  <c r="I1333" i="1"/>
  <c r="J1333" i="1" s="1"/>
  <c r="G1333" i="1"/>
  <c r="J1332" i="1"/>
  <c r="I1332" i="1"/>
  <c r="G1332" i="1"/>
  <c r="J1331" i="1"/>
  <c r="I1331" i="1"/>
  <c r="G1331" i="1"/>
  <c r="I1330" i="1"/>
  <c r="J1330" i="1" s="1"/>
  <c r="G1330" i="1"/>
  <c r="I1329" i="1"/>
  <c r="J1329" i="1" s="1"/>
  <c r="G1329" i="1"/>
  <c r="J1328" i="1"/>
  <c r="I1328" i="1"/>
  <c r="G1328" i="1"/>
  <c r="J1327" i="1"/>
  <c r="I1327" i="1"/>
  <c r="G1327" i="1"/>
  <c r="I1326" i="1"/>
  <c r="J1326" i="1" s="1"/>
  <c r="G1326" i="1"/>
  <c r="I1325" i="1"/>
  <c r="J1325" i="1" s="1"/>
  <c r="G1325" i="1"/>
  <c r="J1324" i="1"/>
  <c r="I1324" i="1"/>
  <c r="G1324" i="1"/>
  <c r="J1323" i="1"/>
  <c r="I1323" i="1"/>
  <c r="G1323" i="1"/>
  <c r="I1322" i="1"/>
  <c r="J1322" i="1" s="1"/>
  <c r="G1322" i="1"/>
  <c r="H1321" i="1"/>
  <c r="I1321" i="1" s="1"/>
  <c r="J1321" i="1" s="1"/>
  <c r="G1321" i="1"/>
  <c r="I1320" i="1"/>
  <c r="J1320" i="1" s="1"/>
  <c r="G1320" i="1"/>
  <c r="I1319" i="1"/>
  <c r="J1319" i="1" s="1"/>
  <c r="H1319" i="1"/>
  <c r="G1319" i="1"/>
  <c r="H1318" i="1"/>
  <c r="I1318" i="1" s="1"/>
  <c r="J1318" i="1" s="1"/>
  <c r="G1318" i="1"/>
  <c r="J1317" i="1"/>
  <c r="H1317" i="1"/>
  <c r="I1317" i="1" s="1"/>
  <c r="G1317" i="1"/>
  <c r="I1316" i="1"/>
  <c r="J1316" i="1" s="1"/>
  <c r="H1316" i="1"/>
  <c r="G1316" i="1"/>
  <c r="H1315" i="1"/>
  <c r="I1315" i="1" s="1"/>
  <c r="J1315" i="1" s="1"/>
  <c r="G1315" i="1"/>
  <c r="J1314" i="1"/>
  <c r="I1314" i="1"/>
  <c r="G1314" i="1"/>
  <c r="J1313" i="1"/>
  <c r="I1313" i="1"/>
  <c r="G1313" i="1"/>
  <c r="I1312" i="1"/>
  <c r="J1312" i="1" s="1"/>
  <c r="G1312" i="1"/>
  <c r="I1311" i="1"/>
  <c r="J1311" i="1" s="1"/>
  <c r="G1311" i="1"/>
  <c r="H1310" i="1"/>
  <c r="I1310" i="1" s="1"/>
  <c r="J1310" i="1" s="1"/>
  <c r="G1310" i="1"/>
  <c r="I1309" i="1"/>
  <c r="J1309" i="1" s="1"/>
  <c r="H1309" i="1"/>
  <c r="G1309" i="1"/>
  <c r="I1308" i="1"/>
  <c r="J1308" i="1" s="1"/>
  <c r="G1308" i="1"/>
  <c r="I1307" i="1"/>
  <c r="J1307" i="1" s="1"/>
  <c r="H1307" i="1"/>
  <c r="G1307" i="1"/>
  <c r="H1306" i="1"/>
  <c r="I1306" i="1" s="1"/>
  <c r="J1306" i="1" s="1"/>
  <c r="G1306" i="1"/>
  <c r="H1305" i="1"/>
  <c r="I1305" i="1" s="1"/>
  <c r="J1305" i="1" s="1"/>
  <c r="G1305" i="1"/>
  <c r="J1304" i="1"/>
  <c r="I1304" i="1"/>
  <c r="H1304" i="1"/>
  <c r="G1304" i="1"/>
  <c r="H1303" i="1"/>
  <c r="I1303" i="1" s="1"/>
  <c r="J1303" i="1" s="1"/>
  <c r="G1303" i="1"/>
  <c r="J1302" i="1"/>
  <c r="H1302" i="1"/>
  <c r="I1302" i="1" s="1"/>
  <c r="G1302" i="1"/>
  <c r="I1301" i="1"/>
  <c r="J1301" i="1" s="1"/>
  <c r="G1301" i="1"/>
  <c r="I1300" i="1"/>
  <c r="J1300" i="1" s="1"/>
  <c r="H1300" i="1"/>
  <c r="G1300" i="1"/>
  <c r="I1299" i="1"/>
  <c r="J1299" i="1" s="1"/>
  <c r="H1299" i="1"/>
  <c r="G1299" i="1"/>
  <c r="H1298" i="1"/>
  <c r="I1298" i="1" s="1"/>
  <c r="J1298" i="1" s="1"/>
  <c r="G1298" i="1"/>
  <c r="J1297" i="1"/>
  <c r="I1297" i="1"/>
  <c r="H1297" i="1"/>
  <c r="G1297" i="1"/>
  <c r="I1296" i="1"/>
  <c r="J1296" i="1" s="1"/>
  <c r="G1296" i="1"/>
  <c r="I1295" i="1"/>
  <c r="J1295" i="1" s="1"/>
  <c r="G1295" i="1"/>
  <c r="J1294" i="1"/>
  <c r="I1294" i="1"/>
  <c r="G1294" i="1"/>
  <c r="J1293" i="1"/>
  <c r="I1293" i="1"/>
  <c r="G1293" i="1"/>
  <c r="I1292" i="1"/>
  <c r="J1292" i="1" s="1"/>
  <c r="G1292" i="1"/>
  <c r="I1291" i="1"/>
  <c r="J1291" i="1" s="1"/>
  <c r="G1291" i="1"/>
  <c r="J1290" i="1"/>
  <c r="I1290" i="1"/>
  <c r="G1290" i="1"/>
  <c r="J1289" i="1"/>
  <c r="I1289" i="1"/>
  <c r="G1289" i="1"/>
  <c r="I1288" i="1"/>
  <c r="J1288" i="1" s="1"/>
  <c r="G1288" i="1"/>
  <c r="I1287" i="1"/>
  <c r="J1287" i="1" s="1"/>
  <c r="G1287" i="1"/>
  <c r="J1286" i="1"/>
  <c r="I1286" i="1"/>
  <c r="G1286" i="1"/>
  <c r="J1285" i="1"/>
  <c r="I1285" i="1"/>
  <c r="G1285" i="1"/>
  <c r="I1284" i="1"/>
  <c r="J1284" i="1" s="1"/>
  <c r="G1284" i="1"/>
  <c r="I1283" i="1"/>
  <c r="J1283" i="1" s="1"/>
  <c r="G1283" i="1"/>
  <c r="J1282" i="1"/>
  <c r="I1282" i="1"/>
  <c r="G1282" i="1"/>
  <c r="J1281" i="1"/>
  <c r="I1281" i="1"/>
  <c r="G1281" i="1"/>
  <c r="I1280" i="1"/>
  <c r="J1280" i="1" s="1"/>
  <c r="G1280" i="1"/>
  <c r="I1279" i="1"/>
  <c r="J1279" i="1" s="1"/>
  <c r="G1279" i="1"/>
  <c r="J1278" i="1"/>
  <c r="I1278" i="1"/>
  <c r="G1278" i="1"/>
  <c r="J1277" i="1"/>
  <c r="I1277" i="1"/>
  <c r="G1277" i="1"/>
  <c r="I1276" i="1"/>
  <c r="J1276" i="1" s="1"/>
  <c r="G1276" i="1"/>
  <c r="I1275" i="1"/>
  <c r="J1275" i="1" s="1"/>
  <c r="G1275" i="1"/>
  <c r="J1274" i="1"/>
  <c r="I1274" i="1"/>
  <c r="G1274" i="1"/>
  <c r="J1273" i="1"/>
  <c r="I1273" i="1"/>
  <c r="G1273" i="1"/>
  <c r="I1272" i="1"/>
  <c r="J1272" i="1" s="1"/>
  <c r="G1272" i="1"/>
  <c r="I1271" i="1"/>
  <c r="J1271" i="1" s="1"/>
  <c r="G1271" i="1"/>
  <c r="J1270" i="1"/>
  <c r="I1270" i="1"/>
  <c r="G1270" i="1"/>
  <c r="H1269" i="1"/>
  <c r="I1269" i="1" s="1"/>
  <c r="J1269" i="1" s="1"/>
  <c r="G1269" i="1"/>
  <c r="H1268" i="1"/>
  <c r="I1268" i="1" s="1"/>
  <c r="J1268" i="1" s="1"/>
  <c r="G1268" i="1"/>
  <c r="J1267" i="1"/>
  <c r="I1267" i="1"/>
  <c r="G1267" i="1"/>
  <c r="I1266" i="1"/>
  <c r="J1266" i="1" s="1"/>
  <c r="G1266" i="1"/>
  <c r="H1265" i="1"/>
  <c r="I1265" i="1" s="1"/>
  <c r="J1265" i="1" s="1"/>
  <c r="G1265" i="1"/>
  <c r="I1264" i="1"/>
  <c r="J1264" i="1" s="1"/>
  <c r="G1264" i="1"/>
  <c r="J1263" i="1"/>
  <c r="H1263" i="1"/>
  <c r="I1263" i="1" s="1"/>
  <c r="G1263" i="1"/>
  <c r="H1262" i="1"/>
  <c r="I1262" i="1" s="1"/>
  <c r="J1262" i="1" s="1"/>
  <c r="G1262" i="1"/>
  <c r="J1261" i="1"/>
  <c r="I1261" i="1"/>
  <c r="G1261" i="1"/>
  <c r="I1260" i="1"/>
  <c r="J1260" i="1" s="1"/>
  <c r="G1260" i="1"/>
  <c r="J1259" i="1"/>
  <c r="I1259" i="1"/>
  <c r="G1259" i="1"/>
  <c r="I1258" i="1"/>
  <c r="J1258" i="1" s="1"/>
  <c r="G1258" i="1"/>
  <c r="I1257" i="1"/>
  <c r="J1257" i="1" s="1"/>
  <c r="G1257" i="1"/>
  <c r="I1256" i="1"/>
  <c r="J1256" i="1" s="1"/>
  <c r="G1256" i="1"/>
  <c r="J1255" i="1"/>
  <c r="I1255" i="1"/>
  <c r="G1255" i="1"/>
  <c r="I1254" i="1"/>
  <c r="J1254" i="1" s="1"/>
  <c r="G1254" i="1"/>
  <c r="I1253" i="1"/>
  <c r="J1253" i="1" s="1"/>
  <c r="G1253" i="1"/>
  <c r="J1252" i="1"/>
  <c r="I1252" i="1"/>
  <c r="G1252" i="1"/>
  <c r="J1251" i="1"/>
  <c r="I1251" i="1"/>
  <c r="G1251" i="1"/>
  <c r="I1250" i="1"/>
  <c r="J1250" i="1" s="1"/>
  <c r="G1250" i="1"/>
  <c r="I1249" i="1"/>
  <c r="J1249" i="1" s="1"/>
  <c r="G1249" i="1"/>
  <c r="J1248" i="1"/>
  <c r="I1248" i="1"/>
  <c r="G1248" i="1"/>
  <c r="I1247" i="1"/>
  <c r="J1247" i="1" s="1"/>
  <c r="G1247" i="1"/>
  <c r="J1246" i="1"/>
  <c r="I1245" i="1"/>
  <c r="J1245" i="1" s="1"/>
  <c r="G1245" i="1"/>
  <c r="I1244" i="1"/>
  <c r="J1244" i="1" s="1"/>
  <c r="G1244" i="1"/>
  <c r="J1243" i="1"/>
  <c r="I1243" i="1"/>
  <c r="G1243" i="1"/>
  <c r="J1242" i="1"/>
  <c r="I1242" i="1"/>
  <c r="G1242" i="1"/>
  <c r="I1241" i="1"/>
  <c r="J1241" i="1" s="1"/>
  <c r="G1241" i="1"/>
  <c r="I1240" i="1"/>
  <c r="J1240" i="1" s="1"/>
  <c r="G1240" i="1"/>
  <c r="J1239" i="1"/>
  <c r="I1239" i="1"/>
  <c r="G1239" i="1"/>
  <c r="J1238" i="1"/>
  <c r="I1238" i="1"/>
  <c r="G1238" i="1"/>
  <c r="I1237" i="1"/>
  <c r="J1237" i="1" s="1"/>
  <c r="G1237" i="1"/>
  <c r="I1236" i="1"/>
  <c r="J1236" i="1" s="1"/>
  <c r="G1236" i="1"/>
  <c r="J1235" i="1"/>
  <c r="H1235" i="1"/>
  <c r="I1235" i="1" s="1"/>
  <c r="G1235" i="1"/>
  <c r="I1234" i="1"/>
  <c r="J1234" i="1" s="1"/>
  <c r="G1234" i="1"/>
  <c r="J1233" i="1"/>
  <c r="I1233" i="1"/>
  <c r="G1233" i="1"/>
  <c r="H1232" i="1"/>
  <c r="I1232" i="1" s="1"/>
  <c r="J1232" i="1" s="1"/>
  <c r="G1232" i="1"/>
  <c r="J1231" i="1"/>
  <c r="I1231" i="1"/>
  <c r="H1231" i="1"/>
  <c r="G1231" i="1"/>
  <c r="I1230" i="1"/>
  <c r="J1230" i="1" s="1"/>
  <c r="G1230" i="1"/>
  <c r="I1229" i="1"/>
  <c r="J1229" i="1" s="1"/>
  <c r="G1229" i="1"/>
  <c r="J1228" i="1"/>
  <c r="I1228" i="1"/>
  <c r="G1228" i="1"/>
  <c r="J1227" i="1"/>
  <c r="I1227" i="1"/>
  <c r="G1227" i="1"/>
  <c r="I1226" i="1"/>
  <c r="J1226" i="1" s="1"/>
  <c r="G1226" i="1"/>
  <c r="I1225" i="1"/>
  <c r="J1225" i="1" s="1"/>
  <c r="G1225" i="1"/>
  <c r="J1224" i="1"/>
  <c r="I1224" i="1"/>
  <c r="G1224" i="1"/>
  <c r="J1223" i="1"/>
  <c r="I1223" i="1"/>
  <c r="G1223" i="1"/>
  <c r="I1222" i="1"/>
  <c r="J1222" i="1" s="1"/>
  <c r="G1222" i="1"/>
  <c r="I1221" i="1"/>
  <c r="J1221" i="1" s="1"/>
  <c r="G1221" i="1"/>
  <c r="H1220" i="1"/>
  <c r="I1220" i="1" s="1"/>
  <c r="J1220" i="1" s="1"/>
  <c r="G1220" i="1"/>
  <c r="J1219" i="1"/>
  <c r="G1219" i="1"/>
  <c r="I1218" i="1"/>
  <c r="J1218" i="1" s="1"/>
  <c r="G1218" i="1"/>
  <c r="I1217" i="1"/>
  <c r="J1217" i="1" s="1"/>
  <c r="G1217" i="1"/>
  <c r="J1216" i="1"/>
  <c r="I1216" i="1"/>
  <c r="G1216" i="1"/>
  <c r="J1215" i="1"/>
  <c r="I1215" i="1"/>
  <c r="H1215" i="1"/>
  <c r="G1215" i="1"/>
  <c r="J1214" i="1"/>
  <c r="I1214" i="1"/>
  <c r="G1214" i="1"/>
  <c r="I1213" i="1"/>
  <c r="J1213" i="1" s="1"/>
  <c r="G1213" i="1"/>
  <c r="I1212" i="1"/>
  <c r="J1212" i="1" s="1"/>
  <c r="G1212" i="1"/>
  <c r="I1211" i="1"/>
  <c r="J1211" i="1" s="1"/>
  <c r="G1211" i="1"/>
  <c r="H1210" i="1"/>
  <c r="I1210" i="1" s="1"/>
  <c r="J1210" i="1" s="1"/>
  <c r="G1210" i="1"/>
  <c r="I1209" i="1"/>
  <c r="J1209" i="1" s="1"/>
  <c r="H1209" i="1"/>
  <c r="G1209" i="1"/>
  <c r="H1208" i="1"/>
  <c r="I1208" i="1" s="1"/>
  <c r="J1208" i="1" s="1"/>
  <c r="G1208" i="1"/>
  <c r="H1207" i="1"/>
  <c r="I1207" i="1" s="1"/>
  <c r="J1207" i="1" s="1"/>
  <c r="G1207" i="1"/>
  <c r="J1206" i="1"/>
  <c r="I1206" i="1"/>
  <c r="H1206" i="1"/>
  <c r="G1206" i="1"/>
  <c r="J1205" i="1"/>
  <c r="I1205" i="1"/>
  <c r="G1205" i="1"/>
  <c r="I1204" i="1"/>
  <c r="J1204" i="1" s="1"/>
  <c r="G1204" i="1"/>
  <c r="J1203" i="1"/>
  <c r="G1203" i="1"/>
  <c r="I1202" i="1"/>
  <c r="J1202" i="1" s="1"/>
  <c r="H1202" i="1"/>
  <c r="G1202" i="1"/>
  <c r="J1201" i="1"/>
  <c r="I1201" i="1"/>
  <c r="G1201" i="1"/>
  <c r="I1200" i="1"/>
  <c r="J1200" i="1" s="1"/>
  <c r="G1200" i="1"/>
  <c r="I1199" i="1"/>
  <c r="J1199" i="1" s="1"/>
  <c r="G1199" i="1"/>
  <c r="J1198" i="1"/>
  <c r="I1198" i="1"/>
  <c r="G1198" i="1"/>
  <c r="J1197" i="1"/>
  <c r="I1197" i="1"/>
  <c r="G1197" i="1"/>
  <c r="I1196" i="1"/>
  <c r="J1196" i="1" s="1"/>
  <c r="G1196" i="1"/>
  <c r="I1195" i="1"/>
  <c r="J1195" i="1" s="1"/>
  <c r="G1195" i="1"/>
  <c r="J1194" i="1"/>
  <c r="I1194" i="1"/>
  <c r="G1194" i="1"/>
  <c r="J1193" i="1"/>
  <c r="I1193" i="1"/>
  <c r="G1193" i="1"/>
  <c r="I1192" i="1"/>
  <c r="J1192" i="1" s="1"/>
  <c r="G1192" i="1"/>
  <c r="I1191" i="1"/>
  <c r="J1191" i="1" s="1"/>
  <c r="G1191" i="1"/>
  <c r="J1190" i="1"/>
  <c r="I1190" i="1"/>
  <c r="G1190" i="1"/>
  <c r="J1189" i="1"/>
  <c r="I1189" i="1"/>
  <c r="G1189" i="1"/>
  <c r="I1188" i="1"/>
  <c r="J1188" i="1" s="1"/>
  <c r="G1188" i="1"/>
  <c r="I1187" i="1"/>
  <c r="J1187" i="1" s="1"/>
  <c r="G1187" i="1"/>
  <c r="J1186" i="1"/>
  <c r="I1186" i="1"/>
  <c r="G1186" i="1"/>
  <c r="J1185" i="1"/>
  <c r="I1185" i="1"/>
  <c r="G1185" i="1"/>
  <c r="J1184" i="1"/>
  <c r="G1184" i="1"/>
  <c r="H1183" i="1"/>
  <c r="I1183" i="1" s="1"/>
  <c r="J1183" i="1" s="1"/>
  <c r="G1183" i="1"/>
  <c r="J1182" i="1"/>
  <c r="I1182" i="1"/>
  <c r="G1182" i="1"/>
  <c r="J1181" i="1"/>
  <c r="I1181" i="1"/>
  <c r="G1181" i="1"/>
  <c r="I1180" i="1"/>
  <c r="J1180" i="1" s="1"/>
  <c r="G1180" i="1"/>
  <c r="I1179" i="1"/>
  <c r="J1179" i="1" s="1"/>
  <c r="G1179" i="1"/>
  <c r="J1178" i="1"/>
  <c r="I1178" i="1"/>
  <c r="G1178" i="1"/>
  <c r="J1177" i="1"/>
  <c r="I1177" i="1"/>
  <c r="G1177" i="1"/>
  <c r="I1176" i="1"/>
  <c r="J1176" i="1" s="1"/>
  <c r="G1176" i="1"/>
  <c r="I1175" i="1"/>
  <c r="J1175" i="1" s="1"/>
  <c r="G1175" i="1"/>
  <c r="J1174" i="1"/>
  <c r="I1174" i="1"/>
  <c r="G1174" i="1"/>
  <c r="J1173" i="1"/>
  <c r="I1173" i="1"/>
  <c r="G1173" i="1"/>
  <c r="I1172" i="1"/>
  <c r="J1172" i="1" s="1"/>
  <c r="G1172" i="1"/>
  <c r="I1171" i="1"/>
  <c r="J1171" i="1" s="1"/>
  <c r="G1171" i="1"/>
  <c r="J1170" i="1"/>
  <c r="I1170" i="1"/>
  <c r="G1170" i="1"/>
  <c r="J1169" i="1"/>
  <c r="I1169" i="1"/>
  <c r="G1169" i="1"/>
  <c r="I1168" i="1"/>
  <c r="J1168" i="1" s="1"/>
  <c r="G1168" i="1"/>
  <c r="I1167" i="1"/>
  <c r="J1167" i="1" s="1"/>
  <c r="G1167" i="1"/>
  <c r="J1166" i="1"/>
  <c r="I1166" i="1"/>
  <c r="G1166" i="1"/>
  <c r="J1165" i="1"/>
  <c r="I1165" i="1"/>
  <c r="G1165" i="1"/>
  <c r="I1164" i="1"/>
  <c r="J1164" i="1" s="1"/>
  <c r="F1164" i="1"/>
  <c r="G1164" i="1" s="1"/>
  <c r="I1163" i="1"/>
  <c r="J1163" i="1" s="1"/>
  <c r="G1163" i="1"/>
  <c r="I1162" i="1"/>
  <c r="J1162" i="1" s="1"/>
  <c r="H1162" i="1"/>
  <c r="G1162" i="1"/>
  <c r="I1161" i="1"/>
  <c r="J1161" i="1" s="1"/>
  <c r="G1161" i="1"/>
  <c r="I1160" i="1"/>
  <c r="J1160" i="1" s="1"/>
  <c r="G1160" i="1"/>
  <c r="J1159" i="1"/>
  <c r="I1159" i="1"/>
  <c r="G1159" i="1"/>
  <c r="I1158" i="1"/>
  <c r="J1158" i="1" s="1"/>
  <c r="G1158" i="1"/>
  <c r="I1157" i="1"/>
  <c r="J1157" i="1" s="1"/>
  <c r="G1157" i="1"/>
  <c r="I1156" i="1"/>
  <c r="J1156" i="1" s="1"/>
  <c r="G1156" i="1"/>
  <c r="J1155" i="1"/>
  <c r="I1155" i="1"/>
  <c r="G1155" i="1"/>
  <c r="I1154" i="1"/>
  <c r="J1154" i="1" s="1"/>
  <c r="G1154" i="1"/>
  <c r="I1153" i="1"/>
  <c r="J1153" i="1" s="1"/>
  <c r="G1153" i="1"/>
  <c r="I1152" i="1"/>
  <c r="J1152" i="1" s="1"/>
  <c r="G1152" i="1"/>
  <c r="J1151" i="1"/>
  <c r="I1151" i="1"/>
  <c r="G1151" i="1"/>
  <c r="I1150" i="1"/>
  <c r="J1150" i="1" s="1"/>
  <c r="G1150" i="1"/>
  <c r="I1149" i="1"/>
  <c r="J1149" i="1" s="1"/>
  <c r="G1149" i="1"/>
  <c r="I1148" i="1"/>
  <c r="J1148" i="1" s="1"/>
  <c r="G1148" i="1"/>
  <c r="I1147" i="1"/>
  <c r="J1147" i="1" s="1"/>
  <c r="G1147" i="1"/>
  <c r="I1146" i="1"/>
  <c r="J1146" i="1" s="1"/>
  <c r="G1146" i="1"/>
  <c r="I1145" i="1"/>
  <c r="J1145" i="1" s="1"/>
  <c r="G1145" i="1"/>
  <c r="I1144" i="1"/>
  <c r="J1144" i="1" s="1"/>
  <c r="G1144" i="1"/>
  <c r="I1143" i="1"/>
  <c r="J1143" i="1" s="1"/>
  <c r="G1143" i="1"/>
  <c r="I1142" i="1"/>
  <c r="J1142" i="1" s="1"/>
  <c r="G1142" i="1"/>
  <c r="I1141" i="1"/>
  <c r="J1141" i="1" s="1"/>
  <c r="G1141" i="1"/>
  <c r="I1140" i="1"/>
  <c r="J1140" i="1" s="1"/>
  <c r="G1140" i="1"/>
  <c r="I1139" i="1"/>
  <c r="J1139" i="1" s="1"/>
  <c r="G1139" i="1"/>
  <c r="J1138" i="1"/>
  <c r="I1138" i="1"/>
  <c r="G1138" i="1"/>
  <c r="I1137" i="1"/>
  <c r="J1137" i="1" s="1"/>
  <c r="G1137" i="1"/>
  <c r="I1136" i="1"/>
  <c r="J1136" i="1" s="1"/>
  <c r="G1136" i="1"/>
  <c r="J1135" i="1"/>
  <c r="I1135" i="1"/>
  <c r="G1135" i="1"/>
  <c r="I1134" i="1"/>
  <c r="J1134" i="1" s="1"/>
  <c r="G1134" i="1"/>
  <c r="I1133" i="1"/>
  <c r="J1133" i="1" s="1"/>
  <c r="G1133" i="1"/>
  <c r="I1132" i="1"/>
  <c r="J1132" i="1" s="1"/>
  <c r="G1132" i="1"/>
  <c r="J1131" i="1"/>
  <c r="I1131" i="1"/>
  <c r="G1131" i="1"/>
  <c r="I1130" i="1"/>
  <c r="J1130" i="1" s="1"/>
  <c r="G1130" i="1"/>
  <c r="I1129" i="1"/>
  <c r="J1129" i="1" s="1"/>
  <c r="G1129" i="1"/>
  <c r="I1128" i="1"/>
  <c r="J1128" i="1" s="1"/>
  <c r="G1128" i="1"/>
  <c r="J1127" i="1"/>
  <c r="I1127" i="1"/>
  <c r="G1127" i="1"/>
  <c r="I1126" i="1"/>
  <c r="J1126" i="1" s="1"/>
  <c r="H1126" i="1"/>
  <c r="G1126" i="1"/>
  <c r="I1125" i="1"/>
  <c r="J1125" i="1" s="1"/>
  <c r="G1125" i="1"/>
  <c r="I1124" i="1"/>
  <c r="J1124" i="1" s="1"/>
  <c r="G1124" i="1"/>
  <c r="J1123" i="1"/>
  <c r="I1123" i="1"/>
  <c r="G1123" i="1"/>
  <c r="J1122" i="1"/>
  <c r="I1122" i="1"/>
  <c r="G1122" i="1"/>
  <c r="I1121" i="1"/>
  <c r="J1121" i="1" s="1"/>
  <c r="G1121" i="1"/>
  <c r="I1120" i="1"/>
  <c r="J1120" i="1" s="1"/>
  <c r="G1120" i="1"/>
  <c r="J1119" i="1"/>
  <c r="I1119" i="1"/>
  <c r="G1119" i="1"/>
  <c r="J1118" i="1"/>
  <c r="I1118" i="1"/>
  <c r="G1118" i="1"/>
  <c r="I1117" i="1"/>
  <c r="J1117" i="1" s="1"/>
  <c r="G1117" i="1"/>
  <c r="I1116" i="1"/>
  <c r="J1116" i="1" s="1"/>
  <c r="G1116" i="1"/>
  <c r="J1115" i="1"/>
  <c r="I1115" i="1"/>
  <c r="G1115" i="1"/>
  <c r="J1114" i="1"/>
  <c r="I1114" i="1"/>
  <c r="G1114" i="1"/>
  <c r="I1113" i="1"/>
  <c r="J1113" i="1" s="1"/>
  <c r="G1113" i="1"/>
  <c r="I1112" i="1"/>
  <c r="J1112" i="1" s="1"/>
  <c r="G1112" i="1"/>
  <c r="J1111" i="1"/>
  <c r="I1111" i="1"/>
  <c r="G1111" i="1"/>
  <c r="J1110" i="1"/>
  <c r="I1110" i="1"/>
  <c r="G1110" i="1"/>
  <c r="I1109" i="1"/>
  <c r="J1109" i="1" s="1"/>
  <c r="G1109" i="1"/>
  <c r="F1108" i="1"/>
  <c r="I1108" i="1" s="1"/>
  <c r="J1108" i="1" s="1"/>
  <c r="I1107" i="1"/>
  <c r="J1107" i="1" s="1"/>
  <c r="G1107" i="1"/>
  <c r="I1106" i="1"/>
  <c r="J1106" i="1" s="1"/>
  <c r="G1106" i="1"/>
  <c r="J1105" i="1"/>
  <c r="I1105" i="1"/>
  <c r="G1105" i="1"/>
  <c r="J1104" i="1"/>
  <c r="I1104" i="1"/>
  <c r="G1104" i="1"/>
  <c r="I1103" i="1"/>
  <c r="J1103" i="1" s="1"/>
  <c r="G1103" i="1"/>
  <c r="I1102" i="1"/>
  <c r="J1102" i="1" s="1"/>
  <c r="H1102" i="1"/>
  <c r="G1102" i="1"/>
  <c r="I1101" i="1"/>
  <c r="J1101" i="1" s="1"/>
  <c r="G1101" i="1"/>
  <c r="J1100" i="1"/>
  <c r="I1100" i="1"/>
  <c r="G1100" i="1"/>
  <c r="J1099" i="1"/>
  <c r="I1099" i="1"/>
  <c r="G1099" i="1"/>
  <c r="J1098" i="1"/>
  <c r="I1098" i="1"/>
  <c r="G1098" i="1"/>
  <c r="I1097" i="1"/>
  <c r="J1097" i="1" s="1"/>
  <c r="G1097" i="1"/>
  <c r="I1096" i="1"/>
  <c r="J1096" i="1" s="1"/>
  <c r="G1096" i="1"/>
  <c r="I1095" i="1"/>
  <c r="J1095" i="1" s="1"/>
  <c r="G1095" i="1"/>
  <c r="J1094" i="1"/>
  <c r="I1094" i="1"/>
  <c r="G1094" i="1"/>
  <c r="I1093" i="1"/>
  <c r="J1093" i="1" s="1"/>
  <c r="G1093" i="1"/>
  <c r="I1092" i="1"/>
  <c r="J1092" i="1" s="1"/>
  <c r="G1092" i="1"/>
  <c r="I1091" i="1"/>
  <c r="J1091" i="1" s="1"/>
  <c r="G1091" i="1"/>
  <c r="J1090" i="1"/>
  <c r="I1090" i="1"/>
  <c r="G1090" i="1"/>
  <c r="I1089" i="1"/>
  <c r="J1089" i="1" s="1"/>
  <c r="G1089" i="1"/>
  <c r="J1088" i="1"/>
  <c r="G1088" i="1"/>
  <c r="I1087" i="1"/>
  <c r="J1087" i="1" s="1"/>
  <c r="G1087" i="1"/>
  <c r="I1086" i="1"/>
  <c r="J1086" i="1" s="1"/>
  <c r="G1086" i="1"/>
  <c r="J1085" i="1"/>
  <c r="I1085" i="1"/>
  <c r="G1085" i="1"/>
  <c r="I1084" i="1"/>
  <c r="J1084" i="1" s="1"/>
  <c r="G1084" i="1"/>
  <c r="I1083" i="1"/>
  <c r="J1083" i="1" s="1"/>
  <c r="G1083" i="1"/>
  <c r="I1082" i="1"/>
  <c r="J1082" i="1" s="1"/>
  <c r="G1082" i="1"/>
  <c r="J1081" i="1"/>
  <c r="I1081" i="1"/>
  <c r="G1081" i="1"/>
  <c r="I1080" i="1"/>
  <c r="J1080" i="1" s="1"/>
  <c r="G1080" i="1"/>
  <c r="I1079" i="1"/>
  <c r="J1079" i="1" s="1"/>
  <c r="G1079" i="1"/>
  <c r="I1078" i="1"/>
  <c r="J1078" i="1" s="1"/>
  <c r="G1078" i="1"/>
  <c r="J1077" i="1"/>
  <c r="I1077" i="1"/>
  <c r="H1077" i="1"/>
  <c r="G1077" i="1"/>
  <c r="J1076" i="1"/>
  <c r="I1076" i="1"/>
  <c r="G1076" i="1"/>
  <c r="I1075" i="1"/>
  <c r="J1075" i="1" s="1"/>
  <c r="H1075" i="1"/>
  <c r="G1075" i="1"/>
  <c r="I1074" i="1"/>
  <c r="J1074" i="1" s="1"/>
  <c r="H1074" i="1"/>
  <c r="G1074" i="1"/>
  <c r="I1073" i="1"/>
  <c r="J1073" i="1" s="1"/>
  <c r="H1073" i="1"/>
  <c r="G1073" i="1"/>
  <c r="I1072" i="1"/>
  <c r="J1072" i="1" s="1"/>
  <c r="G1072" i="1"/>
  <c r="J1071" i="1"/>
  <c r="I1071" i="1"/>
  <c r="G1071" i="1"/>
  <c r="I1070" i="1"/>
  <c r="J1070" i="1" s="1"/>
  <c r="G1070" i="1"/>
  <c r="I1069" i="1"/>
  <c r="J1069" i="1" s="1"/>
  <c r="G1069" i="1"/>
  <c r="I1068" i="1"/>
  <c r="J1068" i="1" s="1"/>
  <c r="G1068" i="1"/>
  <c r="H1067" i="1"/>
  <c r="I1067" i="1" s="1"/>
  <c r="J1067" i="1" s="1"/>
  <c r="G1067" i="1"/>
  <c r="I1066" i="1"/>
  <c r="J1066" i="1" s="1"/>
  <c r="G1066" i="1"/>
  <c r="H1065" i="1"/>
  <c r="I1065" i="1" s="1"/>
  <c r="J1065" i="1" s="1"/>
  <c r="G1065" i="1"/>
  <c r="I1064" i="1"/>
  <c r="J1064" i="1" s="1"/>
  <c r="G1064" i="1"/>
  <c r="J1063" i="1"/>
  <c r="I1063" i="1"/>
  <c r="G1063" i="1"/>
  <c r="J1062" i="1"/>
  <c r="I1062" i="1"/>
  <c r="G1062" i="1"/>
  <c r="I1061" i="1"/>
  <c r="J1061" i="1" s="1"/>
  <c r="G1061" i="1"/>
  <c r="I1060" i="1"/>
  <c r="J1060" i="1" s="1"/>
  <c r="H1060" i="1"/>
  <c r="G1060" i="1"/>
  <c r="H1059" i="1"/>
  <c r="I1059" i="1" s="1"/>
  <c r="J1059" i="1" s="1"/>
  <c r="G1059" i="1"/>
  <c r="J1058" i="1"/>
  <c r="I1058" i="1"/>
  <c r="G1058" i="1"/>
  <c r="J1057" i="1"/>
  <c r="I1057" i="1"/>
  <c r="G1057" i="1"/>
  <c r="I1056" i="1"/>
  <c r="J1056" i="1" s="1"/>
  <c r="G1056" i="1"/>
  <c r="H1055" i="1"/>
  <c r="I1055" i="1" s="1"/>
  <c r="J1055" i="1" s="1"/>
  <c r="G1055" i="1"/>
  <c r="I1054" i="1"/>
  <c r="J1054" i="1" s="1"/>
  <c r="G1054" i="1"/>
  <c r="J1053" i="1"/>
  <c r="I1053" i="1"/>
  <c r="G1053" i="1"/>
  <c r="J1052" i="1"/>
  <c r="I1052" i="1"/>
  <c r="G1052" i="1"/>
  <c r="J1051" i="1"/>
  <c r="I1051" i="1"/>
  <c r="G1051" i="1"/>
  <c r="I1050" i="1"/>
  <c r="J1050" i="1" s="1"/>
  <c r="G1050" i="1"/>
  <c r="J1049" i="1"/>
  <c r="I1049" i="1"/>
  <c r="G1049" i="1"/>
  <c r="J1048" i="1"/>
  <c r="I1048" i="1"/>
  <c r="G1048" i="1"/>
  <c r="I1047" i="1"/>
  <c r="J1047" i="1" s="1"/>
  <c r="G1047" i="1"/>
  <c r="I1046" i="1"/>
  <c r="J1046" i="1" s="1"/>
  <c r="G1046" i="1"/>
  <c r="I1045" i="1"/>
  <c r="J1045" i="1" s="1"/>
  <c r="G1045" i="1"/>
  <c r="J1044" i="1"/>
  <c r="I1044" i="1"/>
  <c r="G1044" i="1"/>
  <c r="I1043" i="1"/>
  <c r="J1043" i="1" s="1"/>
  <c r="G1043" i="1"/>
  <c r="I1042" i="1"/>
  <c r="J1042" i="1" s="1"/>
  <c r="G1042" i="1"/>
  <c r="I1041" i="1"/>
  <c r="J1041" i="1" s="1"/>
  <c r="G1041" i="1"/>
  <c r="H1040" i="1"/>
  <c r="I1040" i="1" s="1"/>
  <c r="J1040" i="1" s="1"/>
  <c r="G1040" i="1"/>
  <c r="J1039" i="1"/>
  <c r="I1039" i="1"/>
  <c r="G1039" i="1"/>
  <c r="I1038" i="1"/>
  <c r="J1038" i="1" s="1"/>
  <c r="G1038" i="1"/>
  <c r="J1037" i="1"/>
  <c r="I1037" i="1"/>
  <c r="G1037" i="1"/>
  <c r="G1036" i="1"/>
  <c r="I1035" i="1"/>
  <c r="J1035" i="1" s="1"/>
  <c r="G1035" i="1"/>
  <c r="J1034" i="1"/>
  <c r="I1034" i="1"/>
  <c r="G1034" i="1"/>
  <c r="J1033" i="1"/>
  <c r="I1033" i="1"/>
  <c r="G1033" i="1"/>
  <c r="I1032" i="1"/>
  <c r="J1032" i="1" s="1"/>
  <c r="G1032" i="1"/>
  <c r="I1031" i="1"/>
  <c r="J1031" i="1" s="1"/>
  <c r="G1031" i="1"/>
  <c r="J1030" i="1"/>
  <c r="I1030" i="1"/>
  <c r="G1030" i="1"/>
  <c r="J1029" i="1"/>
  <c r="I1029" i="1"/>
  <c r="G1029" i="1"/>
  <c r="I1028" i="1"/>
  <c r="J1028" i="1" s="1"/>
  <c r="G1028" i="1"/>
  <c r="I1027" i="1"/>
  <c r="J1027" i="1" s="1"/>
  <c r="G1027" i="1"/>
  <c r="J1026" i="1"/>
  <c r="I1026" i="1"/>
  <c r="G1026" i="1"/>
  <c r="J1025" i="1"/>
  <c r="I1025" i="1"/>
  <c r="G1025" i="1"/>
  <c r="I1024" i="1"/>
  <c r="J1024" i="1" s="1"/>
  <c r="G1024" i="1"/>
  <c r="I1023" i="1"/>
  <c r="J1023" i="1" s="1"/>
  <c r="G1023" i="1"/>
  <c r="J1022" i="1"/>
  <c r="I1022" i="1"/>
  <c r="G1022" i="1"/>
  <c r="J1021" i="1"/>
  <c r="I1021" i="1"/>
  <c r="G1021" i="1"/>
  <c r="I1020" i="1"/>
  <c r="J1020" i="1" s="1"/>
  <c r="H1020" i="1"/>
  <c r="G1020" i="1"/>
  <c r="H1019" i="1"/>
  <c r="I1019" i="1" s="1"/>
  <c r="J1019" i="1" s="1"/>
  <c r="G1019" i="1"/>
  <c r="I1018" i="1"/>
  <c r="J1018" i="1" s="1"/>
  <c r="G1018" i="1"/>
  <c r="J1017" i="1"/>
  <c r="I1017" i="1"/>
  <c r="G1017" i="1"/>
  <c r="H1016" i="1"/>
  <c r="I1016" i="1" s="1"/>
  <c r="J1016" i="1" s="1"/>
  <c r="G1016" i="1"/>
  <c r="H1015" i="1"/>
  <c r="I1015" i="1" s="1"/>
  <c r="J1015" i="1" s="1"/>
  <c r="G1015" i="1"/>
  <c r="I1014" i="1"/>
  <c r="J1014" i="1" s="1"/>
  <c r="G1014" i="1"/>
  <c r="J1013" i="1"/>
  <c r="I1013" i="1"/>
  <c r="G1013" i="1"/>
  <c r="I1012" i="1"/>
  <c r="J1012" i="1" s="1"/>
  <c r="G1012" i="1"/>
  <c r="I1011" i="1"/>
  <c r="J1011" i="1" s="1"/>
  <c r="G1011" i="1"/>
  <c r="I1010" i="1"/>
  <c r="J1010" i="1" s="1"/>
  <c r="G1010" i="1"/>
  <c r="J1009" i="1"/>
  <c r="I1009" i="1"/>
  <c r="G1009" i="1"/>
  <c r="I1008" i="1"/>
  <c r="J1008" i="1" s="1"/>
  <c r="G1008" i="1"/>
  <c r="I1007" i="1"/>
  <c r="J1007" i="1" s="1"/>
  <c r="G1007" i="1"/>
  <c r="I1006" i="1"/>
  <c r="J1006" i="1" s="1"/>
  <c r="G1006" i="1"/>
  <c r="J1005" i="1"/>
  <c r="I1005" i="1"/>
  <c r="G1005" i="1"/>
  <c r="J1004" i="1"/>
  <c r="I1004" i="1"/>
  <c r="G1004" i="1"/>
  <c r="I1003" i="1"/>
  <c r="J1003" i="1" s="1"/>
  <c r="G1003" i="1"/>
  <c r="J1002" i="1"/>
  <c r="J1001" i="1"/>
  <c r="I1000" i="1"/>
  <c r="J1000" i="1" s="1"/>
  <c r="G1000" i="1"/>
  <c r="J999" i="1"/>
  <c r="J998" i="1"/>
  <c r="I997" i="1"/>
  <c r="J997" i="1" s="1"/>
  <c r="G997" i="1"/>
  <c r="I996" i="1"/>
  <c r="J996" i="1" s="1"/>
  <c r="G996" i="1"/>
  <c r="I995" i="1"/>
  <c r="J995" i="1" s="1"/>
  <c r="G995" i="1"/>
  <c r="I994" i="1"/>
  <c r="J994" i="1" s="1"/>
  <c r="G994" i="1"/>
  <c r="I993" i="1"/>
  <c r="J993" i="1" s="1"/>
  <c r="G993" i="1"/>
  <c r="J992" i="1"/>
  <c r="I992" i="1"/>
  <c r="G992" i="1"/>
  <c r="I991" i="1"/>
  <c r="J991" i="1" s="1"/>
  <c r="G991" i="1"/>
  <c r="I990" i="1"/>
  <c r="J990" i="1" s="1"/>
  <c r="G990" i="1"/>
  <c r="I989" i="1"/>
  <c r="J989" i="1" s="1"/>
  <c r="G989" i="1"/>
  <c r="J988" i="1"/>
  <c r="I988" i="1"/>
  <c r="G988" i="1"/>
  <c r="I987" i="1"/>
  <c r="J987" i="1" s="1"/>
  <c r="G987" i="1"/>
  <c r="I986" i="1"/>
  <c r="J986" i="1" s="1"/>
  <c r="G986" i="1"/>
  <c r="J985" i="1"/>
  <c r="I985" i="1"/>
  <c r="G985" i="1"/>
  <c r="I984" i="1"/>
  <c r="J984" i="1" s="1"/>
  <c r="G984" i="1"/>
  <c r="I983" i="1"/>
  <c r="J983" i="1" s="1"/>
  <c r="G983" i="1"/>
  <c r="I982" i="1"/>
  <c r="J982" i="1" s="1"/>
  <c r="G982" i="1"/>
  <c r="J981" i="1"/>
  <c r="I981" i="1"/>
  <c r="G981" i="1"/>
  <c r="I980" i="1"/>
  <c r="J980" i="1" s="1"/>
  <c r="G980" i="1"/>
  <c r="I979" i="1"/>
  <c r="J979" i="1" s="1"/>
  <c r="G979" i="1"/>
  <c r="I978" i="1"/>
  <c r="J978" i="1" s="1"/>
  <c r="G978" i="1"/>
  <c r="H977" i="1"/>
  <c r="I977" i="1" s="1"/>
  <c r="J977" i="1" s="1"/>
  <c r="G977" i="1"/>
  <c r="I976" i="1"/>
  <c r="J976" i="1" s="1"/>
  <c r="H976" i="1"/>
  <c r="G976" i="1"/>
  <c r="J975" i="1"/>
  <c r="H975" i="1"/>
  <c r="I975" i="1" s="1"/>
  <c r="G975" i="1"/>
  <c r="J974" i="1"/>
  <c r="I974" i="1"/>
  <c r="G974" i="1"/>
  <c r="I972" i="1"/>
  <c r="J972" i="1" s="1"/>
  <c r="G972" i="1"/>
  <c r="I971" i="1"/>
  <c r="J971" i="1" s="1"/>
  <c r="G971" i="1"/>
  <c r="I970" i="1"/>
  <c r="J970" i="1" s="1"/>
  <c r="G970" i="1"/>
  <c r="J969" i="1"/>
  <c r="I969" i="1"/>
  <c r="G969" i="1"/>
  <c r="I968" i="1"/>
  <c r="J968" i="1" s="1"/>
  <c r="G968" i="1"/>
  <c r="I966" i="1"/>
  <c r="J966" i="1" s="1"/>
  <c r="G966" i="1"/>
  <c r="F966" i="1"/>
  <c r="J965" i="1"/>
  <c r="I965" i="1"/>
  <c r="G965" i="1"/>
  <c r="I964" i="1"/>
  <c r="J964" i="1" s="1"/>
  <c r="G964" i="1"/>
  <c r="I963" i="1"/>
  <c r="J963" i="1" s="1"/>
  <c r="G963" i="1"/>
  <c r="I962" i="1"/>
  <c r="J962" i="1" s="1"/>
  <c r="G962" i="1"/>
  <c r="J961" i="1"/>
  <c r="I961" i="1"/>
  <c r="G961" i="1"/>
  <c r="I960" i="1"/>
  <c r="J960" i="1" s="1"/>
  <c r="G960" i="1"/>
  <c r="I959" i="1"/>
  <c r="J959" i="1" s="1"/>
  <c r="G959" i="1"/>
  <c r="I958" i="1"/>
  <c r="J958" i="1" s="1"/>
  <c r="G958" i="1"/>
  <c r="J957" i="1"/>
  <c r="I957" i="1"/>
  <c r="G957" i="1"/>
  <c r="I956" i="1"/>
  <c r="J956" i="1" s="1"/>
  <c r="G956" i="1"/>
  <c r="I955" i="1"/>
  <c r="J955" i="1" s="1"/>
  <c r="G955" i="1"/>
  <c r="I954" i="1"/>
  <c r="J954" i="1" s="1"/>
  <c r="G954" i="1"/>
  <c r="J953" i="1"/>
  <c r="I953" i="1"/>
  <c r="G953" i="1"/>
  <c r="I952" i="1"/>
  <c r="J952" i="1" s="1"/>
  <c r="G952" i="1"/>
  <c r="I951" i="1"/>
  <c r="J951" i="1" s="1"/>
  <c r="G951" i="1"/>
  <c r="J950" i="1"/>
  <c r="I950" i="1"/>
  <c r="G950" i="1"/>
  <c r="J949" i="1"/>
  <c r="I949" i="1"/>
  <c r="G949" i="1"/>
  <c r="I948" i="1"/>
  <c r="J948" i="1" s="1"/>
  <c r="G948" i="1"/>
  <c r="I947" i="1"/>
  <c r="J947" i="1" s="1"/>
  <c r="H947" i="1"/>
  <c r="G947" i="1"/>
  <c r="J946" i="1"/>
  <c r="I946" i="1"/>
  <c r="G946" i="1"/>
  <c r="I945" i="1"/>
  <c r="J945" i="1" s="1"/>
  <c r="G945" i="1"/>
  <c r="I944" i="1"/>
  <c r="J944" i="1" s="1"/>
  <c r="G944" i="1"/>
  <c r="J943" i="1"/>
  <c r="I943" i="1"/>
  <c r="G943" i="1"/>
  <c r="J942" i="1"/>
  <c r="H942" i="1"/>
  <c r="I942" i="1" s="1"/>
  <c r="G942" i="1"/>
  <c r="J941" i="1"/>
  <c r="I941" i="1"/>
  <c r="G941" i="1"/>
  <c r="I940" i="1"/>
  <c r="J940" i="1" s="1"/>
  <c r="G940" i="1"/>
  <c r="I939" i="1"/>
  <c r="J939" i="1" s="1"/>
  <c r="H939" i="1"/>
  <c r="G939" i="1"/>
  <c r="J938" i="1"/>
  <c r="I938" i="1"/>
  <c r="G938" i="1"/>
  <c r="I937" i="1"/>
  <c r="J937" i="1" s="1"/>
  <c r="G937" i="1"/>
  <c r="I936" i="1"/>
  <c r="J936" i="1" s="1"/>
  <c r="G936" i="1"/>
  <c r="I935" i="1"/>
  <c r="G935" i="1"/>
  <c r="I934" i="1"/>
  <c r="J934" i="1" s="1"/>
  <c r="G934" i="1"/>
  <c r="J933" i="1"/>
  <c r="I933" i="1"/>
  <c r="G933" i="1"/>
  <c r="I932" i="1"/>
  <c r="J932" i="1" s="1"/>
  <c r="G932" i="1"/>
  <c r="I931" i="1"/>
  <c r="J931" i="1" s="1"/>
  <c r="G931" i="1"/>
  <c r="I930" i="1"/>
  <c r="J930" i="1" s="1"/>
  <c r="G930" i="1"/>
  <c r="J929" i="1"/>
  <c r="I929" i="1"/>
  <c r="G929" i="1"/>
  <c r="I928" i="1"/>
  <c r="J928" i="1" s="1"/>
  <c r="G928" i="1"/>
  <c r="I927" i="1"/>
  <c r="J927" i="1" s="1"/>
  <c r="G927" i="1"/>
  <c r="I926" i="1"/>
  <c r="J926" i="1" s="1"/>
  <c r="G926" i="1"/>
  <c r="J925" i="1"/>
  <c r="I925" i="1"/>
  <c r="G925" i="1"/>
  <c r="I924" i="1"/>
  <c r="J924" i="1" s="1"/>
  <c r="G924" i="1"/>
  <c r="I923" i="1"/>
  <c r="J923" i="1" s="1"/>
  <c r="G923" i="1"/>
  <c r="I922" i="1"/>
  <c r="J922" i="1" s="1"/>
  <c r="G922" i="1"/>
  <c r="J921" i="1"/>
  <c r="I921" i="1"/>
  <c r="G921" i="1"/>
  <c r="I920" i="1"/>
  <c r="J920" i="1" s="1"/>
  <c r="G920" i="1"/>
  <c r="I919" i="1"/>
  <c r="J919" i="1" s="1"/>
  <c r="G919" i="1"/>
  <c r="H918" i="1"/>
  <c r="I918" i="1" s="1"/>
  <c r="J918" i="1" s="1"/>
  <c r="G918" i="1"/>
  <c r="I917" i="1"/>
  <c r="J917" i="1" s="1"/>
  <c r="G917" i="1"/>
  <c r="I916" i="1"/>
  <c r="J916" i="1" s="1"/>
  <c r="G916" i="1"/>
  <c r="I915" i="1"/>
  <c r="J915" i="1" s="1"/>
  <c r="G915" i="1"/>
  <c r="I914" i="1"/>
  <c r="J914" i="1" s="1"/>
  <c r="G914" i="1"/>
  <c r="I913" i="1"/>
  <c r="G913" i="1"/>
  <c r="I912" i="1"/>
  <c r="J912" i="1" s="1"/>
  <c r="G912" i="1"/>
  <c r="I911" i="1"/>
  <c r="J911" i="1" s="1"/>
  <c r="G911" i="1"/>
  <c r="I910" i="1"/>
  <c r="J910" i="1" s="1"/>
  <c r="G910" i="1"/>
  <c r="J909" i="1"/>
  <c r="I909" i="1"/>
  <c r="G909" i="1"/>
  <c r="I908" i="1"/>
  <c r="J908" i="1" s="1"/>
  <c r="G908" i="1"/>
  <c r="I907" i="1"/>
  <c r="J907" i="1" s="1"/>
  <c r="G907" i="1"/>
  <c r="I906" i="1"/>
  <c r="J906" i="1" s="1"/>
  <c r="G906" i="1"/>
  <c r="J905" i="1"/>
  <c r="I905" i="1"/>
  <c r="G905" i="1"/>
  <c r="I904" i="1"/>
  <c r="J904" i="1" s="1"/>
  <c r="G904" i="1"/>
  <c r="I903" i="1"/>
  <c r="J903" i="1" s="1"/>
  <c r="G903" i="1"/>
  <c r="H902" i="1"/>
  <c r="I902" i="1" s="1"/>
  <c r="J902" i="1" s="1"/>
  <c r="G902" i="1"/>
  <c r="I901" i="1"/>
  <c r="J901" i="1" s="1"/>
  <c r="G901" i="1"/>
  <c r="I900" i="1"/>
  <c r="J900" i="1" s="1"/>
  <c r="G900" i="1"/>
  <c r="I899" i="1"/>
  <c r="J899" i="1" s="1"/>
  <c r="G899" i="1"/>
  <c r="I898" i="1"/>
  <c r="J898" i="1" s="1"/>
  <c r="G898" i="1"/>
  <c r="I897" i="1"/>
  <c r="J897" i="1" s="1"/>
  <c r="G897" i="1"/>
  <c r="I896" i="1"/>
  <c r="J896" i="1" s="1"/>
  <c r="G896" i="1"/>
  <c r="J895" i="1"/>
  <c r="I895" i="1"/>
  <c r="G895" i="1"/>
  <c r="I894" i="1"/>
  <c r="J894" i="1" s="1"/>
  <c r="G894" i="1"/>
  <c r="I893" i="1"/>
  <c r="J893" i="1" s="1"/>
  <c r="G893" i="1"/>
  <c r="I892" i="1"/>
  <c r="J892" i="1" s="1"/>
  <c r="G892" i="1"/>
  <c r="I891" i="1"/>
  <c r="J891" i="1" s="1"/>
  <c r="G891" i="1"/>
  <c r="I890" i="1"/>
  <c r="J890" i="1" s="1"/>
  <c r="G890" i="1"/>
  <c r="I889" i="1"/>
  <c r="J889" i="1" s="1"/>
  <c r="G889" i="1"/>
  <c r="I888" i="1"/>
  <c r="J888" i="1" s="1"/>
  <c r="H888" i="1"/>
  <c r="G888" i="1"/>
  <c r="J887" i="1"/>
  <c r="I887" i="1"/>
  <c r="G887" i="1"/>
  <c r="I886" i="1"/>
  <c r="J886" i="1" s="1"/>
  <c r="G886" i="1"/>
  <c r="I885" i="1"/>
  <c r="J885" i="1" s="1"/>
  <c r="G885" i="1"/>
  <c r="J884" i="1"/>
  <c r="I884" i="1"/>
  <c r="G884" i="1"/>
  <c r="J883" i="1"/>
  <c r="I883" i="1"/>
  <c r="G883" i="1"/>
  <c r="I882" i="1"/>
  <c r="J882" i="1" s="1"/>
  <c r="G882" i="1"/>
  <c r="I881" i="1"/>
  <c r="J881" i="1" s="1"/>
  <c r="G881" i="1"/>
  <c r="J880" i="1"/>
  <c r="I880" i="1"/>
  <c r="G880" i="1"/>
  <c r="J879" i="1"/>
  <c r="I879" i="1"/>
  <c r="G879" i="1"/>
  <c r="I878" i="1"/>
  <c r="J878" i="1" s="1"/>
  <c r="G878" i="1"/>
  <c r="I877" i="1"/>
  <c r="J877" i="1" s="1"/>
  <c r="G877" i="1"/>
  <c r="J876" i="1"/>
  <c r="I876" i="1"/>
  <c r="G876" i="1"/>
  <c r="J875" i="1"/>
  <c r="I875" i="1"/>
  <c r="G875" i="1"/>
  <c r="I874" i="1"/>
  <c r="J874" i="1" s="1"/>
  <c r="G874" i="1"/>
  <c r="I873" i="1"/>
  <c r="J873" i="1" s="1"/>
  <c r="G873" i="1"/>
  <c r="J872" i="1"/>
  <c r="I872" i="1"/>
  <c r="G872" i="1"/>
  <c r="J871" i="1"/>
  <c r="I871" i="1"/>
  <c r="G871" i="1"/>
  <c r="I870" i="1"/>
  <c r="J870" i="1" s="1"/>
  <c r="H870" i="1"/>
  <c r="G870" i="1"/>
  <c r="I869" i="1"/>
  <c r="J869" i="1" s="1"/>
  <c r="G869" i="1"/>
  <c r="I868" i="1"/>
  <c r="J868" i="1" s="1"/>
  <c r="G868" i="1"/>
  <c r="H867" i="1"/>
  <c r="I867" i="1" s="1"/>
  <c r="J867" i="1" s="1"/>
  <c r="G867" i="1"/>
  <c r="I866" i="1"/>
  <c r="J866" i="1" s="1"/>
  <c r="G866" i="1"/>
  <c r="I865" i="1"/>
  <c r="J865" i="1" s="1"/>
  <c r="G865" i="1"/>
  <c r="I864" i="1"/>
  <c r="J864" i="1" s="1"/>
  <c r="G864" i="1"/>
  <c r="I863" i="1"/>
  <c r="J863" i="1" s="1"/>
  <c r="G863" i="1"/>
  <c r="I862" i="1"/>
  <c r="J862" i="1" s="1"/>
  <c r="G862" i="1"/>
  <c r="I861" i="1"/>
  <c r="J861" i="1" s="1"/>
  <c r="G861" i="1"/>
  <c r="J860" i="1"/>
  <c r="I860" i="1"/>
  <c r="G860" i="1"/>
  <c r="I859" i="1"/>
  <c r="J859" i="1" s="1"/>
  <c r="G859" i="1"/>
  <c r="I858" i="1"/>
  <c r="J858" i="1" s="1"/>
  <c r="G858" i="1"/>
  <c r="I857" i="1"/>
  <c r="J857" i="1" s="1"/>
  <c r="G857" i="1"/>
  <c r="I856" i="1"/>
  <c r="J856" i="1" s="1"/>
  <c r="G856" i="1"/>
  <c r="I855" i="1"/>
  <c r="J855" i="1" s="1"/>
  <c r="G855" i="1"/>
  <c r="I854" i="1"/>
  <c r="J854" i="1" s="1"/>
  <c r="G854" i="1"/>
  <c r="I853" i="1"/>
  <c r="J853" i="1" s="1"/>
  <c r="G853" i="1"/>
  <c r="I852" i="1"/>
  <c r="J852" i="1" s="1"/>
  <c r="G852" i="1"/>
  <c r="G851" i="1"/>
  <c r="F851" i="1"/>
  <c r="I851" i="1" s="1"/>
  <c r="J851" i="1" s="1"/>
  <c r="I850" i="1"/>
  <c r="J850" i="1" s="1"/>
  <c r="G850" i="1"/>
  <c r="H849" i="1"/>
  <c r="I849" i="1" s="1"/>
  <c r="J849" i="1" s="1"/>
  <c r="G849" i="1"/>
  <c r="F848" i="1"/>
  <c r="I848" i="1" s="1"/>
  <c r="J848" i="1" s="1"/>
  <c r="I847" i="1"/>
  <c r="J847" i="1" s="1"/>
  <c r="G847" i="1"/>
  <c r="I846" i="1"/>
  <c r="J846" i="1" s="1"/>
  <c r="G846" i="1"/>
  <c r="I845" i="1"/>
  <c r="J845" i="1" s="1"/>
  <c r="G845" i="1"/>
  <c r="I844" i="1"/>
  <c r="J844" i="1" s="1"/>
  <c r="G844" i="1"/>
  <c r="I843" i="1"/>
  <c r="J843" i="1" s="1"/>
  <c r="G843" i="1"/>
  <c r="I842" i="1"/>
  <c r="J842" i="1" s="1"/>
  <c r="G842" i="1"/>
  <c r="I841" i="1"/>
  <c r="J841" i="1" s="1"/>
  <c r="H841" i="1"/>
  <c r="G841" i="1"/>
  <c r="I840" i="1"/>
  <c r="J840" i="1" s="1"/>
  <c r="H840" i="1"/>
  <c r="G840" i="1"/>
  <c r="H839" i="1"/>
  <c r="I839" i="1" s="1"/>
  <c r="J839" i="1" s="1"/>
  <c r="G839" i="1"/>
  <c r="I838" i="1"/>
  <c r="J838" i="1" s="1"/>
  <c r="G838" i="1"/>
  <c r="H837" i="1"/>
  <c r="I837" i="1" s="1"/>
  <c r="J837" i="1" s="1"/>
  <c r="G837" i="1"/>
  <c r="I836" i="1"/>
  <c r="J836" i="1" s="1"/>
  <c r="G836" i="1"/>
  <c r="J835" i="1"/>
  <c r="I835" i="1"/>
  <c r="G835" i="1"/>
  <c r="J834" i="1"/>
  <c r="I834" i="1"/>
  <c r="G834" i="1"/>
  <c r="I833" i="1"/>
  <c r="J833" i="1" s="1"/>
  <c r="G833" i="1"/>
  <c r="I832" i="1"/>
  <c r="J832" i="1" s="1"/>
  <c r="G832" i="1"/>
  <c r="J831" i="1"/>
  <c r="I831" i="1"/>
  <c r="G831" i="1"/>
  <c r="J830" i="1"/>
  <c r="I830" i="1"/>
  <c r="G830" i="1"/>
  <c r="I829" i="1"/>
  <c r="J829" i="1" s="1"/>
  <c r="G829" i="1"/>
  <c r="I828" i="1"/>
  <c r="J828" i="1" s="1"/>
  <c r="G828" i="1"/>
  <c r="J827" i="1"/>
  <c r="I827" i="1"/>
  <c r="G827" i="1"/>
  <c r="H826" i="1"/>
  <c r="I826" i="1" s="1"/>
  <c r="J826" i="1" s="1"/>
  <c r="G826" i="1"/>
  <c r="H825" i="1"/>
  <c r="I825" i="1" s="1"/>
  <c r="J825" i="1" s="1"/>
  <c r="G825" i="1"/>
  <c r="I824" i="1"/>
  <c r="J824" i="1" s="1"/>
  <c r="H824" i="1"/>
  <c r="G824" i="1"/>
  <c r="J823" i="1"/>
  <c r="H823" i="1"/>
  <c r="I823" i="1" s="1"/>
  <c r="G823" i="1"/>
  <c r="H822" i="1"/>
  <c r="I822" i="1" s="1"/>
  <c r="J822" i="1" s="1"/>
  <c r="G822" i="1"/>
  <c r="I821" i="1"/>
  <c r="J821" i="1" s="1"/>
  <c r="G821" i="1"/>
  <c r="J820" i="1"/>
  <c r="I820" i="1"/>
  <c r="G820" i="1"/>
  <c r="H819" i="1"/>
  <c r="I819" i="1" s="1"/>
  <c r="J819" i="1" s="1"/>
  <c r="G819" i="1"/>
  <c r="I818" i="1"/>
  <c r="J818" i="1" s="1"/>
  <c r="G818" i="1"/>
  <c r="H817" i="1"/>
  <c r="I817" i="1" s="1"/>
  <c r="J817" i="1" s="1"/>
  <c r="G817" i="1"/>
  <c r="I816" i="1"/>
  <c r="J816" i="1" s="1"/>
  <c r="G816" i="1"/>
  <c r="J815" i="1"/>
  <c r="I815" i="1"/>
  <c r="G815" i="1"/>
  <c r="I814" i="1"/>
  <c r="J814" i="1" s="1"/>
  <c r="G814" i="1"/>
  <c r="I813" i="1"/>
  <c r="J813" i="1" s="1"/>
  <c r="G813" i="1"/>
  <c r="H812" i="1"/>
  <c r="I812" i="1" s="1"/>
  <c r="J812" i="1" s="1"/>
  <c r="G812" i="1"/>
  <c r="I811" i="1"/>
  <c r="J811" i="1" s="1"/>
  <c r="G811" i="1"/>
  <c r="I810" i="1"/>
  <c r="J810" i="1" s="1"/>
  <c r="G810" i="1"/>
  <c r="I809" i="1"/>
  <c r="J809" i="1" s="1"/>
  <c r="G809" i="1"/>
  <c r="I808" i="1"/>
  <c r="J808" i="1" s="1"/>
  <c r="G808" i="1"/>
  <c r="I807" i="1"/>
  <c r="J807" i="1" s="1"/>
  <c r="G807" i="1"/>
  <c r="I806" i="1"/>
  <c r="J806" i="1" s="1"/>
  <c r="H806" i="1"/>
  <c r="G806" i="1"/>
  <c r="H805" i="1"/>
  <c r="I805" i="1" s="1"/>
  <c r="J805" i="1" s="1"/>
  <c r="G805" i="1"/>
  <c r="J804" i="1"/>
  <c r="I804" i="1"/>
  <c r="G804" i="1"/>
  <c r="H803" i="1"/>
  <c r="I803" i="1" s="1"/>
  <c r="J803" i="1" s="1"/>
  <c r="G803" i="1"/>
  <c r="I802" i="1"/>
  <c r="J802" i="1" s="1"/>
  <c r="G802" i="1"/>
  <c r="I801" i="1"/>
  <c r="J801" i="1" s="1"/>
  <c r="G801" i="1"/>
  <c r="I800" i="1"/>
  <c r="J800" i="1" s="1"/>
  <c r="G800" i="1"/>
  <c r="I799" i="1"/>
  <c r="J799" i="1" s="1"/>
  <c r="G799" i="1"/>
  <c r="I798" i="1"/>
  <c r="J798" i="1" s="1"/>
  <c r="G798" i="1"/>
  <c r="H797" i="1"/>
  <c r="I797" i="1" s="1"/>
  <c r="J797" i="1" s="1"/>
  <c r="G797" i="1"/>
  <c r="I796" i="1"/>
  <c r="J796" i="1" s="1"/>
  <c r="G796" i="1"/>
  <c r="H795" i="1"/>
  <c r="I795" i="1" s="1"/>
  <c r="J795" i="1" s="1"/>
  <c r="G795" i="1"/>
  <c r="H794" i="1"/>
  <c r="I794" i="1" s="1"/>
  <c r="J794" i="1" s="1"/>
  <c r="G794" i="1"/>
  <c r="I793" i="1"/>
  <c r="J793" i="1" s="1"/>
  <c r="G793" i="1"/>
  <c r="I792" i="1"/>
  <c r="J792" i="1" s="1"/>
  <c r="G792" i="1"/>
  <c r="J791" i="1"/>
  <c r="I791" i="1"/>
  <c r="G791" i="1"/>
  <c r="I790" i="1"/>
  <c r="J790" i="1" s="1"/>
  <c r="G790" i="1"/>
  <c r="I789" i="1"/>
  <c r="J789" i="1" s="1"/>
  <c r="G789" i="1"/>
  <c r="I788" i="1"/>
  <c r="J788" i="1" s="1"/>
  <c r="G788" i="1"/>
  <c r="J787" i="1"/>
  <c r="I787" i="1"/>
  <c r="G787" i="1"/>
  <c r="I786" i="1"/>
  <c r="J786" i="1" s="1"/>
  <c r="G786" i="1"/>
  <c r="I785" i="1"/>
  <c r="J785" i="1" s="1"/>
  <c r="G785" i="1"/>
  <c r="I784" i="1"/>
  <c r="J784" i="1" s="1"/>
  <c r="G784" i="1"/>
  <c r="J783" i="1"/>
  <c r="I783" i="1"/>
  <c r="G783" i="1"/>
  <c r="I782" i="1"/>
  <c r="J782" i="1" s="1"/>
  <c r="G782" i="1"/>
  <c r="H781" i="1"/>
  <c r="I781" i="1" s="1"/>
  <c r="J781" i="1" s="1"/>
  <c r="G781" i="1"/>
  <c r="H780" i="1"/>
  <c r="I780" i="1" s="1"/>
  <c r="J780" i="1" s="1"/>
  <c r="G780" i="1"/>
  <c r="I779" i="1"/>
  <c r="J779" i="1" s="1"/>
  <c r="G779" i="1"/>
  <c r="J778" i="1"/>
  <c r="I778" i="1"/>
  <c r="G778" i="1"/>
  <c r="J777" i="1"/>
  <c r="I777" i="1"/>
  <c r="G777" i="1"/>
  <c r="I776" i="1"/>
  <c r="J776" i="1" s="1"/>
  <c r="G776" i="1"/>
  <c r="I775" i="1"/>
  <c r="J775" i="1" s="1"/>
  <c r="G775" i="1"/>
  <c r="H774" i="1"/>
  <c r="I774" i="1" s="1"/>
  <c r="J774" i="1" s="1"/>
  <c r="G774" i="1"/>
  <c r="I773" i="1"/>
  <c r="J773" i="1" s="1"/>
  <c r="H773" i="1"/>
  <c r="G773" i="1"/>
  <c r="J772" i="1"/>
  <c r="I772" i="1"/>
  <c r="G772" i="1"/>
  <c r="I771" i="1"/>
  <c r="J771" i="1" s="1"/>
  <c r="H771" i="1"/>
  <c r="G771" i="1"/>
  <c r="H770" i="1"/>
  <c r="I770" i="1" s="1"/>
  <c r="J770" i="1" s="1"/>
  <c r="G770" i="1"/>
  <c r="I769" i="1"/>
  <c r="J769" i="1" s="1"/>
  <c r="G769" i="1"/>
  <c r="H768" i="1"/>
  <c r="I768" i="1" s="1"/>
  <c r="J768" i="1" s="1"/>
  <c r="G768" i="1"/>
  <c r="I767" i="1"/>
  <c r="J767" i="1" s="1"/>
  <c r="H767" i="1"/>
  <c r="G767" i="1"/>
  <c r="I766" i="1"/>
  <c r="J766" i="1" s="1"/>
  <c r="G766" i="1"/>
  <c r="I765" i="1"/>
  <c r="J765" i="1" s="1"/>
  <c r="H765" i="1"/>
  <c r="G765" i="1"/>
  <c r="H764" i="1"/>
  <c r="I764" i="1" s="1"/>
  <c r="J764" i="1" s="1"/>
  <c r="G764" i="1"/>
  <c r="H763" i="1"/>
  <c r="I763" i="1" s="1"/>
  <c r="J763" i="1" s="1"/>
  <c r="G763" i="1"/>
  <c r="I762" i="1"/>
  <c r="J762" i="1" s="1"/>
  <c r="H762" i="1"/>
  <c r="G762" i="1"/>
  <c r="I761" i="1"/>
  <c r="J761" i="1" s="1"/>
  <c r="G761" i="1"/>
  <c r="I760" i="1"/>
  <c r="J760" i="1" s="1"/>
  <c r="G760" i="1"/>
  <c r="J759" i="1"/>
  <c r="I759" i="1"/>
  <c r="H759" i="1"/>
  <c r="G759" i="1"/>
  <c r="I758" i="1"/>
  <c r="J758" i="1" s="1"/>
  <c r="G758" i="1"/>
  <c r="I757" i="1"/>
  <c r="J757" i="1" s="1"/>
  <c r="H757" i="1"/>
  <c r="G757" i="1"/>
  <c r="I756" i="1"/>
  <c r="J756" i="1" s="1"/>
  <c r="G756" i="1"/>
  <c r="I755" i="1"/>
  <c r="J755" i="1" s="1"/>
  <c r="G755" i="1"/>
  <c r="J754" i="1"/>
  <c r="I754" i="1"/>
  <c r="G754" i="1"/>
  <c r="J753" i="1"/>
  <c r="I753" i="1"/>
  <c r="G753" i="1"/>
  <c r="I752" i="1"/>
  <c r="J752" i="1" s="1"/>
  <c r="G752" i="1"/>
  <c r="I751" i="1"/>
  <c r="J751" i="1" s="1"/>
  <c r="G751" i="1"/>
  <c r="H750" i="1"/>
  <c r="I750" i="1" s="1"/>
  <c r="J750" i="1" s="1"/>
  <c r="G750" i="1"/>
  <c r="I749" i="1"/>
  <c r="J749" i="1" s="1"/>
  <c r="G749" i="1"/>
  <c r="J748" i="1"/>
  <c r="I748" i="1"/>
  <c r="G748" i="1"/>
  <c r="H747" i="1"/>
  <c r="I747" i="1" s="1"/>
  <c r="J747" i="1" s="1"/>
  <c r="G747" i="1"/>
  <c r="I746" i="1"/>
  <c r="J746" i="1" s="1"/>
  <c r="H746" i="1"/>
  <c r="G746" i="1"/>
  <c r="I745" i="1"/>
  <c r="J745" i="1" s="1"/>
  <c r="G745" i="1"/>
  <c r="I744" i="1"/>
  <c r="J744" i="1" s="1"/>
  <c r="G744" i="1"/>
  <c r="H743" i="1"/>
  <c r="I743" i="1" s="1"/>
  <c r="J743" i="1" s="1"/>
  <c r="G743" i="1"/>
  <c r="I742" i="1"/>
  <c r="J742" i="1" s="1"/>
  <c r="G742" i="1"/>
  <c r="I741" i="1"/>
  <c r="J741" i="1" s="1"/>
  <c r="G741" i="1"/>
  <c r="I740" i="1"/>
  <c r="J740" i="1" s="1"/>
  <c r="G740" i="1"/>
  <c r="I739" i="1"/>
  <c r="J739" i="1" s="1"/>
  <c r="G739" i="1"/>
  <c r="I738" i="1"/>
  <c r="J738" i="1" s="1"/>
  <c r="G738" i="1"/>
  <c r="I737" i="1"/>
  <c r="J737" i="1" s="1"/>
  <c r="H737" i="1"/>
  <c r="G737" i="1"/>
  <c r="I736" i="1"/>
  <c r="J736" i="1" s="1"/>
  <c r="G736" i="1"/>
  <c r="I735" i="1"/>
  <c r="J735" i="1" s="1"/>
  <c r="G735" i="1"/>
  <c r="J734" i="1"/>
  <c r="I734" i="1"/>
  <c r="G734" i="1"/>
  <c r="J733" i="1"/>
  <c r="I733" i="1"/>
  <c r="G733" i="1"/>
  <c r="I732" i="1"/>
  <c r="J732" i="1" s="1"/>
  <c r="G732" i="1"/>
  <c r="I731" i="1"/>
  <c r="J731" i="1" s="1"/>
  <c r="H731" i="1"/>
  <c r="G731" i="1"/>
  <c r="H730" i="1"/>
  <c r="I730" i="1" s="1"/>
  <c r="J730" i="1" s="1"/>
  <c r="G730" i="1"/>
  <c r="I729" i="1"/>
  <c r="J729" i="1" s="1"/>
  <c r="G729" i="1"/>
  <c r="H728" i="1"/>
  <c r="I728" i="1" s="1"/>
  <c r="J728" i="1" s="1"/>
  <c r="G728" i="1"/>
  <c r="J727" i="1"/>
  <c r="H727" i="1"/>
  <c r="I727" i="1" s="1"/>
  <c r="G727" i="1"/>
  <c r="I726" i="1"/>
  <c r="J726" i="1" s="1"/>
  <c r="G726" i="1"/>
  <c r="H725" i="1"/>
  <c r="I725" i="1" s="1"/>
  <c r="J725" i="1" s="1"/>
  <c r="G725" i="1"/>
  <c r="I724" i="1"/>
  <c r="J724" i="1" s="1"/>
  <c r="G724" i="1"/>
  <c r="J723" i="1"/>
  <c r="I723" i="1"/>
  <c r="H723" i="1"/>
  <c r="G723" i="1"/>
  <c r="I722" i="1"/>
  <c r="J722" i="1" s="1"/>
  <c r="G722" i="1"/>
  <c r="I721" i="1"/>
  <c r="J721" i="1" s="1"/>
  <c r="G721" i="1"/>
  <c r="J720" i="1"/>
  <c r="I720" i="1"/>
  <c r="G720" i="1"/>
  <c r="J719" i="1"/>
  <c r="I719" i="1"/>
  <c r="G719" i="1"/>
  <c r="I718" i="1"/>
  <c r="J718" i="1" s="1"/>
  <c r="H718" i="1"/>
  <c r="G718" i="1"/>
  <c r="H717" i="1"/>
  <c r="I717" i="1" s="1"/>
  <c r="J717" i="1" s="1"/>
  <c r="G717" i="1"/>
  <c r="J716" i="1"/>
  <c r="I716" i="1"/>
  <c r="G716" i="1"/>
  <c r="G715" i="1"/>
  <c r="F715" i="1"/>
  <c r="I715" i="1" s="1"/>
  <c r="J715" i="1" s="1"/>
  <c r="I714" i="1"/>
  <c r="J714" i="1" s="1"/>
  <c r="G714" i="1"/>
  <c r="J713" i="1"/>
  <c r="I713" i="1"/>
  <c r="G713" i="1"/>
  <c r="J712" i="1"/>
  <c r="H712" i="1"/>
  <c r="I712" i="1" s="1"/>
  <c r="G712" i="1"/>
  <c r="J711" i="1"/>
  <c r="I711" i="1"/>
  <c r="G711" i="1"/>
  <c r="I710" i="1"/>
  <c r="J710" i="1" s="1"/>
  <c r="G710" i="1"/>
  <c r="I709" i="1"/>
  <c r="J709" i="1" s="1"/>
  <c r="G709" i="1"/>
  <c r="I708" i="1"/>
  <c r="J708" i="1" s="1"/>
  <c r="G708" i="1"/>
  <c r="J707" i="1"/>
  <c r="I707" i="1"/>
  <c r="G707" i="1"/>
  <c r="H706" i="1"/>
  <c r="I706" i="1" s="1"/>
  <c r="J706" i="1" s="1"/>
  <c r="G706" i="1"/>
  <c r="I705" i="1"/>
  <c r="J705" i="1" s="1"/>
  <c r="G705" i="1"/>
  <c r="I704" i="1"/>
  <c r="J704" i="1" s="1"/>
  <c r="G704" i="1"/>
  <c r="I703" i="1"/>
  <c r="J703" i="1" s="1"/>
  <c r="G703" i="1"/>
  <c r="I702" i="1"/>
  <c r="J702" i="1" s="1"/>
  <c r="G702" i="1"/>
  <c r="J701" i="1"/>
  <c r="I701" i="1"/>
  <c r="G701" i="1"/>
  <c r="I700" i="1"/>
  <c r="J700" i="1" s="1"/>
  <c r="G700" i="1"/>
  <c r="I699" i="1"/>
  <c r="J699" i="1" s="1"/>
  <c r="G699" i="1"/>
  <c r="I698" i="1"/>
  <c r="J698" i="1" s="1"/>
  <c r="H698" i="1"/>
  <c r="G698" i="1"/>
  <c r="J697" i="1"/>
  <c r="H697" i="1"/>
  <c r="I697" i="1" s="1"/>
  <c r="G697" i="1"/>
  <c r="J696" i="1"/>
  <c r="I696" i="1"/>
  <c r="G696" i="1"/>
  <c r="I695" i="1"/>
  <c r="J695" i="1" s="1"/>
  <c r="G695" i="1"/>
  <c r="I694" i="1"/>
  <c r="J694" i="1" s="1"/>
  <c r="G694" i="1"/>
  <c r="I693" i="1"/>
  <c r="J693" i="1" s="1"/>
  <c r="G693" i="1"/>
  <c r="J692" i="1"/>
  <c r="I692" i="1"/>
  <c r="G692" i="1"/>
  <c r="I691" i="1"/>
  <c r="J691" i="1" s="1"/>
  <c r="G691" i="1"/>
  <c r="I690" i="1"/>
  <c r="J690" i="1" s="1"/>
  <c r="G690" i="1"/>
  <c r="I689" i="1"/>
  <c r="J689" i="1" s="1"/>
  <c r="G689" i="1"/>
  <c r="J688" i="1"/>
  <c r="I688" i="1"/>
  <c r="H688" i="1"/>
  <c r="G688" i="1"/>
  <c r="I687" i="1"/>
  <c r="J687" i="1" s="1"/>
  <c r="G687" i="1"/>
  <c r="I686" i="1"/>
  <c r="J686" i="1" s="1"/>
  <c r="G686" i="1"/>
  <c r="I685" i="1"/>
  <c r="J685" i="1" s="1"/>
  <c r="G685" i="1"/>
  <c r="I684" i="1"/>
  <c r="J684" i="1" s="1"/>
  <c r="G684" i="1"/>
  <c r="I683" i="1"/>
  <c r="J683" i="1" s="1"/>
  <c r="G683" i="1"/>
  <c r="J682" i="1"/>
  <c r="I682" i="1"/>
  <c r="G682" i="1"/>
  <c r="I681" i="1"/>
  <c r="J681" i="1" s="1"/>
  <c r="G681" i="1"/>
  <c r="I680" i="1"/>
  <c r="J680" i="1" s="1"/>
  <c r="G680" i="1"/>
  <c r="I679" i="1"/>
  <c r="J679" i="1" s="1"/>
  <c r="G679" i="1"/>
  <c r="I678" i="1"/>
  <c r="J678" i="1" s="1"/>
  <c r="G678" i="1"/>
  <c r="I677" i="1"/>
  <c r="J677" i="1" s="1"/>
  <c r="G677" i="1"/>
  <c r="H676" i="1"/>
  <c r="I676" i="1" s="1"/>
  <c r="J676" i="1" s="1"/>
  <c r="G676" i="1"/>
  <c r="J675" i="1"/>
  <c r="I675" i="1"/>
  <c r="G675" i="1"/>
  <c r="J674" i="1"/>
  <c r="I674" i="1"/>
  <c r="G674" i="1"/>
  <c r="I673" i="1"/>
  <c r="J673" i="1" s="1"/>
  <c r="G673" i="1"/>
  <c r="I672" i="1"/>
  <c r="J672" i="1" s="1"/>
  <c r="G672" i="1"/>
  <c r="J671" i="1"/>
  <c r="I671" i="1"/>
  <c r="G671" i="1"/>
  <c r="J670" i="1"/>
  <c r="I670" i="1"/>
  <c r="G670" i="1"/>
  <c r="I669" i="1"/>
  <c r="J669" i="1" s="1"/>
  <c r="G669" i="1"/>
  <c r="I668" i="1"/>
  <c r="J668" i="1" s="1"/>
  <c r="G668" i="1"/>
  <c r="J667" i="1"/>
  <c r="I667" i="1"/>
  <c r="G667" i="1"/>
  <c r="J666" i="1"/>
  <c r="I666" i="1"/>
  <c r="G666" i="1"/>
  <c r="I665" i="1"/>
  <c r="J665" i="1" s="1"/>
  <c r="G665" i="1"/>
  <c r="I664" i="1"/>
  <c r="J664" i="1" s="1"/>
  <c r="G664" i="1"/>
  <c r="J663" i="1"/>
  <c r="I663" i="1"/>
  <c r="G663" i="1"/>
  <c r="J662" i="1"/>
  <c r="I662" i="1"/>
  <c r="G662" i="1"/>
  <c r="I661" i="1"/>
  <c r="J661" i="1" s="1"/>
  <c r="G661" i="1"/>
  <c r="I660" i="1"/>
  <c r="J660" i="1" s="1"/>
  <c r="G660" i="1"/>
  <c r="J659" i="1"/>
  <c r="I659" i="1"/>
  <c r="G659" i="1"/>
  <c r="J658" i="1"/>
  <c r="I658" i="1"/>
  <c r="G658" i="1"/>
  <c r="I657" i="1"/>
  <c r="J657" i="1" s="1"/>
  <c r="G657" i="1"/>
  <c r="I656" i="1"/>
  <c r="J656" i="1" s="1"/>
  <c r="G656" i="1"/>
  <c r="J655" i="1"/>
  <c r="I655" i="1"/>
  <c r="G655" i="1"/>
  <c r="J654" i="1"/>
  <c r="I654" i="1"/>
  <c r="G654" i="1"/>
  <c r="I653" i="1"/>
  <c r="J653" i="1" s="1"/>
  <c r="G653" i="1"/>
  <c r="I652" i="1"/>
  <c r="J652" i="1" s="1"/>
  <c r="G652" i="1"/>
  <c r="J651" i="1"/>
  <c r="I651" i="1"/>
  <c r="G651" i="1"/>
  <c r="J650" i="1"/>
  <c r="I650" i="1"/>
  <c r="G650" i="1"/>
  <c r="I649" i="1"/>
  <c r="J649" i="1" s="1"/>
  <c r="G649" i="1"/>
  <c r="I648" i="1"/>
  <c r="J648" i="1" s="1"/>
  <c r="G648" i="1"/>
  <c r="J647" i="1"/>
  <c r="I647" i="1"/>
  <c r="G647" i="1"/>
  <c r="J646" i="1"/>
  <c r="I646" i="1"/>
  <c r="G646" i="1"/>
  <c r="I645" i="1"/>
  <c r="J645" i="1" s="1"/>
  <c r="G645" i="1"/>
  <c r="I644" i="1"/>
  <c r="J644" i="1" s="1"/>
  <c r="G644" i="1"/>
  <c r="J643" i="1"/>
  <c r="I643" i="1"/>
  <c r="G643" i="1"/>
  <c r="H642" i="1"/>
  <c r="I642" i="1" s="1"/>
  <c r="J642" i="1" s="1"/>
  <c r="G642" i="1"/>
  <c r="J641" i="1"/>
  <c r="I641" i="1"/>
  <c r="G641" i="1"/>
  <c r="I640" i="1"/>
  <c r="J640" i="1" s="1"/>
  <c r="G640" i="1"/>
  <c r="I639" i="1"/>
  <c r="J639" i="1" s="1"/>
  <c r="G639" i="1"/>
  <c r="I638" i="1"/>
  <c r="J638" i="1" s="1"/>
  <c r="G638" i="1"/>
  <c r="G637" i="1"/>
  <c r="G636" i="1"/>
  <c r="G635" i="1"/>
  <c r="G634" i="1"/>
  <c r="I633" i="1"/>
  <c r="J633" i="1" s="1"/>
  <c r="H633" i="1"/>
  <c r="G633" i="1"/>
  <c r="J632" i="1"/>
  <c r="I632" i="1"/>
  <c r="H632" i="1"/>
  <c r="G632" i="1"/>
  <c r="J631" i="1"/>
  <c r="I631" i="1"/>
  <c r="H631" i="1"/>
  <c r="G631" i="1"/>
  <c r="I630" i="1"/>
  <c r="J630" i="1" s="1"/>
  <c r="H630" i="1"/>
  <c r="G630" i="1"/>
  <c r="J629" i="1"/>
  <c r="I629" i="1"/>
  <c r="H629" i="1"/>
  <c r="G629" i="1"/>
  <c r="J628" i="1"/>
  <c r="I628" i="1"/>
  <c r="H628" i="1"/>
  <c r="G628" i="1"/>
  <c r="I627" i="1"/>
  <c r="J627" i="1" s="1"/>
  <c r="H627" i="1"/>
  <c r="G627" i="1"/>
  <c r="J626" i="1"/>
  <c r="I626" i="1"/>
  <c r="H626" i="1"/>
  <c r="G626" i="1"/>
  <c r="J625" i="1"/>
  <c r="I625" i="1"/>
  <c r="G625" i="1"/>
  <c r="I624" i="1"/>
  <c r="J624" i="1" s="1"/>
  <c r="G624" i="1"/>
  <c r="H623" i="1"/>
  <c r="I623" i="1" s="1"/>
  <c r="J623" i="1" s="1"/>
  <c r="G623" i="1"/>
  <c r="I622" i="1"/>
  <c r="J622" i="1" s="1"/>
  <c r="G622" i="1"/>
  <c r="I621" i="1"/>
  <c r="J621" i="1" s="1"/>
  <c r="G621" i="1"/>
  <c r="I620" i="1"/>
  <c r="J620" i="1" s="1"/>
  <c r="G620" i="1"/>
  <c r="J619" i="1"/>
  <c r="I619" i="1"/>
  <c r="G619" i="1"/>
  <c r="I618" i="1"/>
  <c r="J618" i="1" s="1"/>
  <c r="G618" i="1"/>
  <c r="I617" i="1"/>
  <c r="J617" i="1" s="1"/>
  <c r="G617" i="1"/>
  <c r="I616" i="1"/>
  <c r="J616" i="1" s="1"/>
  <c r="G616" i="1"/>
  <c r="I615" i="1"/>
  <c r="J615" i="1" s="1"/>
  <c r="G615" i="1"/>
  <c r="I614" i="1"/>
  <c r="J614" i="1" s="1"/>
  <c r="G614" i="1"/>
  <c r="I613" i="1"/>
  <c r="J613" i="1" s="1"/>
  <c r="G613" i="1"/>
  <c r="I612" i="1"/>
  <c r="J612" i="1" s="1"/>
  <c r="H612" i="1"/>
  <c r="G612" i="1"/>
  <c r="J611" i="1"/>
  <c r="I611" i="1"/>
  <c r="G611" i="1"/>
  <c r="I610" i="1"/>
  <c r="J610" i="1" s="1"/>
  <c r="G610" i="1"/>
  <c r="I609" i="1"/>
  <c r="J609" i="1" s="1"/>
  <c r="G609" i="1"/>
  <c r="J608" i="1"/>
  <c r="I608" i="1"/>
  <c r="G608" i="1"/>
  <c r="J607" i="1"/>
  <c r="I607" i="1"/>
  <c r="G607" i="1"/>
  <c r="I606" i="1"/>
  <c r="J606" i="1" s="1"/>
  <c r="H606" i="1"/>
  <c r="G606" i="1"/>
  <c r="H605" i="1"/>
  <c r="I605" i="1" s="1"/>
  <c r="J605" i="1" s="1"/>
  <c r="G605" i="1"/>
  <c r="I604" i="1"/>
  <c r="J604" i="1" s="1"/>
  <c r="G604" i="1"/>
  <c r="H603" i="1"/>
  <c r="I603" i="1" s="1"/>
  <c r="J603" i="1" s="1"/>
  <c r="G603" i="1"/>
  <c r="H602" i="1"/>
  <c r="I602" i="1" s="1"/>
  <c r="J602" i="1" s="1"/>
  <c r="G602" i="1"/>
  <c r="I601" i="1"/>
  <c r="J601" i="1" s="1"/>
  <c r="G601" i="1"/>
  <c r="I600" i="1"/>
  <c r="J600" i="1" s="1"/>
  <c r="G600" i="1"/>
  <c r="J599" i="1"/>
  <c r="I599" i="1"/>
  <c r="G599" i="1"/>
  <c r="H598" i="1"/>
  <c r="I598" i="1" s="1"/>
  <c r="J598" i="1" s="1"/>
  <c r="G598" i="1"/>
  <c r="J597" i="1"/>
  <c r="I597" i="1"/>
  <c r="H597" i="1"/>
  <c r="G597" i="1"/>
  <c r="I596" i="1"/>
  <c r="J596" i="1" s="1"/>
  <c r="H596" i="1"/>
  <c r="G596" i="1"/>
  <c r="H595" i="1"/>
  <c r="I595" i="1" s="1"/>
  <c r="J595" i="1" s="1"/>
  <c r="G595" i="1"/>
  <c r="J594" i="1"/>
  <c r="I594" i="1"/>
  <c r="H594" i="1"/>
  <c r="G594" i="1"/>
  <c r="I593" i="1"/>
  <c r="J593" i="1" s="1"/>
  <c r="G593" i="1"/>
  <c r="H592" i="1"/>
  <c r="I592" i="1" s="1"/>
  <c r="J592" i="1" s="1"/>
  <c r="G592" i="1"/>
  <c r="I591" i="1"/>
  <c r="J591" i="1" s="1"/>
  <c r="G591" i="1"/>
  <c r="H590" i="1"/>
  <c r="I590" i="1" s="1"/>
  <c r="J590" i="1" s="1"/>
  <c r="G590" i="1"/>
  <c r="H589" i="1"/>
  <c r="I589" i="1" s="1"/>
  <c r="J589" i="1" s="1"/>
  <c r="G589" i="1"/>
  <c r="H588" i="1"/>
  <c r="I588" i="1" s="1"/>
  <c r="J588" i="1" s="1"/>
  <c r="G588" i="1"/>
  <c r="I587" i="1"/>
  <c r="J587" i="1" s="1"/>
  <c r="H587" i="1"/>
  <c r="G587" i="1"/>
  <c r="H586" i="1"/>
  <c r="I586" i="1" s="1"/>
  <c r="J586" i="1" s="1"/>
  <c r="G586" i="1"/>
  <c r="J585" i="1"/>
  <c r="H585" i="1"/>
  <c r="I585" i="1" s="1"/>
  <c r="G585" i="1"/>
  <c r="I584" i="1"/>
  <c r="J584" i="1" s="1"/>
  <c r="G584" i="1"/>
  <c r="J583" i="1"/>
  <c r="I583" i="1"/>
  <c r="G583" i="1"/>
  <c r="I582" i="1"/>
  <c r="J582" i="1" s="1"/>
  <c r="G582" i="1"/>
  <c r="I581" i="1"/>
  <c r="J581" i="1" s="1"/>
  <c r="G581" i="1"/>
  <c r="I580" i="1"/>
  <c r="J580" i="1" s="1"/>
  <c r="G580" i="1"/>
  <c r="H579" i="1"/>
  <c r="I579" i="1" s="1"/>
  <c r="J579" i="1" s="1"/>
  <c r="G579" i="1"/>
  <c r="I578" i="1"/>
  <c r="J578" i="1" s="1"/>
  <c r="H578" i="1"/>
  <c r="G578" i="1"/>
  <c r="J577" i="1"/>
  <c r="I577" i="1"/>
  <c r="H577" i="1"/>
  <c r="G577" i="1"/>
  <c r="J576" i="1"/>
  <c r="I576" i="1"/>
  <c r="H576" i="1"/>
  <c r="G576" i="1"/>
  <c r="I575" i="1"/>
  <c r="J575" i="1" s="1"/>
  <c r="G575" i="1"/>
  <c r="J574" i="1"/>
  <c r="I574" i="1"/>
  <c r="G574" i="1"/>
  <c r="I573" i="1"/>
  <c r="J573" i="1" s="1"/>
  <c r="G573" i="1"/>
  <c r="J572" i="1"/>
  <c r="I572" i="1"/>
  <c r="G572" i="1"/>
  <c r="I571" i="1"/>
  <c r="J571" i="1" s="1"/>
  <c r="G571" i="1"/>
  <c r="I570" i="1"/>
  <c r="J570" i="1" s="1"/>
  <c r="H570" i="1"/>
  <c r="G570" i="1"/>
  <c r="I569" i="1"/>
  <c r="J569" i="1" s="1"/>
  <c r="G569" i="1"/>
  <c r="I568" i="1"/>
  <c r="J568" i="1" s="1"/>
  <c r="G568" i="1"/>
  <c r="H567" i="1"/>
  <c r="I567" i="1" s="1"/>
  <c r="J567" i="1" s="1"/>
  <c r="G567" i="1"/>
  <c r="I566" i="1"/>
  <c r="J566" i="1" s="1"/>
  <c r="G566" i="1"/>
  <c r="J565" i="1"/>
  <c r="I565" i="1"/>
  <c r="G565" i="1"/>
  <c r="I564" i="1"/>
  <c r="J564" i="1" s="1"/>
  <c r="G564" i="1"/>
  <c r="I563" i="1"/>
  <c r="J563" i="1" s="1"/>
  <c r="G563" i="1"/>
  <c r="I562" i="1"/>
  <c r="J562" i="1" s="1"/>
  <c r="G562" i="1"/>
  <c r="J561" i="1"/>
  <c r="I561" i="1"/>
  <c r="G561" i="1"/>
  <c r="H560" i="1"/>
  <c r="I560" i="1" s="1"/>
  <c r="J560" i="1" s="1"/>
  <c r="G560" i="1"/>
  <c r="I559" i="1"/>
  <c r="J559" i="1" s="1"/>
  <c r="G559" i="1"/>
  <c r="I558" i="1"/>
  <c r="J558" i="1" s="1"/>
  <c r="G558" i="1"/>
  <c r="I557" i="1"/>
  <c r="J557" i="1" s="1"/>
  <c r="G557" i="1"/>
  <c r="I556" i="1"/>
  <c r="J556" i="1" s="1"/>
  <c r="G556" i="1"/>
  <c r="I555" i="1"/>
  <c r="J555" i="1" s="1"/>
  <c r="G555" i="1"/>
  <c r="I554" i="1"/>
  <c r="J554" i="1" s="1"/>
  <c r="G554" i="1"/>
  <c r="I553" i="1"/>
  <c r="J553" i="1" s="1"/>
  <c r="G553" i="1"/>
  <c r="I552" i="1"/>
  <c r="J552" i="1" s="1"/>
  <c r="H552" i="1"/>
  <c r="G552" i="1"/>
  <c r="J551" i="1"/>
  <c r="I551" i="1"/>
  <c r="H551" i="1"/>
  <c r="G551" i="1"/>
  <c r="J550" i="1"/>
  <c r="I550" i="1"/>
  <c r="G550" i="1"/>
  <c r="I549" i="1"/>
  <c r="J549" i="1" s="1"/>
  <c r="G549" i="1"/>
  <c r="I548" i="1"/>
  <c r="J548" i="1" s="1"/>
  <c r="G548" i="1"/>
  <c r="J547" i="1"/>
  <c r="I547" i="1"/>
  <c r="G547" i="1"/>
  <c r="J546" i="1"/>
  <c r="I546" i="1"/>
  <c r="G546" i="1"/>
  <c r="I545" i="1"/>
  <c r="J545" i="1" s="1"/>
  <c r="G545" i="1"/>
  <c r="I544" i="1"/>
  <c r="J544" i="1" s="1"/>
  <c r="G544" i="1"/>
  <c r="I543" i="1"/>
  <c r="J543" i="1" s="1"/>
  <c r="G543" i="1"/>
  <c r="J542" i="1"/>
  <c r="I542" i="1"/>
  <c r="G542" i="1"/>
  <c r="I541" i="1"/>
  <c r="J541" i="1" s="1"/>
  <c r="G541" i="1"/>
  <c r="I540" i="1"/>
  <c r="J540" i="1" s="1"/>
  <c r="G540" i="1"/>
  <c r="I539" i="1"/>
  <c r="J539" i="1" s="1"/>
  <c r="G539" i="1"/>
  <c r="J538" i="1"/>
  <c r="I538" i="1"/>
  <c r="G538" i="1"/>
  <c r="I537" i="1"/>
  <c r="J537" i="1" s="1"/>
  <c r="G537" i="1"/>
  <c r="I536" i="1"/>
  <c r="J536" i="1" s="1"/>
  <c r="G536" i="1"/>
  <c r="I535" i="1"/>
  <c r="J535" i="1" s="1"/>
  <c r="G535" i="1"/>
  <c r="J534" i="1"/>
  <c r="I534" i="1"/>
  <c r="G534" i="1"/>
  <c r="I533" i="1"/>
  <c r="J533" i="1" s="1"/>
  <c r="G533" i="1"/>
  <c r="I532" i="1"/>
  <c r="J532" i="1" s="1"/>
  <c r="G532" i="1"/>
  <c r="I531" i="1"/>
  <c r="J531" i="1" s="1"/>
  <c r="G531" i="1"/>
  <c r="J530" i="1"/>
  <c r="I530" i="1"/>
  <c r="G530" i="1"/>
  <c r="I529" i="1"/>
  <c r="J529" i="1" s="1"/>
  <c r="G529" i="1"/>
  <c r="I528" i="1"/>
  <c r="J528" i="1" s="1"/>
  <c r="G528" i="1"/>
  <c r="I527" i="1"/>
  <c r="J527" i="1" s="1"/>
  <c r="G527" i="1"/>
  <c r="J526" i="1"/>
  <c r="I526" i="1"/>
  <c r="G526" i="1"/>
  <c r="I525" i="1"/>
  <c r="J525" i="1" s="1"/>
  <c r="G525" i="1"/>
  <c r="I524" i="1"/>
  <c r="J524" i="1" s="1"/>
  <c r="G524" i="1"/>
  <c r="I523" i="1"/>
  <c r="J523" i="1" s="1"/>
  <c r="G523" i="1"/>
  <c r="H522" i="1"/>
  <c r="I522" i="1" s="1"/>
  <c r="J522" i="1" s="1"/>
  <c r="G522" i="1"/>
  <c r="I521" i="1"/>
  <c r="J521" i="1" s="1"/>
  <c r="G521" i="1"/>
  <c r="I520" i="1"/>
  <c r="J520" i="1" s="1"/>
  <c r="G520" i="1"/>
  <c r="H519" i="1"/>
  <c r="I519" i="1" s="1"/>
  <c r="J519" i="1" s="1"/>
  <c r="G519" i="1"/>
  <c r="I518" i="1"/>
  <c r="J518" i="1" s="1"/>
  <c r="G518" i="1"/>
  <c r="J517" i="1"/>
  <c r="H517" i="1"/>
  <c r="I517" i="1" s="1"/>
  <c r="G517" i="1"/>
  <c r="I516" i="1"/>
  <c r="J516" i="1" s="1"/>
  <c r="G516" i="1"/>
  <c r="J515" i="1"/>
  <c r="I515" i="1"/>
  <c r="G515" i="1"/>
  <c r="I514" i="1"/>
  <c r="J514" i="1" s="1"/>
  <c r="G514" i="1"/>
  <c r="I513" i="1"/>
  <c r="J513" i="1" s="1"/>
  <c r="G513" i="1"/>
  <c r="I512" i="1"/>
  <c r="J512" i="1" s="1"/>
  <c r="G512" i="1"/>
  <c r="J511" i="1"/>
  <c r="I511" i="1"/>
  <c r="G511" i="1"/>
  <c r="I510" i="1"/>
  <c r="J510" i="1" s="1"/>
  <c r="G510" i="1"/>
  <c r="I509" i="1"/>
  <c r="J509" i="1" s="1"/>
  <c r="G509" i="1"/>
  <c r="I508" i="1"/>
  <c r="J508" i="1" s="1"/>
  <c r="G508" i="1"/>
  <c r="J507" i="1"/>
  <c r="I507" i="1"/>
  <c r="G507" i="1"/>
  <c r="I506" i="1"/>
  <c r="J506" i="1" s="1"/>
  <c r="G506" i="1"/>
  <c r="I505" i="1"/>
  <c r="J505" i="1" s="1"/>
  <c r="G505" i="1"/>
  <c r="H504" i="1"/>
  <c r="I504" i="1" s="1"/>
  <c r="J504" i="1" s="1"/>
  <c r="G504" i="1"/>
  <c r="H503" i="1"/>
  <c r="I503" i="1" s="1"/>
  <c r="J503" i="1" s="1"/>
  <c r="G503" i="1"/>
  <c r="J502" i="1"/>
  <c r="I502" i="1"/>
  <c r="G502" i="1"/>
  <c r="J501" i="1"/>
  <c r="I501" i="1"/>
  <c r="G501" i="1"/>
  <c r="I500" i="1"/>
  <c r="J500" i="1" s="1"/>
  <c r="H500" i="1"/>
  <c r="G500" i="1"/>
  <c r="I499" i="1"/>
  <c r="J499" i="1" s="1"/>
  <c r="G499" i="1"/>
  <c r="I498" i="1"/>
  <c r="J498" i="1" s="1"/>
  <c r="G498" i="1"/>
  <c r="I497" i="1"/>
  <c r="J497" i="1" s="1"/>
  <c r="G497" i="1"/>
  <c r="J496" i="1"/>
  <c r="I496" i="1"/>
  <c r="G496" i="1"/>
  <c r="I495" i="1"/>
  <c r="J495" i="1" s="1"/>
  <c r="G495" i="1"/>
  <c r="I494" i="1"/>
  <c r="J494" i="1" s="1"/>
  <c r="G494" i="1"/>
  <c r="I493" i="1"/>
  <c r="J493" i="1" s="1"/>
  <c r="G493" i="1"/>
  <c r="J492" i="1"/>
  <c r="I492" i="1"/>
  <c r="G492" i="1"/>
  <c r="I491" i="1"/>
  <c r="J491" i="1" s="1"/>
  <c r="G491" i="1"/>
  <c r="I490" i="1"/>
  <c r="J490" i="1" s="1"/>
  <c r="G490" i="1"/>
  <c r="I489" i="1"/>
  <c r="J489" i="1" s="1"/>
  <c r="G489" i="1"/>
  <c r="J488" i="1"/>
  <c r="I488" i="1"/>
  <c r="G488" i="1"/>
  <c r="H487" i="1"/>
  <c r="I487" i="1" s="1"/>
  <c r="J487" i="1" s="1"/>
  <c r="G487" i="1"/>
  <c r="J486" i="1"/>
  <c r="I486" i="1"/>
  <c r="G486" i="1"/>
  <c r="I485" i="1"/>
  <c r="J485" i="1" s="1"/>
  <c r="G485" i="1"/>
  <c r="I484" i="1"/>
  <c r="J484" i="1" s="1"/>
  <c r="G484" i="1"/>
  <c r="I483" i="1"/>
  <c r="J483" i="1" s="1"/>
  <c r="G483" i="1"/>
  <c r="J482" i="1"/>
  <c r="I482" i="1"/>
  <c r="G482" i="1"/>
  <c r="I481" i="1"/>
  <c r="J481" i="1" s="1"/>
  <c r="G481" i="1"/>
  <c r="I480" i="1"/>
  <c r="J480" i="1" s="1"/>
  <c r="G480" i="1"/>
  <c r="I479" i="1"/>
  <c r="J479" i="1" s="1"/>
  <c r="G479" i="1"/>
  <c r="J478" i="1"/>
  <c r="I478" i="1"/>
  <c r="G478" i="1"/>
  <c r="I477" i="1"/>
  <c r="J477" i="1" s="1"/>
  <c r="G477" i="1"/>
  <c r="I476" i="1"/>
  <c r="J476" i="1" s="1"/>
  <c r="G476" i="1"/>
  <c r="I475" i="1"/>
  <c r="J475" i="1" s="1"/>
  <c r="G475" i="1"/>
  <c r="I474" i="1"/>
  <c r="J474" i="1" s="1"/>
  <c r="G474" i="1"/>
  <c r="I473" i="1"/>
  <c r="J473" i="1" s="1"/>
  <c r="G473" i="1"/>
  <c r="I472" i="1"/>
  <c r="J472" i="1" s="1"/>
  <c r="G472" i="1"/>
  <c r="I471" i="1"/>
  <c r="J471" i="1" s="1"/>
  <c r="G471" i="1"/>
  <c r="J470" i="1"/>
  <c r="I470" i="1"/>
  <c r="G470" i="1"/>
  <c r="H469" i="1"/>
  <c r="I469" i="1" s="1"/>
  <c r="J469" i="1" s="1"/>
  <c r="G469" i="1"/>
  <c r="I468" i="1"/>
  <c r="J468" i="1" s="1"/>
  <c r="G468" i="1"/>
  <c r="J467" i="1"/>
  <c r="I467" i="1"/>
  <c r="G467" i="1"/>
  <c r="J466" i="1"/>
  <c r="I466" i="1"/>
  <c r="G466" i="1"/>
  <c r="I465" i="1"/>
  <c r="J465" i="1" s="1"/>
  <c r="G465" i="1"/>
  <c r="I464" i="1"/>
  <c r="J464" i="1" s="1"/>
  <c r="G464" i="1"/>
  <c r="J463" i="1"/>
  <c r="I463" i="1"/>
  <c r="G463" i="1"/>
  <c r="J462" i="1"/>
  <c r="I462" i="1"/>
  <c r="G462" i="1"/>
  <c r="I461" i="1"/>
  <c r="J461" i="1" s="1"/>
  <c r="G461" i="1"/>
  <c r="I460" i="1"/>
  <c r="J460" i="1" s="1"/>
  <c r="G460" i="1"/>
  <c r="J459" i="1"/>
  <c r="I459" i="1"/>
  <c r="G459" i="1"/>
  <c r="J458" i="1"/>
  <c r="I458" i="1"/>
  <c r="G458" i="1"/>
  <c r="I457" i="1"/>
  <c r="J457" i="1" s="1"/>
  <c r="G457" i="1"/>
  <c r="I456" i="1"/>
  <c r="J456" i="1" s="1"/>
  <c r="G456" i="1"/>
  <c r="J455" i="1"/>
  <c r="I455" i="1"/>
  <c r="G455" i="1"/>
  <c r="J454" i="1"/>
  <c r="I454" i="1"/>
  <c r="G454" i="1"/>
  <c r="I453" i="1"/>
  <c r="J453" i="1" s="1"/>
  <c r="G453" i="1"/>
  <c r="I452" i="1"/>
  <c r="J452" i="1" s="1"/>
  <c r="G452" i="1"/>
  <c r="J451" i="1"/>
  <c r="I451" i="1"/>
  <c r="G451" i="1"/>
  <c r="J450" i="1"/>
  <c r="H450" i="1"/>
  <c r="I450" i="1" s="1"/>
  <c r="G450" i="1"/>
  <c r="J449" i="1"/>
  <c r="I449" i="1"/>
  <c r="G449" i="1"/>
  <c r="I448" i="1"/>
  <c r="J448" i="1" s="1"/>
  <c r="G448" i="1"/>
  <c r="I447" i="1"/>
  <c r="J447" i="1" s="1"/>
  <c r="G447" i="1"/>
  <c r="I446" i="1"/>
  <c r="J446" i="1" s="1"/>
  <c r="G446" i="1"/>
  <c r="J445" i="1"/>
  <c r="I445" i="1"/>
  <c r="G445" i="1"/>
  <c r="I444" i="1"/>
  <c r="J444" i="1" s="1"/>
  <c r="G444" i="1"/>
  <c r="I443" i="1"/>
  <c r="J443" i="1" s="1"/>
  <c r="G443" i="1"/>
  <c r="I442" i="1"/>
  <c r="J442" i="1" s="1"/>
  <c r="G442" i="1"/>
  <c r="J441" i="1"/>
  <c r="I441" i="1"/>
  <c r="G441" i="1"/>
  <c r="I440" i="1"/>
  <c r="J440" i="1" s="1"/>
  <c r="G440" i="1"/>
  <c r="I439" i="1"/>
  <c r="J439" i="1" s="1"/>
  <c r="G439" i="1"/>
  <c r="I438" i="1"/>
  <c r="J438" i="1" s="1"/>
  <c r="G438" i="1"/>
  <c r="J437" i="1"/>
  <c r="I437" i="1"/>
  <c r="G437" i="1"/>
  <c r="I436" i="1"/>
  <c r="J436" i="1" s="1"/>
  <c r="G436" i="1"/>
  <c r="I435" i="1"/>
  <c r="J435" i="1" s="1"/>
  <c r="G435" i="1"/>
  <c r="I434" i="1"/>
  <c r="J434" i="1" s="1"/>
  <c r="G434" i="1"/>
  <c r="J433" i="1"/>
  <c r="I433" i="1"/>
  <c r="G433" i="1"/>
  <c r="I432" i="1"/>
  <c r="J432" i="1" s="1"/>
  <c r="G432" i="1"/>
  <c r="I431" i="1"/>
  <c r="J431" i="1" s="1"/>
  <c r="G431" i="1"/>
  <c r="I430" i="1"/>
  <c r="J430" i="1" s="1"/>
  <c r="G430" i="1"/>
  <c r="J429" i="1"/>
  <c r="I429" i="1"/>
  <c r="G429" i="1"/>
  <c r="I428" i="1"/>
  <c r="J428" i="1" s="1"/>
  <c r="G428" i="1"/>
  <c r="I427" i="1"/>
  <c r="J427" i="1" s="1"/>
  <c r="G427" i="1"/>
  <c r="I426" i="1"/>
  <c r="J426" i="1" s="1"/>
  <c r="G426" i="1"/>
  <c r="J425" i="1"/>
  <c r="I425" i="1"/>
  <c r="G425" i="1"/>
  <c r="I424" i="1"/>
  <c r="J424" i="1" s="1"/>
  <c r="G424" i="1"/>
  <c r="I423" i="1"/>
  <c r="J423" i="1" s="1"/>
  <c r="G423" i="1"/>
  <c r="I422" i="1"/>
  <c r="J422" i="1" s="1"/>
  <c r="G422" i="1"/>
  <c r="J421" i="1"/>
  <c r="I421" i="1"/>
  <c r="G421" i="1"/>
  <c r="I420" i="1"/>
  <c r="J420" i="1" s="1"/>
  <c r="G420" i="1"/>
  <c r="I419" i="1"/>
  <c r="J419" i="1" s="1"/>
  <c r="G419" i="1"/>
  <c r="I418" i="1"/>
  <c r="J418" i="1" s="1"/>
  <c r="G418" i="1"/>
  <c r="J417" i="1"/>
  <c r="I417" i="1"/>
  <c r="G417" i="1"/>
  <c r="I416" i="1"/>
  <c r="J416" i="1" s="1"/>
  <c r="G416" i="1"/>
  <c r="I415" i="1"/>
  <c r="J415" i="1" s="1"/>
  <c r="G415" i="1"/>
  <c r="I414" i="1"/>
  <c r="J414" i="1" s="1"/>
  <c r="G414" i="1"/>
  <c r="J413" i="1"/>
  <c r="I413" i="1"/>
  <c r="G413" i="1"/>
  <c r="H412" i="1"/>
  <c r="I412" i="1" s="1"/>
  <c r="J412" i="1" s="1"/>
  <c r="G412" i="1"/>
  <c r="I411" i="1"/>
  <c r="J411" i="1" s="1"/>
  <c r="G411" i="1"/>
  <c r="I410" i="1"/>
  <c r="J410" i="1" s="1"/>
  <c r="G410" i="1"/>
  <c r="I409" i="1"/>
  <c r="J409" i="1" s="1"/>
  <c r="G409" i="1"/>
  <c r="I408" i="1"/>
  <c r="J408" i="1" s="1"/>
  <c r="G408" i="1"/>
  <c r="J407" i="1"/>
  <c r="I407" i="1"/>
  <c r="G407" i="1"/>
  <c r="I406" i="1"/>
  <c r="J406" i="1" s="1"/>
  <c r="G406" i="1"/>
  <c r="I405" i="1"/>
  <c r="J405" i="1" s="1"/>
  <c r="G405" i="1"/>
  <c r="I404" i="1"/>
  <c r="J404" i="1" s="1"/>
  <c r="G404" i="1"/>
  <c r="I403" i="1"/>
  <c r="J403" i="1" s="1"/>
  <c r="G403" i="1"/>
  <c r="I402" i="1"/>
  <c r="J402" i="1" s="1"/>
  <c r="G402" i="1"/>
  <c r="I401" i="1"/>
  <c r="J401" i="1" s="1"/>
  <c r="G401" i="1"/>
  <c r="I400" i="1"/>
  <c r="J400" i="1" s="1"/>
  <c r="G400" i="1"/>
  <c r="I399" i="1"/>
  <c r="J399" i="1" s="1"/>
  <c r="G399" i="1"/>
  <c r="I398" i="1"/>
  <c r="J398" i="1" s="1"/>
  <c r="G398" i="1"/>
  <c r="I397" i="1"/>
  <c r="J397" i="1" s="1"/>
  <c r="G397" i="1"/>
  <c r="I396" i="1"/>
  <c r="J396" i="1" s="1"/>
  <c r="G396" i="1"/>
  <c r="I395" i="1"/>
  <c r="J395" i="1" s="1"/>
  <c r="G395" i="1"/>
  <c r="I394" i="1"/>
  <c r="J394" i="1" s="1"/>
  <c r="G394" i="1"/>
  <c r="I393" i="1"/>
  <c r="J393" i="1" s="1"/>
  <c r="G393" i="1"/>
  <c r="I392" i="1"/>
  <c r="J392" i="1" s="1"/>
  <c r="G392" i="1"/>
  <c r="J391" i="1"/>
  <c r="I391" i="1"/>
  <c r="G391" i="1"/>
  <c r="I390" i="1"/>
  <c r="J390" i="1" s="1"/>
  <c r="G390" i="1"/>
  <c r="I389" i="1"/>
  <c r="J389" i="1" s="1"/>
  <c r="G389" i="1"/>
  <c r="I388" i="1"/>
  <c r="J388" i="1" s="1"/>
  <c r="G388" i="1"/>
  <c r="J387" i="1"/>
  <c r="I387" i="1"/>
  <c r="G387" i="1"/>
  <c r="I386" i="1"/>
  <c r="J386" i="1" s="1"/>
  <c r="G386" i="1"/>
  <c r="I385" i="1"/>
  <c r="J385" i="1" s="1"/>
  <c r="G385" i="1"/>
  <c r="I384" i="1"/>
  <c r="J384" i="1" s="1"/>
  <c r="G384" i="1"/>
  <c r="J383" i="1"/>
  <c r="I383" i="1"/>
  <c r="H383" i="1"/>
  <c r="G383" i="1"/>
  <c r="I382" i="1"/>
  <c r="J382" i="1" s="1"/>
  <c r="G382" i="1"/>
  <c r="H381" i="1"/>
  <c r="I381" i="1" s="1"/>
  <c r="J381" i="1" s="1"/>
  <c r="G381" i="1"/>
  <c r="H380" i="1"/>
  <c r="I380" i="1" s="1"/>
  <c r="J380" i="1" s="1"/>
  <c r="G380" i="1"/>
  <c r="I379" i="1"/>
  <c r="J379" i="1" s="1"/>
  <c r="G379" i="1"/>
  <c r="I378" i="1"/>
  <c r="J378" i="1" s="1"/>
  <c r="G378" i="1"/>
  <c r="I377" i="1"/>
  <c r="J377" i="1" s="1"/>
  <c r="G377" i="1"/>
  <c r="I376" i="1"/>
  <c r="J376" i="1" s="1"/>
  <c r="G376" i="1"/>
  <c r="I375" i="1"/>
  <c r="J375" i="1" s="1"/>
  <c r="G375" i="1"/>
  <c r="I374" i="1"/>
  <c r="J374" i="1" s="1"/>
  <c r="G374" i="1"/>
  <c r="I373" i="1"/>
  <c r="J373" i="1" s="1"/>
  <c r="G373" i="1"/>
  <c r="J372" i="1"/>
  <c r="I372" i="1"/>
  <c r="G372" i="1"/>
  <c r="I371" i="1"/>
  <c r="J371" i="1" s="1"/>
  <c r="G371" i="1"/>
  <c r="I370" i="1"/>
  <c r="J370" i="1" s="1"/>
  <c r="G370" i="1"/>
  <c r="I369" i="1"/>
  <c r="J369" i="1" s="1"/>
  <c r="G369" i="1"/>
  <c r="J368" i="1"/>
  <c r="I368" i="1"/>
  <c r="G368" i="1"/>
  <c r="I367" i="1"/>
  <c r="J367" i="1" s="1"/>
  <c r="G367" i="1"/>
  <c r="I366" i="1"/>
  <c r="J366" i="1" s="1"/>
  <c r="G366" i="1"/>
  <c r="I365" i="1"/>
  <c r="J365" i="1" s="1"/>
  <c r="G365" i="1"/>
  <c r="J364" i="1"/>
  <c r="I364" i="1"/>
  <c r="G364" i="1"/>
  <c r="I363" i="1"/>
  <c r="J363" i="1" s="1"/>
  <c r="G363" i="1"/>
  <c r="I362" i="1"/>
  <c r="J362" i="1" s="1"/>
  <c r="G362" i="1"/>
  <c r="J361" i="1"/>
  <c r="I361" i="1"/>
  <c r="G361" i="1"/>
  <c r="J360" i="1"/>
  <c r="I360" i="1"/>
  <c r="G360" i="1"/>
  <c r="I359" i="1"/>
  <c r="J359" i="1" s="1"/>
  <c r="G359" i="1"/>
  <c r="I358" i="1"/>
  <c r="J358" i="1" s="1"/>
  <c r="G358" i="1"/>
  <c r="I357" i="1"/>
  <c r="J357" i="1" s="1"/>
  <c r="G357" i="1"/>
  <c r="I356" i="1"/>
  <c r="J356" i="1" s="1"/>
  <c r="G356" i="1"/>
  <c r="I355" i="1"/>
  <c r="J355" i="1" s="1"/>
  <c r="G355" i="1"/>
  <c r="I354" i="1"/>
  <c r="J354" i="1" s="1"/>
  <c r="G354" i="1"/>
  <c r="I353" i="1"/>
  <c r="J353" i="1" s="1"/>
  <c r="G353" i="1"/>
  <c r="I352" i="1"/>
  <c r="J352" i="1" s="1"/>
  <c r="G352" i="1"/>
  <c r="I351" i="1"/>
  <c r="J351" i="1" s="1"/>
  <c r="G351" i="1"/>
  <c r="I350" i="1"/>
  <c r="J350" i="1" s="1"/>
  <c r="G350" i="1"/>
  <c r="I349" i="1"/>
  <c r="J349" i="1" s="1"/>
  <c r="G349" i="1"/>
  <c r="J348" i="1"/>
  <c r="I348" i="1"/>
  <c r="G348" i="1"/>
  <c r="I347" i="1"/>
  <c r="J347" i="1" s="1"/>
  <c r="G347" i="1"/>
  <c r="I346" i="1"/>
  <c r="J346" i="1" s="1"/>
  <c r="G346" i="1"/>
  <c r="I345" i="1"/>
  <c r="J345" i="1" s="1"/>
  <c r="G345" i="1"/>
  <c r="J344" i="1"/>
  <c r="I344" i="1"/>
  <c r="G344" i="1"/>
  <c r="I343" i="1"/>
  <c r="J343" i="1" s="1"/>
  <c r="G343" i="1"/>
  <c r="I342" i="1"/>
  <c r="J342" i="1" s="1"/>
  <c r="G342" i="1"/>
  <c r="I341" i="1"/>
  <c r="J341" i="1" s="1"/>
  <c r="H341" i="1"/>
  <c r="G341" i="1"/>
  <c r="J340" i="1"/>
  <c r="I340" i="1"/>
  <c r="G340" i="1"/>
  <c r="I339" i="1"/>
  <c r="J339" i="1" s="1"/>
  <c r="G339" i="1"/>
  <c r="I338" i="1"/>
  <c r="J338" i="1" s="1"/>
  <c r="G338" i="1"/>
  <c r="J337" i="1"/>
  <c r="I337" i="1"/>
  <c r="G337" i="1"/>
  <c r="J336" i="1"/>
  <c r="I336" i="1"/>
  <c r="G336" i="1"/>
  <c r="I335" i="1"/>
  <c r="J335" i="1" s="1"/>
  <c r="G335" i="1"/>
  <c r="I334" i="1"/>
  <c r="J334" i="1" s="1"/>
  <c r="G334" i="1"/>
  <c r="J333" i="1"/>
  <c r="I333" i="1"/>
  <c r="G333" i="1"/>
  <c r="J332" i="1"/>
  <c r="I332" i="1"/>
  <c r="G332" i="1"/>
  <c r="I331" i="1"/>
  <c r="J331" i="1" s="1"/>
  <c r="G331" i="1"/>
  <c r="I330" i="1"/>
  <c r="J330" i="1" s="1"/>
  <c r="G330" i="1"/>
  <c r="J329" i="1"/>
  <c r="I329" i="1"/>
  <c r="G329" i="1"/>
  <c r="J328" i="1"/>
  <c r="I328" i="1"/>
  <c r="G328" i="1"/>
  <c r="I327" i="1"/>
  <c r="J327" i="1" s="1"/>
  <c r="G327" i="1"/>
  <c r="I326" i="1"/>
  <c r="J326" i="1" s="1"/>
  <c r="G326" i="1"/>
  <c r="J325" i="1"/>
  <c r="I325" i="1"/>
  <c r="G325" i="1"/>
  <c r="J324" i="1"/>
  <c r="I324" i="1"/>
  <c r="G324" i="1"/>
  <c r="I323" i="1"/>
  <c r="J323" i="1" s="1"/>
  <c r="G323" i="1"/>
  <c r="I322" i="1"/>
  <c r="J322" i="1" s="1"/>
  <c r="H322" i="1"/>
  <c r="G322" i="1"/>
  <c r="I321" i="1"/>
  <c r="J321" i="1" s="1"/>
  <c r="G321" i="1"/>
  <c r="I320" i="1"/>
  <c r="J320" i="1" s="1"/>
  <c r="G320" i="1"/>
  <c r="J319" i="1"/>
  <c r="I319" i="1"/>
  <c r="G319" i="1"/>
  <c r="I318" i="1"/>
  <c r="J318" i="1" s="1"/>
  <c r="G318" i="1"/>
  <c r="I317" i="1"/>
  <c r="J317" i="1" s="1"/>
  <c r="G317" i="1"/>
  <c r="I316" i="1"/>
  <c r="J316" i="1" s="1"/>
  <c r="G316" i="1"/>
  <c r="J315" i="1"/>
  <c r="I315" i="1"/>
  <c r="G315" i="1"/>
  <c r="I314" i="1"/>
  <c r="J314" i="1" s="1"/>
  <c r="G314" i="1"/>
  <c r="I313" i="1"/>
  <c r="J313" i="1" s="1"/>
  <c r="G313" i="1"/>
  <c r="I312" i="1"/>
  <c r="J312" i="1" s="1"/>
  <c r="G312" i="1"/>
  <c r="J311" i="1"/>
  <c r="I311" i="1"/>
  <c r="G311" i="1"/>
  <c r="J310" i="1"/>
  <c r="I310" i="1"/>
  <c r="G310" i="1"/>
  <c r="I309" i="1"/>
  <c r="J309" i="1" s="1"/>
  <c r="G309" i="1"/>
  <c r="I308" i="1"/>
  <c r="J308" i="1" s="1"/>
  <c r="G308" i="1"/>
  <c r="J307" i="1"/>
  <c r="I307" i="1"/>
  <c r="G307" i="1"/>
  <c r="J306" i="1"/>
  <c r="I306" i="1"/>
  <c r="G306" i="1"/>
  <c r="I305" i="1"/>
  <c r="J305" i="1" s="1"/>
  <c r="G305" i="1"/>
  <c r="I304" i="1"/>
  <c r="J304" i="1" s="1"/>
  <c r="G304" i="1"/>
  <c r="J303" i="1"/>
  <c r="I303" i="1"/>
  <c r="G303" i="1"/>
  <c r="J302" i="1"/>
  <c r="I302" i="1"/>
  <c r="G302" i="1"/>
  <c r="I301" i="1"/>
  <c r="J301" i="1" s="1"/>
  <c r="G301" i="1"/>
  <c r="I300" i="1"/>
  <c r="J300" i="1" s="1"/>
  <c r="G300" i="1"/>
  <c r="J299" i="1"/>
  <c r="I299" i="1"/>
  <c r="G299" i="1"/>
  <c r="J298" i="1"/>
  <c r="I298" i="1"/>
  <c r="G298" i="1"/>
  <c r="H297" i="1"/>
  <c r="I297" i="1" s="1"/>
  <c r="J297" i="1" s="1"/>
  <c r="G297" i="1"/>
  <c r="H296" i="1"/>
  <c r="I296" i="1" s="1"/>
  <c r="J296" i="1" s="1"/>
  <c r="G296" i="1"/>
  <c r="I295" i="1"/>
  <c r="J295" i="1" s="1"/>
  <c r="G295" i="1"/>
  <c r="J294" i="1"/>
  <c r="I294" i="1"/>
  <c r="G294" i="1"/>
  <c r="J293" i="1"/>
  <c r="I293" i="1"/>
  <c r="G293" i="1"/>
  <c r="I292" i="1"/>
  <c r="J292" i="1" s="1"/>
  <c r="G292" i="1"/>
  <c r="I291" i="1"/>
  <c r="J291" i="1" s="1"/>
  <c r="G291" i="1"/>
  <c r="J290" i="1"/>
  <c r="I290" i="1"/>
  <c r="G290" i="1"/>
  <c r="J289" i="1"/>
  <c r="I289" i="1"/>
  <c r="G289" i="1"/>
  <c r="I288" i="1"/>
  <c r="J288" i="1" s="1"/>
  <c r="G288" i="1"/>
  <c r="I287" i="1"/>
  <c r="J287" i="1" s="1"/>
  <c r="G287" i="1"/>
  <c r="J286" i="1"/>
  <c r="I286" i="1"/>
  <c r="G286" i="1"/>
  <c r="J285" i="1"/>
  <c r="I285" i="1"/>
  <c r="G285" i="1"/>
  <c r="I284" i="1"/>
  <c r="J284" i="1" s="1"/>
  <c r="G284" i="1"/>
  <c r="I283" i="1"/>
  <c r="J283" i="1" s="1"/>
  <c r="G283" i="1"/>
  <c r="J282" i="1"/>
  <c r="I282" i="1"/>
  <c r="G282" i="1"/>
  <c r="J281" i="1"/>
  <c r="I281" i="1"/>
  <c r="G281" i="1"/>
  <c r="I280" i="1"/>
  <c r="J280" i="1" s="1"/>
  <c r="G280" i="1"/>
  <c r="I279" i="1"/>
  <c r="J279" i="1" s="1"/>
  <c r="G279" i="1"/>
  <c r="J278" i="1"/>
  <c r="I278" i="1"/>
  <c r="G278" i="1"/>
  <c r="J277" i="1"/>
  <c r="I277" i="1"/>
  <c r="G277" i="1"/>
  <c r="I276" i="1"/>
  <c r="J276" i="1" s="1"/>
  <c r="G276" i="1"/>
  <c r="I275" i="1"/>
  <c r="J275" i="1" s="1"/>
  <c r="G275" i="1"/>
  <c r="J274" i="1"/>
  <c r="I274" i="1"/>
  <c r="G274" i="1"/>
  <c r="J273" i="1"/>
  <c r="I273" i="1"/>
  <c r="G273" i="1"/>
  <c r="I272" i="1"/>
  <c r="J272" i="1" s="1"/>
  <c r="G272" i="1"/>
  <c r="I271" i="1"/>
  <c r="J271" i="1" s="1"/>
  <c r="G271" i="1"/>
  <c r="J270" i="1"/>
  <c r="I270" i="1"/>
  <c r="G270" i="1"/>
  <c r="J269" i="1"/>
  <c r="I269" i="1"/>
  <c r="G269" i="1"/>
  <c r="I268" i="1"/>
  <c r="J268" i="1" s="1"/>
  <c r="G268" i="1"/>
  <c r="I267" i="1"/>
  <c r="J267" i="1" s="1"/>
  <c r="G267" i="1"/>
  <c r="J266" i="1"/>
  <c r="I266" i="1"/>
  <c r="G266" i="1"/>
  <c r="J265" i="1"/>
  <c r="I265" i="1"/>
  <c r="G265" i="1"/>
  <c r="I264" i="1"/>
  <c r="J264" i="1" s="1"/>
  <c r="G264" i="1"/>
  <c r="I263" i="1"/>
  <c r="J263" i="1" s="1"/>
  <c r="G263" i="1"/>
  <c r="J262" i="1"/>
  <c r="I262" i="1"/>
  <c r="G262" i="1"/>
  <c r="J261" i="1"/>
  <c r="I261" i="1"/>
  <c r="G261" i="1"/>
  <c r="I260" i="1"/>
  <c r="J260" i="1" s="1"/>
  <c r="G260" i="1"/>
  <c r="I259" i="1"/>
  <c r="J259" i="1" s="1"/>
  <c r="H259" i="1"/>
  <c r="G259" i="1"/>
  <c r="I258" i="1"/>
  <c r="J258" i="1" s="1"/>
  <c r="G258" i="1"/>
  <c r="I257" i="1"/>
  <c r="J257" i="1" s="1"/>
  <c r="G257" i="1"/>
  <c r="J256" i="1"/>
  <c r="I256" i="1"/>
  <c r="G256" i="1"/>
  <c r="J255" i="1"/>
  <c r="I255" i="1"/>
  <c r="G255" i="1"/>
  <c r="I254" i="1"/>
  <c r="J254" i="1" s="1"/>
  <c r="G254" i="1"/>
  <c r="I253" i="1"/>
  <c r="J253" i="1" s="1"/>
  <c r="G253" i="1"/>
  <c r="J252" i="1"/>
  <c r="I252" i="1"/>
  <c r="G252" i="1"/>
  <c r="H251" i="1"/>
  <c r="I251" i="1" s="1"/>
  <c r="J251" i="1" s="1"/>
  <c r="G251" i="1"/>
  <c r="J250" i="1"/>
  <c r="I250" i="1"/>
  <c r="H250" i="1"/>
  <c r="G250" i="1"/>
  <c r="I249" i="1"/>
  <c r="J249" i="1" s="1"/>
  <c r="H249" i="1"/>
  <c r="G249" i="1"/>
  <c r="H248" i="1"/>
  <c r="I248" i="1" s="1"/>
  <c r="J248" i="1" s="1"/>
  <c r="G248" i="1"/>
  <c r="I247" i="1"/>
  <c r="J247" i="1" s="1"/>
  <c r="G247" i="1"/>
  <c r="I246" i="1"/>
  <c r="J246" i="1" s="1"/>
  <c r="G246" i="1"/>
  <c r="I245" i="1"/>
  <c r="J245" i="1" s="1"/>
  <c r="G245" i="1"/>
  <c r="I244" i="1"/>
  <c r="J244" i="1" s="1"/>
  <c r="G244" i="1"/>
  <c r="I243" i="1"/>
  <c r="J243" i="1" s="1"/>
  <c r="G243" i="1"/>
  <c r="I242" i="1"/>
  <c r="J242" i="1" s="1"/>
  <c r="G242" i="1"/>
  <c r="I241" i="1"/>
  <c r="J241" i="1" s="1"/>
  <c r="G241" i="1"/>
  <c r="J240" i="1"/>
  <c r="I240" i="1"/>
  <c r="G240" i="1"/>
  <c r="J239" i="1"/>
  <c r="I239" i="1"/>
  <c r="G239" i="1"/>
  <c r="I238" i="1"/>
  <c r="J238" i="1" s="1"/>
  <c r="G238" i="1"/>
  <c r="I237" i="1"/>
  <c r="J237" i="1" s="1"/>
  <c r="G237" i="1"/>
  <c r="J236" i="1"/>
  <c r="I236" i="1"/>
  <c r="G236" i="1"/>
  <c r="I235" i="1"/>
  <c r="J235" i="1" s="1"/>
  <c r="G235" i="1"/>
  <c r="I234" i="1"/>
  <c r="J234" i="1" s="1"/>
  <c r="G234" i="1"/>
  <c r="I233" i="1"/>
  <c r="J233" i="1" s="1"/>
  <c r="G233" i="1"/>
  <c r="J232" i="1"/>
  <c r="I232" i="1"/>
  <c r="G232" i="1"/>
  <c r="I231" i="1"/>
  <c r="J231" i="1" s="1"/>
  <c r="G231" i="1"/>
  <c r="I230" i="1"/>
  <c r="J230" i="1" s="1"/>
  <c r="G230" i="1"/>
  <c r="I229" i="1"/>
  <c r="J229" i="1" s="1"/>
  <c r="G229" i="1"/>
  <c r="J228" i="1"/>
  <c r="I228" i="1"/>
  <c r="G228" i="1"/>
  <c r="I227" i="1"/>
  <c r="J227" i="1" s="1"/>
  <c r="G227" i="1"/>
  <c r="I226" i="1"/>
  <c r="J226" i="1" s="1"/>
  <c r="G226" i="1"/>
  <c r="I225" i="1"/>
  <c r="J225" i="1" s="1"/>
  <c r="G225" i="1"/>
  <c r="I224" i="1"/>
  <c r="J224" i="1" s="1"/>
  <c r="G224" i="1"/>
  <c r="I223" i="1"/>
  <c r="J223" i="1" s="1"/>
  <c r="G223" i="1"/>
  <c r="I222" i="1"/>
  <c r="J222" i="1" s="1"/>
  <c r="G222" i="1"/>
  <c r="I221" i="1"/>
  <c r="J221" i="1" s="1"/>
  <c r="G221" i="1"/>
  <c r="I220" i="1"/>
  <c r="J220" i="1" s="1"/>
  <c r="G220" i="1"/>
  <c r="I219" i="1"/>
  <c r="J219" i="1" s="1"/>
  <c r="G219" i="1"/>
  <c r="I218" i="1"/>
  <c r="J218" i="1" s="1"/>
  <c r="G218" i="1"/>
  <c r="I217" i="1"/>
  <c r="J217" i="1" s="1"/>
  <c r="G217" i="1"/>
  <c r="J216" i="1"/>
  <c r="I216" i="1"/>
  <c r="G216" i="1"/>
  <c r="J215" i="1"/>
  <c r="I215" i="1"/>
  <c r="G215" i="1"/>
  <c r="I214" i="1"/>
  <c r="J214" i="1" s="1"/>
  <c r="G214" i="1"/>
  <c r="I213" i="1"/>
  <c r="J213" i="1" s="1"/>
  <c r="G213" i="1"/>
  <c r="J212" i="1"/>
  <c r="I212" i="1"/>
  <c r="G212" i="1"/>
  <c r="I211" i="1"/>
  <c r="J211" i="1" s="1"/>
  <c r="G211" i="1"/>
  <c r="I210" i="1"/>
  <c r="J210" i="1" s="1"/>
  <c r="G210" i="1"/>
  <c r="I209" i="1"/>
  <c r="J209" i="1" s="1"/>
  <c r="G209" i="1"/>
  <c r="J208" i="1"/>
  <c r="I208" i="1"/>
  <c r="G208" i="1"/>
  <c r="I207" i="1"/>
  <c r="J207" i="1" s="1"/>
  <c r="G207" i="1"/>
  <c r="I206" i="1"/>
  <c r="J206" i="1" s="1"/>
  <c r="G206" i="1"/>
  <c r="I205" i="1"/>
  <c r="J205" i="1" s="1"/>
  <c r="G205" i="1"/>
  <c r="J204" i="1"/>
  <c r="I204" i="1"/>
  <c r="G204" i="1"/>
  <c r="I203" i="1"/>
  <c r="J203" i="1" s="1"/>
  <c r="G203" i="1"/>
  <c r="I202" i="1"/>
  <c r="J202" i="1" s="1"/>
  <c r="G202" i="1"/>
  <c r="I201" i="1"/>
  <c r="J201" i="1" s="1"/>
  <c r="G201" i="1"/>
  <c r="I200" i="1"/>
  <c r="J200" i="1" s="1"/>
  <c r="G200" i="1"/>
  <c r="I199" i="1"/>
  <c r="J199" i="1" s="1"/>
  <c r="G199" i="1"/>
  <c r="I198" i="1"/>
  <c r="J198" i="1" s="1"/>
  <c r="G198" i="1"/>
  <c r="I197" i="1"/>
  <c r="J197" i="1" s="1"/>
  <c r="G197" i="1"/>
  <c r="I196" i="1"/>
  <c r="J196" i="1" s="1"/>
  <c r="G196" i="1"/>
  <c r="I195" i="1"/>
  <c r="J195" i="1" s="1"/>
  <c r="G195" i="1"/>
  <c r="I194" i="1"/>
  <c r="J194" i="1" s="1"/>
  <c r="G194" i="1"/>
  <c r="I193" i="1"/>
  <c r="J193" i="1" s="1"/>
  <c r="G193" i="1"/>
  <c r="J192" i="1"/>
  <c r="I192" i="1"/>
  <c r="G192" i="1"/>
  <c r="J191" i="1"/>
  <c r="I191" i="1"/>
  <c r="G191" i="1"/>
  <c r="H190" i="1"/>
  <c r="I190" i="1" s="1"/>
  <c r="J190" i="1" s="1"/>
  <c r="G190" i="1"/>
  <c r="I189" i="1"/>
  <c r="J189" i="1" s="1"/>
  <c r="G189" i="1"/>
  <c r="J188" i="1"/>
  <c r="I188" i="1"/>
  <c r="G188" i="1"/>
  <c r="J187" i="1"/>
  <c r="I187" i="1"/>
  <c r="H187" i="1"/>
  <c r="G187" i="1"/>
  <c r="J186" i="1"/>
  <c r="I186" i="1"/>
  <c r="G186" i="1"/>
  <c r="J185" i="1"/>
  <c r="I185" i="1"/>
  <c r="G185" i="1"/>
  <c r="I184" i="1"/>
  <c r="J184" i="1" s="1"/>
  <c r="G184" i="1"/>
  <c r="J183" i="1"/>
  <c r="I183" i="1"/>
  <c r="G183" i="1"/>
  <c r="J182" i="1"/>
  <c r="I182" i="1"/>
  <c r="G182" i="1"/>
  <c r="I181" i="1"/>
  <c r="J181" i="1" s="1"/>
  <c r="G181" i="1"/>
  <c r="I180" i="1"/>
  <c r="J180" i="1" s="1"/>
  <c r="G180" i="1"/>
  <c r="J179" i="1"/>
  <c r="I179" i="1"/>
  <c r="G179" i="1"/>
  <c r="J178" i="1"/>
  <c r="I178" i="1"/>
  <c r="G178" i="1"/>
  <c r="J177" i="1"/>
  <c r="I177" i="1"/>
  <c r="G177" i="1"/>
  <c r="I176" i="1"/>
  <c r="J176" i="1" s="1"/>
  <c r="G176" i="1"/>
  <c r="J175" i="1"/>
  <c r="I175" i="1"/>
  <c r="G175" i="1"/>
  <c r="J174" i="1"/>
  <c r="I174" i="1"/>
  <c r="G174" i="1"/>
  <c r="I173" i="1"/>
  <c r="J173" i="1" s="1"/>
  <c r="G173" i="1"/>
  <c r="I172" i="1"/>
  <c r="J172" i="1" s="1"/>
  <c r="G172" i="1"/>
  <c r="I171" i="1"/>
  <c r="J171" i="1" s="1"/>
  <c r="G171" i="1"/>
  <c r="J170" i="1"/>
  <c r="I170" i="1"/>
  <c r="G170" i="1"/>
  <c r="J169" i="1"/>
  <c r="I169" i="1"/>
  <c r="G169" i="1"/>
  <c r="I168" i="1"/>
  <c r="J168" i="1" s="1"/>
  <c r="G168" i="1"/>
  <c r="I167" i="1"/>
  <c r="J167" i="1" s="1"/>
  <c r="G167" i="1"/>
  <c r="J166" i="1"/>
  <c r="I166" i="1"/>
  <c r="G166" i="1"/>
  <c r="I165" i="1"/>
  <c r="J165" i="1" s="1"/>
  <c r="G165" i="1"/>
  <c r="I164" i="1"/>
  <c r="J164" i="1" s="1"/>
  <c r="G164" i="1"/>
  <c r="I163" i="1"/>
  <c r="J163" i="1" s="1"/>
  <c r="G163" i="1"/>
  <c r="J162" i="1"/>
  <c r="I162" i="1"/>
  <c r="G162" i="1"/>
  <c r="I161" i="1"/>
  <c r="J161" i="1" s="1"/>
  <c r="G161" i="1"/>
  <c r="H160" i="1"/>
  <c r="I160" i="1" s="1"/>
  <c r="J160" i="1" s="1"/>
  <c r="G160" i="1"/>
  <c r="I159" i="1"/>
  <c r="J159" i="1" s="1"/>
  <c r="G159" i="1"/>
  <c r="I158" i="1"/>
  <c r="J158" i="1" s="1"/>
  <c r="G158" i="1"/>
  <c r="I157" i="1"/>
  <c r="J157" i="1" s="1"/>
  <c r="G157" i="1"/>
  <c r="J156" i="1"/>
  <c r="I156" i="1"/>
  <c r="G156" i="1"/>
  <c r="I155" i="1"/>
  <c r="J155" i="1" s="1"/>
  <c r="G155" i="1"/>
  <c r="I154" i="1"/>
  <c r="J154" i="1" s="1"/>
  <c r="G154" i="1"/>
  <c r="I153" i="1"/>
  <c r="J153" i="1" s="1"/>
  <c r="H153" i="1"/>
  <c r="G153" i="1"/>
  <c r="J152" i="1"/>
  <c r="I152" i="1"/>
  <c r="G152" i="1"/>
  <c r="I151" i="1"/>
  <c r="J151" i="1" s="1"/>
  <c r="G151" i="1"/>
  <c r="I150" i="1"/>
  <c r="J150" i="1" s="1"/>
  <c r="G150" i="1"/>
  <c r="J149" i="1"/>
  <c r="I149" i="1"/>
  <c r="G149" i="1"/>
  <c r="J148" i="1"/>
  <c r="I148" i="1"/>
  <c r="G148" i="1"/>
  <c r="I147" i="1"/>
  <c r="J147" i="1" s="1"/>
  <c r="G147" i="1"/>
  <c r="I146" i="1"/>
  <c r="J146" i="1" s="1"/>
  <c r="G146" i="1"/>
  <c r="J145" i="1"/>
  <c r="I145" i="1"/>
  <c r="G145" i="1"/>
  <c r="J144" i="1"/>
  <c r="I144" i="1"/>
  <c r="G144" i="1"/>
  <c r="I143" i="1"/>
  <c r="J143" i="1" s="1"/>
  <c r="G143" i="1"/>
  <c r="I142" i="1"/>
  <c r="J142" i="1" s="1"/>
  <c r="G142" i="1"/>
  <c r="J141" i="1"/>
  <c r="I141" i="1"/>
  <c r="G141" i="1"/>
  <c r="J140" i="1"/>
  <c r="I140" i="1"/>
  <c r="G140" i="1"/>
  <c r="I139" i="1"/>
  <c r="J139" i="1" s="1"/>
  <c r="G139" i="1"/>
  <c r="I138" i="1"/>
  <c r="J138" i="1" s="1"/>
  <c r="G138" i="1"/>
  <c r="J137" i="1"/>
  <c r="I137" i="1"/>
  <c r="G137" i="1"/>
  <c r="J136" i="1"/>
  <c r="I136" i="1"/>
  <c r="G136" i="1"/>
  <c r="I135" i="1"/>
  <c r="J135" i="1" s="1"/>
  <c r="G135" i="1"/>
  <c r="I134" i="1"/>
  <c r="J134" i="1" s="1"/>
  <c r="G134" i="1"/>
  <c r="J133" i="1"/>
  <c r="I133" i="1"/>
  <c r="G133" i="1"/>
  <c r="J132" i="1"/>
  <c r="I132" i="1"/>
  <c r="G132" i="1"/>
  <c r="I131" i="1"/>
  <c r="J131" i="1" s="1"/>
  <c r="H131" i="1"/>
  <c r="G131" i="1"/>
  <c r="I130" i="1"/>
  <c r="J130" i="1" s="1"/>
  <c r="H130" i="1"/>
  <c r="G130" i="1"/>
  <c r="I129" i="1"/>
  <c r="J129" i="1" s="1"/>
  <c r="G129" i="1"/>
  <c r="I128" i="1"/>
  <c r="J128" i="1" s="1"/>
  <c r="G128" i="1"/>
  <c r="I127" i="1"/>
  <c r="J127" i="1" s="1"/>
  <c r="G127" i="1"/>
  <c r="J126" i="1"/>
  <c r="I126" i="1"/>
  <c r="G126" i="1"/>
  <c r="I125" i="1"/>
  <c r="J125" i="1" s="1"/>
  <c r="G125" i="1"/>
  <c r="I124" i="1"/>
  <c r="J124" i="1" s="1"/>
  <c r="G124" i="1"/>
  <c r="I123" i="1"/>
  <c r="J123" i="1" s="1"/>
  <c r="G123" i="1"/>
  <c r="I122" i="1"/>
  <c r="J122" i="1" s="1"/>
  <c r="G122" i="1"/>
  <c r="I121" i="1"/>
  <c r="J121" i="1" s="1"/>
  <c r="G121" i="1"/>
  <c r="I120" i="1"/>
  <c r="J120" i="1" s="1"/>
  <c r="G120" i="1"/>
  <c r="I119" i="1"/>
  <c r="J119" i="1" s="1"/>
  <c r="G119" i="1"/>
  <c r="I118" i="1"/>
  <c r="J118" i="1" s="1"/>
  <c r="G118" i="1"/>
  <c r="I117" i="1"/>
  <c r="J117" i="1" s="1"/>
  <c r="G117" i="1"/>
  <c r="I116" i="1"/>
  <c r="J116" i="1" s="1"/>
  <c r="G116" i="1"/>
  <c r="I115" i="1"/>
  <c r="J115" i="1" s="1"/>
  <c r="G115" i="1"/>
  <c r="J114" i="1"/>
  <c r="I114" i="1"/>
  <c r="G114" i="1"/>
  <c r="J113" i="1"/>
  <c r="I113" i="1"/>
  <c r="G113" i="1"/>
  <c r="I112" i="1"/>
  <c r="J112" i="1" s="1"/>
  <c r="G112" i="1"/>
  <c r="I111" i="1"/>
  <c r="J111" i="1" s="1"/>
  <c r="G111" i="1"/>
  <c r="J110" i="1"/>
  <c r="I110" i="1"/>
  <c r="G110" i="1"/>
  <c r="I109" i="1"/>
  <c r="J109" i="1" s="1"/>
  <c r="H109" i="1"/>
  <c r="G109" i="1"/>
  <c r="I108" i="1"/>
  <c r="J108" i="1" s="1"/>
  <c r="G108" i="1"/>
  <c r="I107" i="1"/>
  <c r="J107" i="1" s="1"/>
  <c r="G107" i="1"/>
  <c r="H106" i="1"/>
  <c r="I106" i="1" s="1"/>
  <c r="J106" i="1" s="1"/>
  <c r="G106" i="1"/>
  <c r="I105" i="1"/>
  <c r="J105" i="1" s="1"/>
  <c r="G105" i="1"/>
  <c r="H104" i="1"/>
  <c r="I104" i="1" s="1"/>
  <c r="J104" i="1" s="1"/>
  <c r="G104" i="1"/>
  <c r="I103" i="1"/>
  <c r="J103" i="1" s="1"/>
  <c r="H103" i="1"/>
  <c r="G103" i="1"/>
  <c r="H102" i="1"/>
  <c r="I102" i="1" s="1"/>
  <c r="J102" i="1" s="1"/>
  <c r="G102" i="1"/>
  <c r="J101" i="1"/>
  <c r="H101" i="1"/>
  <c r="I101" i="1" s="1"/>
  <c r="G101" i="1"/>
  <c r="J100" i="1"/>
  <c r="I100" i="1"/>
  <c r="G100" i="1"/>
  <c r="J99" i="1"/>
  <c r="I99" i="1"/>
  <c r="G99" i="1"/>
  <c r="I98" i="1"/>
  <c r="J98" i="1" s="1"/>
  <c r="G98" i="1"/>
  <c r="I97" i="1"/>
  <c r="J97" i="1" s="1"/>
  <c r="G97" i="1"/>
  <c r="I96" i="1"/>
  <c r="J96" i="1" s="1"/>
  <c r="G96" i="1"/>
  <c r="I95" i="1"/>
  <c r="J95" i="1" s="1"/>
  <c r="G95" i="1"/>
  <c r="I94" i="1"/>
  <c r="J94" i="1" s="1"/>
  <c r="G94" i="1"/>
  <c r="I93" i="1"/>
  <c r="J93" i="1" s="1"/>
  <c r="G93" i="1"/>
  <c r="I92" i="1"/>
  <c r="J92" i="1" s="1"/>
  <c r="G92" i="1"/>
  <c r="I91" i="1"/>
  <c r="J91" i="1" s="1"/>
  <c r="G91" i="1"/>
  <c r="I90" i="1"/>
  <c r="J90" i="1" s="1"/>
  <c r="G90" i="1"/>
  <c r="I89" i="1"/>
  <c r="J89" i="1" s="1"/>
  <c r="G89" i="1"/>
  <c r="I88" i="1"/>
  <c r="J88" i="1" s="1"/>
  <c r="G88" i="1"/>
  <c r="J87" i="1"/>
  <c r="I87" i="1"/>
  <c r="G87" i="1"/>
  <c r="I86" i="1"/>
  <c r="J86" i="1" s="1"/>
  <c r="G86" i="1"/>
  <c r="I85" i="1"/>
  <c r="J85" i="1" s="1"/>
  <c r="G85" i="1"/>
  <c r="I84" i="1"/>
  <c r="J84" i="1" s="1"/>
  <c r="G84" i="1"/>
  <c r="J83" i="1"/>
  <c r="I83" i="1"/>
  <c r="G83" i="1"/>
  <c r="I82" i="1"/>
  <c r="J82" i="1" s="1"/>
  <c r="G82" i="1"/>
  <c r="I81" i="1"/>
  <c r="J81" i="1" s="1"/>
  <c r="G81" i="1"/>
  <c r="I80" i="1"/>
  <c r="J80" i="1" s="1"/>
  <c r="G80" i="1"/>
  <c r="J79" i="1"/>
  <c r="I79" i="1"/>
  <c r="G79" i="1"/>
  <c r="I78" i="1"/>
  <c r="J78" i="1" s="1"/>
  <c r="G78" i="1"/>
  <c r="I77" i="1"/>
  <c r="J77" i="1" s="1"/>
  <c r="G77" i="1"/>
  <c r="J76" i="1"/>
  <c r="I76" i="1"/>
  <c r="G76" i="1"/>
  <c r="J75" i="1"/>
  <c r="I75" i="1"/>
  <c r="G75" i="1"/>
  <c r="I74" i="1"/>
  <c r="J74" i="1" s="1"/>
  <c r="G74" i="1"/>
  <c r="I73" i="1"/>
  <c r="J73" i="1" s="1"/>
  <c r="G73" i="1"/>
  <c r="I72" i="1"/>
  <c r="J72" i="1" s="1"/>
  <c r="G72" i="1"/>
  <c r="I71" i="1"/>
  <c r="J71" i="1" s="1"/>
  <c r="G71" i="1"/>
  <c r="I70" i="1"/>
  <c r="J70" i="1" s="1"/>
  <c r="G70" i="1"/>
  <c r="I69" i="1"/>
  <c r="J69" i="1" s="1"/>
  <c r="G69" i="1"/>
  <c r="I68" i="1"/>
  <c r="J68" i="1" s="1"/>
  <c r="G68" i="1"/>
  <c r="I67" i="1"/>
  <c r="J67" i="1" s="1"/>
  <c r="G67" i="1"/>
  <c r="I66" i="1"/>
  <c r="J66" i="1" s="1"/>
  <c r="G66" i="1"/>
  <c r="I65" i="1"/>
  <c r="J65" i="1" s="1"/>
  <c r="G65" i="1"/>
  <c r="I64" i="1"/>
  <c r="J64" i="1" s="1"/>
  <c r="G64" i="1"/>
  <c r="J63" i="1"/>
  <c r="I63" i="1"/>
  <c r="G63" i="1"/>
  <c r="I62" i="1"/>
  <c r="J62" i="1" s="1"/>
  <c r="G62" i="1"/>
  <c r="I61" i="1"/>
  <c r="J61" i="1" s="1"/>
  <c r="G61" i="1"/>
  <c r="I60" i="1"/>
  <c r="J60" i="1" s="1"/>
  <c r="G60" i="1"/>
  <c r="J59" i="1"/>
  <c r="I59" i="1"/>
  <c r="G59" i="1"/>
  <c r="I58" i="1"/>
  <c r="J58" i="1" s="1"/>
  <c r="G58" i="1"/>
  <c r="I57" i="1"/>
  <c r="J57" i="1" s="1"/>
  <c r="G57" i="1"/>
  <c r="I56" i="1"/>
  <c r="J56" i="1" s="1"/>
  <c r="G56" i="1"/>
  <c r="J55" i="1"/>
  <c r="I55" i="1"/>
  <c r="G55" i="1"/>
  <c r="I54" i="1"/>
  <c r="J54" i="1" s="1"/>
  <c r="G54" i="1"/>
  <c r="I53" i="1"/>
  <c r="J53" i="1" s="1"/>
  <c r="G53" i="1"/>
  <c r="J52" i="1"/>
  <c r="I52" i="1"/>
  <c r="G52" i="1"/>
  <c r="J51" i="1"/>
  <c r="I51" i="1"/>
  <c r="G51" i="1"/>
  <c r="I50" i="1"/>
  <c r="J50" i="1" s="1"/>
  <c r="G50" i="1"/>
  <c r="I49" i="1"/>
  <c r="J49" i="1" s="1"/>
  <c r="G49" i="1"/>
  <c r="I48" i="1"/>
  <c r="J48" i="1" s="1"/>
  <c r="G48" i="1"/>
  <c r="I47" i="1"/>
  <c r="J47" i="1" s="1"/>
  <c r="G47" i="1"/>
  <c r="I46" i="1"/>
  <c r="J46" i="1" s="1"/>
  <c r="G46" i="1"/>
  <c r="I45" i="1"/>
  <c r="J45" i="1" s="1"/>
  <c r="G45" i="1"/>
  <c r="I44" i="1"/>
  <c r="J44" i="1" s="1"/>
  <c r="G44" i="1"/>
  <c r="I43" i="1"/>
  <c r="J43" i="1" s="1"/>
  <c r="G43" i="1"/>
  <c r="I42" i="1"/>
  <c r="J42" i="1" s="1"/>
  <c r="G42" i="1"/>
  <c r="I41" i="1"/>
  <c r="J41" i="1" s="1"/>
  <c r="G41" i="1"/>
  <c r="I40" i="1"/>
  <c r="J40" i="1" s="1"/>
  <c r="H40" i="1"/>
  <c r="G40" i="1"/>
  <c r="J39" i="1"/>
  <c r="I39" i="1"/>
  <c r="G39" i="1"/>
  <c r="I38" i="1"/>
  <c r="J38" i="1" s="1"/>
  <c r="G38" i="1"/>
  <c r="I37" i="1"/>
  <c r="J37" i="1" s="1"/>
  <c r="H37" i="1"/>
  <c r="G37" i="1"/>
  <c r="I36" i="1"/>
  <c r="J36" i="1" s="1"/>
  <c r="G36" i="1"/>
  <c r="I35" i="1"/>
  <c r="J35" i="1" s="1"/>
  <c r="G35" i="1"/>
  <c r="J34" i="1"/>
  <c r="I34" i="1"/>
  <c r="G34" i="1"/>
  <c r="I33" i="1"/>
  <c r="J33" i="1" s="1"/>
  <c r="G33" i="1"/>
  <c r="I32" i="1"/>
  <c r="J32" i="1" s="1"/>
  <c r="G32" i="1"/>
  <c r="I31" i="1"/>
  <c r="J31" i="1" s="1"/>
  <c r="G31" i="1"/>
  <c r="J30" i="1"/>
  <c r="I30" i="1"/>
  <c r="G30" i="1"/>
  <c r="I29" i="1"/>
  <c r="J29" i="1" s="1"/>
  <c r="G29" i="1"/>
  <c r="I28" i="1"/>
  <c r="J28" i="1" s="1"/>
  <c r="G28" i="1"/>
  <c r="I27" i="1"/>
  <c r="J27" i="1" s="1"/>
  <c r="G27" i="1"/>
  <c r="J26" i="1"/>
  <c r="I26" i="1"/>
  <c r="G26" i="1"/>
  <c r="J25" i="1"/>
  <c r="I25" i="1"/>
  <c r="G25" i="1"/>
  <c r="I24" i="1"/>
  <c r="J24" i="1" s="1"/>
  <c r="G24" i="1"/>
  <c r="I23" i="1"/>
  <c r="J23" i="1" s="1"/>
  <c r="G23" i="1"/>
  <c r="J22" i="1"/>
  <c r="I22" i="1"/>
  <c r="G22" i="1"/>
  <c r="J21" i="1"/>
  <c r="I21" i="1"/>
  <c r="G21" i="1"/>
  <c r="I20" i="1"/>
  <c r="J20" i="1" s="1"/>
  <c r="G20" i="1"/>
  <c r="I19" i="1"/>
  <c r="J19" i="1" s="1"/>
  <c r="G19" i="1"/>
  <c r="J18" i="1"/>
  <c r="I18" i="1"/>
  <c r="G18" i="1"/>
  <c r="J17" i="1"/>
  <c r="I17" i="1"/>
  <c r="G17" i="1"/>
  <c r="I16" i="1"/>
  <c r="J16" i="1" s="1"/>
  <c r="G16" i="1"/>
  <c r="I15" i="1"/>
  <c r="J15" i="1" s="1"/>
  <c r="G15" i="1"/>
  <c r="J14" i="1"/>
  <c r="I14" i="1"/>
  <c r="G14" i="1"/>
  <c r="J13" i="1"/>
  <c r="I13" i="1"/>
  <c r="G13" i="1"/>
  <c r="I12" i="1"/>
  <c r="J12" i="1" s="1"/>
  <c r="G12" i="1"/>
  <c r="I11" i="1"/>
  <c r="J11" i="1" s="1"/>
  <c r="G11" i="1"/>
  <c r="J10" i="1"/>
  <c r="I10" i="1"/>
  <c r="G10" i="1"/>
  <c r="I9" i="1"/>
  <c r="J9" i="1" s="1"/>
  <c r="G9" i="1"/>
  <c r="I8" i="1"/>
  <c r="J8" i="1" s="1"/>
  <c r="G8" i="1"/>
  <c r="I7" i="1"/>
  <c r="J7" i="1" s="1"/>
  <c r="G7" i="1"/>
  <c r="J6" i="1"/>
  <c r="I6" i="1"/>
  <c r="G6" i="1"/>
  <c r="I5" i="1"/>
  <c r="J5" i="1" s="1"/>
  <c r="G5" i="1"/>
  <c r="I4" i="1"/>
  <c r="J4" i="1" s="1"/>
  <c r="G4" i="1"/>
  <c r="I3" i="1"/>
  <c r="J3" i="1" s="1"/>
  <c r="G3" i="1"/>
  <c r="J2" i="1"/>
  <c r="I2" i="1"/>
  <c r="G2" i="1"/>
  <c r="G1773" i="1" l="1"/>
  <c r="I2546" i="1"/>
  <c r="J2546" i="1" s="1"/>
  <c r="G2546" i="1"/>
  <c r="G848" i="1"/>
  <c r="G1108" i="1"/>
  <c r="G2057" i="1"/>
  <c r="I2386" i="1"/>
  <c r="J2386" i="1" s="1"/>
  <c r="G2386" i="1"/>
  <c r="G2472" i="1"/>
  <c r="G3290" i="1"/>
  <c r="I3306" i="1"/>
  <c r="J3306" i="1" s="1"/>
  <c r="G3306" i="1"/>
  <c r="G3287" i="1"/>
  <c r="G3285" i="1"/>
  <c r="G3288" i="1"/>
  <c r="G3291" i="1"/>
  <c r="G3144" i="1"/>
  <c r="G3286" i="1"/>
  <c r="G3289" i="1"/>
  <c r="I4782" i="1"/>
  <c r="J4782" i="1" s="1"/>
  <c r="G4782" i="1"/>
  <c r="I5454" i="1"/>
  <c r="J5454" i="1" s="1"/>
  <c r="G5454" i="1"/>
  <c r="G4389" i="1"/>
  <c r="I5326" i="1"/>
  <c r="J5326" i="1" s="1"/>
  <c r="G5326" i="1"/>
  <c r="I5449" i="1"/>
  <c r="J5449" i="1" s="1"/>
  <c r="I6231" i="1"/>
  <c r="J6231" i="1" s="1"/>
  <c r="G62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tc={D3ADC4E2-EAE3-4456-815A-1821188557D3}</author>
    <author>tc={C73E7B85-4654-47CA-8F44-1238EC2EE270}</author>
  </authors>
  <commentList>
    <comment ref="H578" authorId="0" shapeId="0" xr:uid="{D3ADC4E2-EAE3-4456-815A-1821188557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aplico 80 soles del 13/10 y 20 del toji sentado</t>
      </text>
    </comment>
    <comment ref="H588" authorId="1" shapeId="0" xr:uid="{C73E7B85-4654-47CA-8F44-1238EC2EE2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Compenso 100 soles aca
</t>
      </text>
    </comment>
  </commentList>
</comments>
</file>

<file path=xl/sharedStrings.xml><?xml version="1.0" encoding="utf-8"?>
<sst xmlns="http://schemas.openxmlformats.org/spreadsheetml/2006/main" count="16680" uniqueCount="6410">
  <si>
    <t>FECHA</t>
  </si>
  <si>
    <t>FIGURA</t>
  </si>
  <si>
    <t>CLIENTE</t>
  </si>
  <si>
    <t>VALOR 1</t>
  </si>
  <si>
    <t>VENTA</t>
  </si>
  <si>
    <t>MARGEN</t>
  </si>
  <si>
    <t>PAGADO</t>
  </si>
  <si>
    <t>POR PAGAR</t>
  </si>
  <si>
    <t>ESTADO</t>
  </si>
  <si>
    <t>COMENTARIO</t>
  </si>
  <si>
    <t>OBS</t>
  </si>
  <si>
    <t>LOTE</t>
  </si>
  <si>
    <t>VEGETA ICHIBAN</t>
  </si>
  <si>
    <t>HENRY</t>
  </si>
  <si>
    <t>VEGETA PODER BANPRESTO</t>
  </si>
  <si>
    <t>SET MAJIN BOO</t>
  </si>
  <si>
    <t>OLIVER HINOST</t>
  </si>
  <si>
    <t>PACK FREEZER</t>
  </si>
  <si>
    <t>JOAL</t>
  </si>
  <si>
    <t>VEGETA MATCH</t>
  </si>
  <si>
    <t>MATHIAS</t>
  </si>
  <si>
    <t>GOKU MATCH</t>
  </si>
  <si>
    <t>4 CHAPA ROJA</t>
  </si>
  <si>
    <t>CARLOS HERENCIA</t>
  </si>
  <si>
    <t>3 FIGURAS CHAPA ROJA</t>
  </si>
  <si>
    <t>GEANFRANCO CABALLERO</t>
  </si>
  <si>
    <t>BARDOCK HB + FREEZER HB</t>
  </si>
  <si>
    <t>LUIS LUCERO PILCO</t>
  </si>
  <si>
    <t>BARDOCK BATALLA</t>
  </si>
  <si>
    <t>JUNIOR LEVIN</t>
  </si>
  <si>
    <t>2 CHAPA ROJA</t>
  </si>
  <si>
    <t>GEANCARLO TRUJILLO CARLOS VR</t>
  </si>
  <si>
    <t>SUGURO GETO</t>
  </si>
  <si>
    <t>DIEGO SUCLUPE</t>
  </si>
  <si>
    <t>OZARU</t>
  </si>
  <si>
    <t>VEGUETA</t>
  </si>
  <si>
    <t>BARDOCK</t>
  </si>
  <si>
    <t>FREEZER GX MATERIA</t>
  </si>
  <si>
    <t>CELL</t>
  </si>
  <si>
    <t>ENZO</t>
  </si>
  <si>
    <t>TRUNKS</t>
  </si>
  <si>
    <t>SUKUNA</t>
  </si>
  <si>
    <t>CUADRO GOYO</t>
  </si>
  <si>
    <t>CUADRO SUKUNA</t>
  </si>
  <si>
    <t>BRUNO PUSARI</t>
  </si>
  <si>
    <t>JOSEPH DIAZ</t>
  </si>
  <si>
    <t xml:space="preserve">CUADRO </t>
  </si>
  <si>
    <t>2 SUKUNAS</t>
  </si>
  <si>
    <t>ANDERSON</t>
  </si>
  <si>
    <t>GOHAN ICHIBAN A SAIYAMAN</t>
  </si>
  <si>
    <t xml:space="preserve">JAIRO </t>
  </si>
  <si>
    <t>MAYIN VEGETA</t>
  </si>
  <si>
    <t>ARTURO ROBLES</t>
  </si>
  <si>
    <t>INOSKE</t>
  </si>
  <si>
    <t>CARLOS CAMPOS</t>
  </si>
  <si>
    <t>GOKU ZENKAI</t>
  </si>
  <si>
    <t xml:space="preserve">HAROLD ZEGARRA </t>
  </si>
  <si>
    <t>2 POSA VASOS</t>
  </si>
  <si>
    <t>JOSE HUAMAN</t>
  </si>
  <si>
    <t>3 CHAPA ROJAS</t>
  </si>
  <si>
    <t>1 LLAVERO DBZ</t>
  </si>
  <si>
    <t>JOSSELYN HENRIQUEZ</t>
  </si>
  <si>
    <t>JULIO CESAR CANCHO</t>
  </si>
  <si>
    <t>JOEL CAMPOS</t>
  </si>
  <si>
    <t>TANJIRO</t>
  </si>
  <si>
    <t>GOKU HB</t>
  </si>
  <si>
    <t>ALEXIS JUNIOR VEGA</t>
  </si>
  <si>
    <t>LEONARDO VARGAS</t>
  </si>
  <si>
    <t>ROLANDO CONTRERAS</t>
  </si>
  <si>
    <t>TOJI</t>
  </si>
  <si>
    <t>LUCERO MENDIETA</t>
  </si>
  <si>
    <t>MATCH (GOKU UBB)</t>
  </si>
  <si>
    <t>CARLOS VILLAFUERTE</t>
  </si>
  <si>
    <t>VEGITO</t>
  </si>
  <si>
    <t>MARTIN PACHAS</t>
  </si>
  <si>
    <t>PRIMER ENVIO DEL KBRO</t>
  </si>
  <si>
    <t>GOHAN BESTIA</t>
  </si>
  <si>
    <t>WILLIAM GADEA</t>
  </si>
  <si>
    <t>GOHAN ULTIMATE</t>
  </si>
  <si>
    <t>LUFFY</t>
  </si>
  <si>
    <t>SAMUEL MAMANI</t>
  </si>
  <si>
    <t>GOHAN SSJ</t>
  </si>
  <si>
    <t>GOKU VS GOHA</t>
  </si>
  <si>
    <t>YUTA</t>
  </si>
  <si>
    <t>Arturo Cahuari</t>
  </si>
  <si>
    <t>ITADORI</t>
  </si>
  <si>
    <t>TOGE</t>
  </si>
  <si>
    <t>MEGUMI</t>
  </si>
  <si>
    <t>GOHAN BANPRESTO</t>
  </si>
  <si>
    <t>Willians Soldevilla</t>
  </si>
  <si>
    <t>PICOLLO</t>
  </si>
  <si>
    <t>Karina Ccama</t>
  </si>
  <si>
    <t>GOHAN BLOOD OF SAYAN</t>
  </si>
  <si>
    <t>Jose Luis Rodriguez</t>
  </si>
  <si>
    <t>GOHAN HB</t>
  </si>
  <si>
    <t>HAROLD ZEGARRA</t>
  </si>
  <si>
    <t>GOHAN SIN FUTURO</t>
  </si>
  <si>
    <t>ANGIE SANCHEZ</t>
  </si>
  <si>
    <t>3 CUADROS Y POSAVASOS</t>
  </si>
  <si>
    <t>ANDRE KORIGAN</t>
  </si>
  <si>
    <t>TRUNKS CRANEKING</t>
  </si>
  <si>
    <t>ANGELO BENDEZÚ</t>
  </si>
  <si>
    <t>2 CUADROS</t>
  </si>
  <si>
    <t>GOTEN Y TRUNKS</t>
  </si>
  <si>
    <t>GOHAN / GOHAN PEQUEÑO/ GOHAN BOF</t>
  </si>
  <si>
    <t>ARON PUERTAS</t>
  </si>
  <si>
    <t>GOGETA BLUE</t>
  </si>
  <si>
    <t>GOKU SSJ BLUE</t>
  </si>
  <si>
    <t>ARMABLE</t>
  </si>
  <si>
    <t>TENSHINHAN CHAOS</t>
  </si>
  <si>
    <t>VEGETA COCACOLA</t>
  </si>
  <si>
    <t>GINIU CHICO</t>
  </si>
  <si>
    <t>GOKU NIÑO</t>
  </si>
  <si>
    <t>GASHAPON GOKU</t>
  </si>
  <si>
    <t>GASHAPON GINYU</t>
  </si>
  <si>
    <t>FREEZER</t>
  </si>
  <si>
    <t>VASO</t>
  </si>
  <si>
    <t>GOKU PUJANDO</t>
  </si>
  <si>
    <t>VEGETA CHIBOLO</t>
  </si>
  <si>
    <t>GOKU BLACK</t>
  </si>
  <si>
    <t>GOKU SSJ</t>
  </si>
  <si>
    <t>VEGETA SSJ4</t>
  </si>
  <si>
    <t>CUADRO VEGETA SSJ4</t>
  </si>
  <si>
    <t>DENDE</t>
  </si>
  <si>
    <t>JUNIOR PULANCHE</t>
  </si>
  <si>
    <t>ANDROIDE</t>
  </si>
  <si>
    <t>GOHAN CHIQUI</t>
  </si>
  <si>
    <t xml:space="preserve">WILLIAM GADEA </t>
  </si>
  <si>
    <t>BULMA</t>
  </si>
  <si>
    <t>MARIANA MORA</t>
  </si>
  <si>
    <t>CUADRO NESUKO</t>
  </si>
  <si>
    <t>JEFFERSON CARRASCO</t>
  </si>
  <si>
    <t>GOKU SSJ4</t>
  </si>
  <si>
    <t>FOLDER</t>
  </si>
  <si>
    <t>BILLS CHAPITA ROJA</t>
  </si>
  <si>
    <t>LLAVERO ICHIBAN</t>
  </si>
  <si>
    <t>DAVID ORELLANA</t>
  </si>
  <si>
    <t>GOTENKS GASHAPON</t>
  </si>
  <si>
    <t>ANGEL CHAPA ROJA</t>
  </si>
  <si>
    <t>GACHAPON GOKU</t>
  </si>
  <si>
    <t>ZAMAZU</t>
  </si>
  <si>
    <t xml:space="preserve">TOALLA </t>
  </si>
  <si>
    <t>JOAL BELMONT</t>
  </si>
  <si>
    <t>DEKU MHA</t>
  </si>
  <si>
    <t xml:space="preserve">ANDROIDE </t>
  </si>
  <si>
    <t>2 MATCHMAKERS</t>
  </si>
  <si>
    <t>3 LLAVEROS</t>
  </si>
  <si>
    <t>ERICK ROJAS</t>
  </si>
  <si>
    <t>LLAVERO ONE PIECE</t>
  </si>
  <si>
    <t>TOALLA PEQUEÑA</t>
  </si>
  <si>
    <t>TOALLA LARGA</t>
  </si>
  <si>
    <t>MAHITO BANPRESTO</t>
  </si>
  <si>
    <t>SHANKS + LUFFY</t>
  </si>
  <si>
    <t>MIGUEL ESCALANTE</t>
  </si>
  <si>
    <t>VEGITO + GOTENKS (CLEAR)</t>
  </si>
  <si>
    <t>TOALLA</t>
  </si>
  <si>
    <t>TOALLA BROLY</t>
  </si>
  <si>
    <t>GOKU + VEGETA (MATCH)</t>
  </si>
  <si>
    <t>ROCHI GX MAT</t>
  </si>
  <si>
    <t>ACRÍLICO</t>
  </si>
  <si>
    <t>FREEZER CHAPA ROJA</t>
  </si>
  <si>
    <t>GOKU Y VEGETA BLUE</t>
  </si>
  <si>
    <t>JUNIOR BENITO (SKILARK)</t>
  </si>
  <si>
    <t>BUU ALTERNATIVO</t>
  </si>
  <si>
    <t>AXEL MILIAM</t>
  </si>
  <si>
    <t>KRILIN CHAPA ROJA</t>
  </si>
  <si>
    <t>GOKU CHAPA ROJA</t>
  </si>
  <si>
    <t>PAN CHAPA ROJA</t>
  </si>
  <si>
    <t>LLAVERO TRUNKS</t>
  </si>
  <si>
    <t xml:space="preserve">LLAVERO </t>
  </si>
  <si>
    <t>1 CHAPA ROJA</t>
  </si>
  <si>
    <t>LUIS CESPEDES KARL MARX</t>
  </si>
  <si>
    <t>MAJIN VEGETA</t>
  </si>
  <si>
    <t>GOHAN GOKU ICHIBAN</t>
  </si>
  <si>
    <t>GOKU YADRAT</t>
  </si>
  <si>
    <t>CUADRO BUU</t>
  </si>
  <si>
    <t>VEGETA DXF + 2 CUADROS</t>
  </si>
  <si>
    <t>INGRID CALZADA</t>
  </si>
  <si>
    <t>3 CUADROS</t>
  </si>
  <si>
    <t>GOKU KAIOKEN</t>
  </si>
  <si>
    <t>CHAPA ROJA</t>
  </si>
  <si>
    <t>GX MATERIA</t>
  </si>
  <si>
    <t xml:space="preserve">GOKU </t>
  </si>
  <si>
    <t>PIKORO</t>
  </si>
  <si>
    <t>3 CHAPAS ROJAS</t>
  </si>
  <si>
    <t>USSOP</t>
  </si>
  <si>
    <t>GOGETA LLAVERO</t>
  </si>
  <si>
    <t>SANYI KOA</t>
  </si>
  <si>
    <t>4 CUADROS</t>
  </si>
  <si>
    <t>JEAM</t>
  </si>
  <si>
    <t>ZENITZU</t>
  </si>
  <si>
    <t>LOTE GX MATERIA + DUO VEGITO MAJIN</t>
  </si>
  <si>
    <t xml:space="preserve">BROLY BOOD OF SAYAN </t>
  </si>
  <si>
    <t>VEGETA + ZABON</t>
  </si>
  <si>
    <t>BROLY ICHIBAN</t>
  </si>
  <si>
    <t>FREEZER GOKU ICHIBAN</t>
  </si>
  <si>
    <t>DUO BLUE ICHIBAN</t>
  </si>
  <si>
    <t>GOKU DIOS</t>
  </si>
  <si>
    <t>NUMERO 16 ICHIBAN</t>
  </si>
  <si>
    <t>CUADRO</t>
  </si>
  <si>
    <t>JANEMBA</t>
  </si>
  <si>
    <t>GOTEN + TRUNKS</t>
  </si>
  <si>
    <t>DARWIN ACOSTA</t>
  </si>
  <si>
    <t xml:space="preserve">BARDOCK HB </t>
  </si>
  <si>
    <t>RONALD ACEITUNA</t>
  </si>
  <si>
    <t>NEZUKO</t>
  </si>
  <si>
    <t>1 TOALLA</t>
  </si>
  <si>
    <t>1 CARTUCHERA</t>
  </si>
  <si>
    <t>GOHAN SSJ1</t>
  </si>
  <si>
    <t>GOHAN SSJ2</t>
  </si>
  <si>
    <t>GOHAN GX MATERIA</t>
  </si>
  <si>
    <t>SET FREEZER</t>
  </si>
  <si>
    <t>SET BUU</t>
  </si>
  <si>
    <t>GOGETA SSJ4</t>
  </si>
  <si>
    <t>TOALLA ROSADA</t>
  </si>
  <si>
    <t>CAPITAN GYNUY</t>
  </si>
  <si>
    <t>GOHAN ICHIBAN OPEN</t>
  </si>
  <si>
    <t>BULMA ALI</t>
  </si>
  <si>
    <t>CARTUCHERA</t>
  </si>
  <si>
    <t>RIKUUM GX MAT</t>
  </si>
  <si>
    <t>TOALLA ANDROIDE</t>
  </si>
  <si>
    <t>LLAVERO YAYIROBE</t>
  </si>
  <si>
    <t>CORTAUÑAS</t>
  </si>
  <si>
    <t>SET MAYIMBU</t>
  </si>
  <si>
    <t>ANGELO GOMEZ</t>
  </si>
  <si>
    <t>GRANDISTA GOTENKS</t>
  </si>
  <si>
    <t>BARDOCK BANPRESTO</t>
  </si>
  <si>
    <t>ALDRIC VILLAVICENCIO</t>
  </si>
  <si>
    <t>MATCJME GOKU VEGETA</t>
  </si>
  <si>
    <t>1 FREEZER HB</t>
  </si>
  <si>
    <t>AFICHE</t>
  </si>
  <si>
    <t>DIORAMATIC SHOTA</t>
  </si>
  <si>
    <t>TOPO</t>
  </si>
  <si>
    <t>GOKU CLEARISE</t>
  </si>
  <si>
    <t>VEGETA CLEARISE</t>
  </si>
  <si>
    <t>PIKORO GX MAT</t>
  </si>
  <si>
    <t>NIÑO PIKORO</t>
  </si>
  <si>
    <t>TRUNKS SSJ</t>
  </si>
  <si>
    <t>MIRIAM AVENDAÑO</t>
  </si>
  <si>
    <t>TRUNKS BASE</t>
  </si>
  <si>
    <t>RODOLFO HEREDIA</t>
  </si>
  <si>
    <t>1CHAPITA</t>
  </si>
  <si>
    <t>1 CHAPITA</t>
  </si>
  <si>
    <t>PAUL YORDAN</t>
  </si>
  <si>
    <t>TOALLA ONE PIECE</t>
  </si>
  <si>
    <t>VEGITO BLOOD</t>
  </si>
  <si>
    <t>FREEZER SOLDIER EDGE</t>
  </si>
  <si>
    <t>GOKU DXF</t>
  </si>
  <si>
    <t>MALONE (MARLON)</t>
  </si>
  <si>
    <t>KRILIN FIGURIN</t>
  </si>
  <si>
    <t>RENZO REYNA</t>
  </si>
  <si>
    <t xml:space="preserve">VEGETA </t>
  </si>
  <si>
    <t>1 CHAPA ROJA BULMA</t>
  </si>
  <si>
    <t>1 ACRILICO</t>
  </si>
  <si>
    <t>VASO ICHIBAN Y MINI FIGURAS</t>
  </si>
  <si>
    <t>FIGURA YAMCHA</t>
  </si>
  <si>
    <t>TAO PAIPAI</t>
  </si>
  <si>
    <t>GOKU CHIQUITO</t>
  </si>
  <si>
    <t>SET BROLY</t>
  </si>
  <si>
    <t>SET CELL</t>
  </si>
  <si>
    <t>FIGURA NN SEGA</t>
  </si>
  <si>
    <t>FIGURIN ICHIBAN</t>
  </si>
  <si>
    <t>LUFY SACO</t>
  </si>
  <si>
    <t>LUFFY OJOS SALTONES</t>
  </si>
  <si>
    <t>SANJI</t>
  </si>
  <si>
    <t>DIESONIC PUSO, REVISAR DESDE AQUÍ</t>
  </si>
  <si>
    <t>IZOU</t>
  </si>
  <si>
    <t>DELIVERY</t>
  </si>
  <si>
    <t>VEGETA XENO SS4</t>
  </si>
  <si>
    <t>VEGETA SS BANPRESTO</t>
  </si>
  <si>
    <t>BULMA ICHIBAN</t>
  </si>
  <si>
    <t>GOHAN CHAPITA</t>
  </si>
  <si>
    <t>CELL FULL POWER</t>
  </si>
  <si>
    <t>BROLY ULTIMATE</t>
  </si>
  <si>
    <t>BROLY PREMIO B ICHIBAN</t>
  </si>
  <si>
    <t>GOKU DIOS FES</t>
  </si>
  <si>
    <t>VEGETA DIOS FES</t>
  </si>
  <si>
    <t>GOHAN SOLID EDGE</t>
  </si>
  <si>
    <t>LUFFY ICHIBAN ORIGEN SUELTO</t>
  </si>
  <si>
    <t>3 CHAPITAS</t>
  </si>
  <si>
    <t>TENSHIN HAN ALTER</t>
  </si>
  <si>
    <t>MAJIN VEGETA SUELTO BANPRESTO</t>
  </si>
  <si>
    <t>GOTENKS CLEARISE</t>
  </si>
  <si>
    <t>TRUNKS CLEARISE</t>
  </si>
  <si>
    <t>QPOSKET IRON MAN</t>
  </si>
  <si>
    <t>DANIELA CHUECONA</t>
  </si>
  <si>
    <t>GOKU BLACK CHAPITA</t>
  </si>
  <si>
    <t>OLIVER ASTOVILCA</t>
  </si>
  <si>
    <t>TRUNKS ESPADA</t>
  </si>
  <si>
    <t>SAMA CHAPITA</t>
  </si>
  <si>
    <t>ANDROIDE 17</t>
  </si>
  <si>
    <t>GOKU BLUE CHAPITA</t>
  </si>
  <si>
    <t>DIOS SAMA FUSION</t>
  </si>
  <si>
    <t>CHAPITA ROJA</t>
  </si>
  <si>
    <t>GOKU AZUL MATCH MAKER</t>
  </si>
  <si>
    <t>WAIFU MIKU</t>
  </si>
  <si>
    <t>CHAPITA ANGEL</t>
  </si>
  <si>
    <t>TOALLA PIKORO</t>
  </si>
  <si>
    <t>QPOSKET HERO ACADEMIA</t>
  </si>
  <si>
    <t>UUB MATCH MAKER</t>
  </si>
  <si>
    <t>QPOSKET ANYA</t>
  </si>
  <si>
    <t>GOKU SP ICHIBAN</t>
  </si>
  <si>
    <t>PIKORO HISTORY BOX</t>
  </si>
  <si>
    <t>SAKURA VIBRATION</t>
  </si>
  <si>
    <t>BORUTO</t>
  </si>
  <si>
    <t>5 CHAPITAS ROJAS</t>
  </si>
  <si>
    <t>GIANPIERRE JUNIOR GUTIERREZ</t>
  </si>
  <si>
    <t>TRUNKS CHAPITA</t>
  </si>
  <si>
    <t>UTA ONE PIECE</t>
  </si>
  <si>
    <t>BULMA A1</t>
  </si>
  <si>
    <t>LAW TRAFALGAR</t>
  </si>
  <si>
    <t>4 WAIFUS</t>
  </si>
  <si>
    <t>NAMI</t>
  </si>
  <si>
    <t>AXEL SANCHEZ EL PEPE</t>
  </si>
  <si>
    <t>WAIFU PORRISTA</t>
  </si>
  <si>
    <t>TETERA</t>
  </si>
  <si>
    <t>VASO MY HERO</t>
  </si>
  <si>
    <t>VASO JUJUTSU</t>
  </si>
  <si>
    <t>VASO EVANGELION</t>
  </si>
  <si>
    <t>WAIFU INFLADOR</t>
  </si>
  <si>
    <t>WAIFU VERDE ELFA</t>
  </si>
  <si>
    <t>VASO GOKU</t>
  </si>
  <si>
    <t>CUADRO BROLY</t>
  </si>
  <si>
    <t>TAZA DBZ</t>
  </si>
  <si>
    <t>TAZON CERAMICO</t>
  </si>
  <si>
    <t>DIANA PROMO</t>
  </si>
  <si>
    <t>VASO SHOT</t>
  </si>
  <si>
    <t>ELADIO</t>
  </si>
  <si>
    <t>2 CHAPITAS</t>
  </si>
  <si>
    <t>GOHAN MATCH MAKER</t>
  </si>
  <si>
    <t>TOMATODO TANJIRO</t>
  </si>
  <si>
    <t>7 QPOSKETS</t>
  </si>
  <si>
    <t>AGUMON ARTICULABLE</t>
  </si>
  <si>
    <t>LUFFY MINIATURA *3</t>
  </si>
  <si>
    <t>LUFFY GEAR 5</t>
  </si>
  <si>
    <t>KID ONE PIECE</t>
  </si>
  <si>
    <t>LUFFY GEAR 5 PEQUEÑO</t>
  </si>
  <si>
    <t>NAPPA GX MATERIA</t>
  </si>
  <si>
    <t>LUFFY SOMBRERO</t>
  </si>
  <si>
    <t>SABO ONE PIECE</t>
  </si>
  <si>
    <t>TANJIRO QPOSKET</t>
  </si>
  <si>
    <t>2 WAIFUS REGALADAS :(</t>
  </si>
  <si>
    <t>4 DIGIMON</t>
  </si>
  <si>
    <t>1 ICHIBAN LAST ONE OMEGAMON</t>
  </si>
  <si>
    <t>TAZA WAIFU</t>
  </si>
  <si>
    <t>14 CHAPITAS</t>
  </si>
  <si>
    <t>LUFFY PEQUEÑO</t>
  </si>
  <si>
    <t>MAJIN BUU PEQUEÑO</t>
  </si>
  <si>
    <t>DEYVI DEYZA</t>
  </si>
  <si>
    <t xml:space="preserve">HOKAGE 1 </t>
  </si>
  <si>
    <t>HOKAGE 2</t>
  </si>
  <si>
    <t>GOJO SEGA</t>
  </si>
  <si>
    <t>GETO TAITO</t>
  </si>
  <si>
    <t>SUKUNA KOA</t>
  </si>
  <si>
    <t>2 WCF + CENICERO</t>
  </si>
  <si>
    <t xml:space="preserve">VEGETA DXF </t>
  </si>
  <si>
    <t>FREEZEER GX MATERIA</t>
  </si>
  <si>
    <t>NARUTO PELIROJO</t>
  </si>
  <si>
    <t>NARUTO SAPO</t>
  </si>
  <si>
    <t>LUFFY GEAR BOLIGRAFO</t>
  </si>
  <si>
    <t>ONE PIECE RECORD BOA</t>
  </si>
  <si>
    <t>3 MERCH</t>
  </si>
  <si>
    <t>1 MERCH</t>
  </si>
  <si>
    <t>GOKU Y FREEZER</t>
  </si>
  <si>
    <t>BUU GRANDE</t>
  </si>
  <si>
    <t>ZENITZU QPOSKET</t>
  </si>
  <si>
    <t>ANYA PERRO</t>
  </si>
  <si>
    <t>ANYA PINGÜINO</t>
  </si>
  <si>
    <t>WAIFU VESTIDO BLANCO</t>
  </si>
  <si>
    <t>SET CABALLEROS DEL ZODIACO</t>
  </si>
  <si>
    <t>FREEZER FULL POWER</t>
  </si>
  <si>
    <t>3 MEDABOTS</t>
  </si>
  <si>
    <t>KING ONE PIECE</t>
  </si>
  <si>
    <t>LLAVEROS ORIIGNALES</t>
  </si>
  <si>
    <t>1 QPOSKET ANDROIDE</t>
  </si>
  <si>
    <t>GOKU ROSA SS3 ICHIBAN</t>
  </si>
  <si>
    <t>GENERAL FRANKY</t>
  </si>
  <si>
    <t>CARMEN LUZ LOPEZ</t>
  </si>
  <si>
    <t>BOO GORDO PEQUEÑO</t>
  </si>
  <si>
    <t>CABALLERO ZODIACO PEQUEÑO</t>
  </si>
  <si>
    <t>CENICERO</t>
  </si>
  <si>
    <t>LLAVERO FREEZER</t>
  </si>
  <si>
    <t>FILE</t>
  </si>
  <si>
    <t>2 WCF ORIGINAL</t>
  </si>
  <si>
    <t>TOALLA SHENG LONG</t>
  </si>
  <si>
    <t>USSOP 100 AÑOS SUELTO</t>
  </si>
  <si>
    <t>GASHAPON</t>
  </si>
  <si>
    <t>LLAVERO ORIGEN</t>
  </si>
  <si>
    <t>NAMI REYNA</t>
  </si>
  <si>
    <t>GINYU ICHIBAN</t>
  </si>
  <si>
    <t>DIEGO BAZAN</t>
  </si>
  <si>
    <t>TOALLA KAIOKEN</t>
  </si>
  <si>
    <t>1 Llavero</t>
  </si>
  <si>
    <t>MEDABIT</t>
  </si>
  <si>
    <t>WOLVERINE</t>
  </si>
  <si>
    <t>TOALLA GYNIU</t>
  </si>
  <si>
    <t>MAJIN BOO PEQUEÑO</t>
  </si>
  <si>
    <t>4 CHAPAS ROJAS</t>
  </si>
  <si>
    <t>GOHAN CLEARISE</t>
  </si>
  <si>
    <t>BLEACH ICHIGO</t>
  </si>
  <si>
    <t>TAZA</t>
  </si>
  <si>
    <t>CUADRO ANYA</t>
  </si>
  <si>
    <t>BAKUGO</t>
  </si>
  <si>
    <t>MIDORIYA</t>
  </si>
  <si>
    <t>SASUKE NARUTO VIBRATION</t>
  </si>
  <si>
    <t>GOGETA BLUE DOKKAN BATTLE</t>
  </si>
  <si>
    <t>1 LLAVERO SS3</t>
  </si>
  <si>
    <t>VEGITO BLOOD AZUL</t>
  </si>
  <si>
    <t>WCD DIORAMA PEQUEÑO</t>
  </si>
  <si>
    <t>MATCH MAKER BUU ROPA GOHAN</t>
  </si>
  <si>
    <t>GOHAN ULTIMATE HISTORY BOX</t>
  </si>
  <si>
    <t>PELUCHE</t>
  </si>
  <si>
    <t>BOO SOLID EDGE WORK</t>
  </si>
  <si>
    <t>2 WCF DRAGON BALL</t>
  </si>
  <si>
    <t>WCF ONE PIECE</t>
  </si>
  <si>
    <t>LEONEL JUNIOR LURITA</t>
  </si>
  <si>
    <t>1 IT PAYASO NECA</t>
  </si>
  <si>
    <t>ACE ONE PIECE</t>
  </si>
  <si>
    <t>RENGOKU</t>
  </si>
  <si>
    <t>DEKU ICHIBAN</t>
  </si>
  <si>
    <t>GOKU HISTORY BOX</t>
  </si>
  <si>
    <t xml:space="preserve">SABO ONE PIECE </t>
  </si>
  <si>
    <t>LAW SCULPTURE</t>
  </si>
  <si>
    <t>SAUL SAAVEDRA HUAMAN</t>
  </si>
  <si>
    <t>LLAVERO</t>
  </si>
  <si>
    <t>ANDY LOA</t>
  </si>
  <si>
    <t>GASHAPON SS4</t>
  </si>
  <si>
    <t>VASO MERCH</t>
  </si>
  <si>
    <t>2 VASO MERCH</t>
  </si>
  <si>
    <t>MAJIN PEQUEÑO</t>
  </si>
  <si>
    <t>YUTA BANPRESTO</t>
  </si>
  <si>
    <t>ARI SORIA JUJUTSU</t>
  </si>
  <si>
    <t>LUFFY ICHIBAN PREMIO A</t>
  </si>
  <si>
    <t>MAJIN VEGETA HISTORY BOX</t>
  </si>
  <si>
    <t>SET GYNIU PEQUEÑOS</t>
  </si>
  <si>
    <t>SET FAMILIA DEL MAL</t>
  </si>
  <si>
    <t>HG FREEZER</t>
  </si>
  <si>
    <t>TOALLA GRANDE VEGETA</t>
  </si>
  <si>
    <t>FILE BROLY SS4</t>
  </si>
  <si>
    <t>VASO VIDRIO</t>
  </si>
  <si>
    <t>ZENO ZAMA PEQ Y AYUDANTE</t>
  </si>
  <si>
    <t>BUU NEGRO PEQ</t>
  </si>
  <si>
    <t>VASO PLASTICO</t>
  </si>
  <si>
    <t>HG TRUNKS</t>
  </si>
  <si>
    <t>GOHAN HISTORY BOX</t>
  </si>
  <si>
    <t>VASO BULMA</t>
  </si>
  <si>
    <t>GOKU BLUE FES</t>
  </si>
  <si>
    <t>2 CENICERO</t>
  </si>
  <si>
    <t>1 CHAPITA ROJA GOTENKS SS3</t>
  </si>
  <si>
    <t>1 VASO VIDRIO</t>
  </si>
  <si>
    <t>6 TAZAS NEGRAS</t>
  </si>
  <si>
    <t>GOGETA ZENO SS4</t>
  </si>
  <si>
    <t>CENICERO BROLY</t>
  </si>
  <si>
    <t>GOKU TAMASHI NATIONS</t>
  </si>
  <si>
    <t>PERFUME NATURA</t>
  </si>
  <si>
    <t>CENICERO FREEZER VIENDO GOKU</t>
  </si>
  <si>
    <t>TAZA NEGRA</t>
  </si>
  <si>
    <t>1 TOALLA GOHAN</t>
  </si>
  <si>
    <t>2 VASOS</t>
  </si>
  <si>
    <t>KOBY ONE PIECE</t>
  </si>
  <si>
    <t xml:space="preserve">Andrea Lucía Sulla Valdivia </t>
  </si>
  <si>
    <t>KIKUNOJO ONE PIECE</t>
  </si>
  <si>
    <t>BARTOLOMEO ONE PIECE</t>
  </si>
  <si>
    <t>1 NAPPA</t>
  </si>
  <si>
    <t>1 RADITZ</t>
  </si>
  <si>
    <t>1 HIYORI ONE PIECE</t>
  </si>
  <si>
    <t>JVL GLITTER</t>
  </si>
  <si>
    <t>BROLY PREMIO H</t>
  </si>
  <si>
    <t>1 SET FAMILIA PIKORO</t>
  </si>
  <si>
    <t>TOKYO REVENGERS</t>
  </si>
  <si>
    <t>LANGE QPOSKET</t>
  </si>
  <si>
    <t>CARTUCHERA GYNIU</t>
  </si>
  <si>
    <t>VASI DBZ</t>
  </si>
  <si>
    <t>1 MAJIN VEGETA</t>
  </si>
  <si>
    <t>TOALLA MAJIN VEGETA</t>
  </si>
  <si>
    <t>CHAPITA BULMA</t>
  </si>
  <si>
    <t>VEGETA SSJ4 BANPRESTO</t>
  </si>
  <si>
    <t>1 BROLY CHAPA ROJA</t>
  </si>
  <si>
    <t>1 RADDITZ CHAPA ROJA</t>
  </si>
  <si>
    <t>2 CHAPA ROJAS</t>
  </si>
  <si>
    <t>1 WCF ONEPIECE</t>
  </si>
  <si>
    <t>JHONATAN ZARATE</t>
  </si>
  <si>
    <t>1 CHAPITA REY VEGETA</t>
  </si>
  <si>
    <t>GOKU SS4 GT</t>
  </si>
  <si>
    <t>1 BROLY GASHAPON</t>
  </si>
  <si>
    <t>GETO SHORT</t>
  </si>
  <si>
    <t>LOTE ONE PIECE ZABO</t>
  </si>
  <si>
    <t>BLEACH FIGURA</t>
  </si>
  <si>
    <t>DIEGO BLANCO GONZALES PAPA FRITA</t>
  </si>
  <si>
    <t>PANDA JJK</t>
  </si>
  <si>
    <t>GETO JJK</t>
  </si>
  <si>
    <t>TODOU JJK</t>
  </si>
  <si>
    <t>NOBARA KOA</t>
  </si>
  <si>
    <t>BOA MORADA</t>
  </si>
  <si>
    <t>DUO LUFFY LUCCI</t>
  </si>
  <si>
    <t>PRINCESA SIRENA ONE PIECE</t>
  </si>
  <si>
    <t>VANESSA PATIÑO ROMERO</t>
  </si>
  <si>
    <t>CUADRO NARUTO</t>
  </si>
  <si>
    <t>VEGITO CLEARISE</t>
  </si>
  <si>
    <t>SUKUNA MAXIMATIC</t>
  </si>
  <si>
    <t>GOJO DIORAMA</t>
  </si>
  <si>
    <t>MEGUMI VERDE</t>
  </si>
  <si>
    <t>GABRIEL LEON</t>
  </si>
  <si>
    <t>MEGUMI BLANCO</t>
  </si>
  <si>
    <t>GETO KOA</t>
  </si>
  <si>
    <t>GOJO LUMINISTA</t>
  </si>
  <si>
    <t>OVERLORD EN 4</t>
  </si>
  <si>
    <t>JOSE CRIOLLO LADUCHA GRANDE</t>
  </si>
  <si>
    <t>GREGORY SAMANIEGO</t>
  </si>
  <si>
    <t>SUKUNA BLANCO</t>
  </si>
  <si>
    <t>SASUKE PODER</t>
  </si>
  <si>
    <t>LUIS JAVE BASELIZA</t>
  </si>
  <si>
    <t>GASHAPON SIN BASE</t>
  </si>
  <si>
    <t>CUADRO CELL</t>
  </si>
  <si>
    <t>ACRILICO DEMON SLAYER</t>
  </si>
  <si>
    <t>TOKITO FIGURISMA</t>
  </si>
  <si>
    <t>CARTA DEMON SLAYER</t>
  </si>
  <si>
    <t>IRINA ZARELA</t>
  </si>
  <si>
    <t>UZUI VIBRATION</t>
  </si>
  <si>
    <t>MITSURI VIBRATION</t>
  </si>
  <si>
    <t>RENGOKU VIBRATION</t>
  </si>
  <si>
    <t xml:space="preserve">DAKI VIBRATION </t>
  </si>
  <si>
    <t>MUZAN DEMON SLAYER</t>
  </si>
  <si>
    <t>FLAVIO BENAVIDES</t>
  </si>
  <si>
    <t>YUTA SEGA</t>
  </si>
  <si>
    <t xml:space="preserve">SPIDERMAN </t>
  </si>
  <si>
    <t>VEGETA SSJ4 POSE ACRILICO</t>
  </si>
  <si>
    <t>VEGETA SSJ4 MINI</t>
  </si>
  <si>
    <t>7 KOCA KOLA</t>
  </si>
  <si>
    <t>3 KOCA KOLA</t>
  </si>
  <si>
    <t>DUO MATCH COOLER</t>
  </si>
  <si>
    <t>GLADYS LALY NEY</t>
  </si>
  <si>
    <t>NEZUKO MINI</t>
  </si>
  <si>
    <t>LUFFY ICHIBAN</t>
  </si>
  <si>
    <t>NAMI DX COLECTION</t>
  </si>
  <si>
    <t>TOJI LUMINASTA</t>
  </si>
  <si>
    <t>ADORNO CAFÉ PREVENTA</t>
  </si>
  <si>
    <t>PIKORO ACRILICO</t>
  </si>
  <si>
    <t>CUADRITO YUTA</t>
  </si>
  <si>
    <t>GOHAN</t>
  </si>
  <si>
    <t>GOKU GOHAN</t>
  </si>
  <si>
    <t>MEWTWO</t>
  </si>
  <si>
    <t>1 PEQUEÑO GOHAN</t>
  </si>
  <si>
    <t xml:space="preserve"> SET GASHAS</t>
  </si>
  <si>
    <t xml:space="preserve">3 PEQUEÑOS </t>
  </si>
  <si>
    <t>VASO SSJ</t>
  </si>
  <si>
    <t>QPOSKET TOKYO REVENGERS</t>
  </si>
  <si>
    <t>CELL SOLID EDGE</t>
  </si>
  <si>
    <t>BYRON MONROY</t>
  </si>
  <si>
    <t>VEGETA DOKKAN BATTLE</t>
  </si>
  <si>
    <t>2 WCF TRUNKS SEPARADO</t>
  </si>
  <si>
    <t>LUFFY KOA PREVENTA</t>
  </si>
  <si>
    <t>LILITH DXF</t>
  </si>
  <si>
    <t>CHOPPER DXF</t>
  </si>
  <si>
    <t>LUFFY DXF</t>
  </si>
  <si>
    <t>QUINTILLIZA</t>
  </si>
  <si>
    <t>NAMI DXF</t>
  </si>
  <si>
    <t>SMOKER</t>
  </si>
  <si>
    <t>2 FOLDERS JUJUTSU</t>
  </si>
  <si>
    <t>1 ANYA PERRO</t>
  </si>
  <si>
    <t>ALEXANDER TANCA</t>
  </si>
  <si>
    <t>1 ALBEDO GRANDE OVERLORD</t>
  </si>
  <si>
    <t>KAIJU ICHIBAN</t>
  </si>
  <si>
    <t>GENOS ONE PUNCH</t>
  </si>
  <si>
    <t>TOKITO PEQUEÑO</t>
  </si>
  <si>
    <t>MITSURI DORMILONA</t>
  </si>
  <si>
    <t>ZENITZU PEQUEÑO</t>
  </si>
  <si>
    <t>ZENITZU SEGA + RELOJ REGALO</t>
  </si>
  <si>
    <t>RENGOKU DORMILON</t>
  </si>
  <si>
    <t>FRANKY WCF</t>
  </si>
  <si>
    <t>LLEGO</t>
  </si>
  <si>
    <t>ACHIVE DENDE PIKORO</t>
  </si>
  <si>
    <t>EVANGELION CAJA BLANCA</t>
  </si>
  <si>
    <t>CELL BWCF</t>
  </si>
  <si>
    <t>MARCO BWCF</t>
  </si>
  <si>
    <t>NAMI SCULPTURE</t>
  </si>
  <si>
    <t>CHAINSAW VIBRATION</t>
  </si>
  <si>
    <t>BLEACH CAJA BLANCA</t>
  </si>
  <si>
    <t>BLEACH VIBRATION NARANJA</t>
  </si>
  <si>
    <t>EVA 02 ICHIBAN ROJO OPEN</t>
  </si>
  <si>
    <t>EVA 02 ICHIBAN ROJO SELLADO</t>
  </si>
  <si>
    <t>DUO SEGA TOJI VS MEGUMI</t>
  </si>
  <si>
    <t>3 ANYAS</t>
  </si>
  <si>
    <t>NIXON MENDIETA</t>
  </si>
  <si>
    <t>ITADORI LUMINASTA PODER</t>
  </si>
  <si>
    <t>ESCENA ICHIBAN NEZUKO NIÑA</t>
  </si>
  <si>
    <t>CELL MODEL KIT</t>
  </si>
  <si>
    <t>ANDROIDE MODEL KIT</t>
  </si>
  <si>
    <t xml:space="preserve">UTA ICHIBAN KUJI </t>
  </si>
  <si>
    <t>GASHAPON DBZ</t>
  </si>
  <si>
    <t>GOHAN MINIATURA</t>
  </si>
  <si>
    <t>AKI CHAINSAW</t>
  </si>
  <si>
    <t xml:space="preserve">Reynaldo Jesús Garcia Vivas </t>
  </si>
  <si>
    <t>GOLDEN FREEZER</t>
  </si>
  <si>
    <t>WILMERZHITO FRREZER</t>
  </si>
  <si>
    <t>NEZUKO MINIATURA</t>
  </si>
  <si>
    <t>OBANAI MINI KIMETSU</t>
  </si>
  <si>
    <t>YULI MORENO BAZAN</t>
  </si>
  <si>
    <t>ITADORI SENTADO</t>
  </si>
  <si>
    <t>TOKITO KIMETSU MINI</t>
  </si>
  <si>
    <t>OBANAI DORMILON</t>
  </si>
  <si>
    <t>LLAVERO NAMI LUCES</t>
  </si>
  <si>
    <t>FIORELLA PIMENTEL ONE PIECE</t>
  </si>
  <si>
    <t>TOALLA ESCENA</t>
  </si>
  <si>
    <t>GOKU BASE UI</t>
  </si>
  <si>
    <t>ALEJANDRO ESPEJO</t>
  </si>
  <si>
    <t>SANJI CRANEKING OPEN</t>
  </si>
  <si>
    <t>YERSON VARGAS ONE PIECE</t>
  </si>
  <si>
    <t>UZUI FIGURIZMA</t>
  </si>
  <si>
    <t>FREDDY AMURO</t>
  </si>
  <si>
    <t>GOGETA SS4</t>
  </si>
  <si>
    <t>GASHAPON GOKU SS4 PODER</t>
  </si>
  <si>
    <t>VEGETA SS4 BLOOD OF SAYANS</t>
  </si>
  <si>
    <t>GOKU UI POSE</t>
  </si>
  <si>
    <t>JAIME YOEL LOPEZ RIOS</t>
  </si>
  <si>
    <t>GOKU SS3</t>
  </si>
  <si>
    <t>VEGITO POSE DOKKAN</t>
  </si>
  <si>
    <t>NARUTO PATADA VIBRATION</t>
  </si>
  <si>
    <t>ULTRAMAN</t>
  </si>
  <si>
    <t>GAY SENSEI PATADA</t>
  </si>
  <si>
    <t>HINATA PODER</t>
  </si>
  <si>
    <t>NARUTO HACIENDO GRITO</t>
  </si>
  <si>
    <t>GOKU ROPA ROTA</t>
  </si>
  <si>
    <t>VENTA FIGURAS</t>
  </si>
  <si>
    <t>DUO FREEZER Y GOKU</t>
  </si>
  <si>
    <t>WILLIAM SOLDEVILLA</t>
  </si>
  <si>
    <t>GOHAN PODER REPLICA</t>
  </si>
  <si>
    <t>SAMUEL MACHUCA</t>
  </si>
  <si>
    <t>GOKU YADRAT REPLICA</t>
  </si>
  <si>
    <t xml:space="preserve">GOJO SENTADO </t>
  </si>
  <si>
    <t>PIKORO CHAPA ROJA</t>
  </si>
  <si>
    <t>GOJO OJOS AZULES</t>
  </si>
  <si>
    <t xml:space="preserve">EYNER PAREDES EPS </t>
  </si>
  <si>
    <t>STUCY DXF</t>
  </si>
  <si>
    <t>GIGANTES Y SERAFINES ONEPIECE</t>
  </si>
  <si>
    <t>CHAPITA NAPPA</t>
  </si>
  <si>
    <t>TAZA CELL</t>
  </si>
  <si>
    <t>SANJI DXF</t>
  </si>
  <si>
    <t>GOHAN NIÑO COCA KOLA</t>
  </si>
  <si>
    <t>GOHAN RUBIO COCA KOLA</t>
  </si>
  <si>
    <t>BULMA COCA KOLA</t>
  </si>
  <si>
    <t>TAZA ESFERA</t>
  </si>
  <si>
    <t>TOALLA GOHAN SSJ</t>
  </si>
  <si>
    <t>MAJIN BUU COCA KOLA</t>
  </si>
  <si>
    <t>VEGETA BASE NEGRA</t>
  </si>
  <si>
    <t>GOKU PLATEADO</t>
  </si>
  <si>
    <t>BUU FLACO</t>
  </si>
  <si>
    <t>BUU GORDO</t>
  </si>
  <si>
    <t>Luis Angel Palacios Chaco</t>
  </si>
  <si>
    <t xml:space="preserve">PAN </t>
  </si>
  <si>
    <t>GOHAN PEQUEÑO</t>
  </si>
  <si>
    <t>Jonnzu John Kevin Ancajima Vaso</t>
  </si>
  <si>
    <t>VASO MAJINBUU</t>
  </si>
  <si>
    <t>VASO NOBARA</t>
  </si>
  <si>
    <t>CUADRO TOJI</t>
  </si>
  <si>
    <t>TOJI BANPRESTO</t>
  </si>
  <si>
    <t>GOJO PODER</t>
  </si>
  <si>
    <t>AMIGO TOPO</t>
  </si>
  <si>
    <t>SUKUNA EXPANSION</t>
  </si>
  <si>
    <t>MERCH X 3</t>
  </si>
  <si>
    <t>TOKITO SEGA</t>
  </si>
  <si>
    <t>DANIEL PIELAGO ANTAY</t>
  </si>
  <si>
    <t>ITADORI SEGA SPM</t>
  </si>
  <si>
    <t>CHAPITAS ROJAS</t>
  </si>
  <si>
    <t>GRACIELA DE LOS ANGELES DIAS GRADEDI</t>
  </si>
  <si>
    <t>GIANDIR RENATO BABY GIAN</t>
  </si>
  <si>
    <t>KAIJU LAMPARA</t>
  </si>
  <si>
    <t>HUMBERTO YAMASAKI</t>
  </si>
  <si>
    <t>FRANKY SUELTO</t>
  </si>
  <si>
    <t>JOHAN AIME LOPEZ</t>
  </si>
  <si>
    <t>AGENDA CINAMOROL</t>
  </si>
  <si>
    <t>NOBARA LAMPARA</t>
  </si>
  <si>
    <t>ZENITSU DORMILON</t>
  </si>
  <si>
    <t>AGENDA CINA BLANCA</t>
  </si>
  <si>
    <t>GOGETA DOKAN</t>
  </si>
  <si>
    <t>TOALLA LUFFY ROSADO</t>
  </si>
  <si>
    <t>PANDA DORMILON</t>
  </si>
  <si>
    <t>MAKI DORMILON</t>
  </si>
  <si>
    <t>CUADRO GOJO</t>
  </si>
  <si>
    <t>MUJER CON CERDITO</t>
  </si>
  <si>
    <t>EDUARDO MONTEJO BARRETO</t>
  </si>
  <si>
    <t>LLAVERO ZORO ONE PIECE</t>
  </si>
  <si>
    <t>DIEGO ROJAS SUCASACA</t>
  </si>
  <si>
    <t>PORTA CELULAR LUFFY</t>
  </si>
  <si>
    <t>JOEL CASTRO MORALES</t>
  </si>
  <si>
    <t>CAPITAN GINYU</t>
  </si>
  <si>
    <t>GOKU ROSE CLEARISE</t>
  </si>
  <si>
    <t>LUCIFER HUNTER X HUNTER</t>
  </si>
  <si>
    <t>AKAZA SEG SPM</t>
  </si>
  <si>
    <t>KAIJU MUJER COLAS</t>
  </si>
  <si>
    <t>KEVIN HERMANO ENZO</t>
  </si>
  <si>
    <t>TANJIRO VIBRATION</t>
  </si>
  <si>
    <t>JOSE SANDRO LANDA MEDINA</t>
  </si>
  <si>
    <t>ENVIADO</t>
  </si>
  <si>
    <t>ITADORI POSE TAITO</t>
  </si>
  <si>
    <t>GOJO BANPRESTO</t>
  </si>
  <si>
    <t>SUKUNA BANPRESTO</t>
  </si>
  <si>
    <t>SUKUNA TAITO CALAVERA</t>
  </si>
  <si>
    <t>SUKUNA BANPRESTO EXPANSION</t>
  </si>
  <si>
    <t>ALBEDO KIMONO</t>
  </si>
  <si>
    <t>PABLO ALEXIS PRADO</t>
  </si>
  <si>
    <t>AKAZA VIBRATION</t>
  </si>
  <si>
    <t>TOJI K.O.A</t>
  </si>
  <si>
    <t>WAIFU PIJAMA</t>
  </si>
  <si>
    <t>LLAVERO TOKITO</t>
  </si>
  <si>
    <t>ANDREA ROJAS MOSQUEIRA</t>
  </si>
  <si>
    <t>4 GASHAS ONE PIECE</t>
  </si>
  <si>
    <t>1 GLITTER COLEGIALA</t>
  </si>
  <si>
    <t>MINI WAIFU GASHAPON</t>
  </si>
  <si>
    <t>CHOCOLATE SANRIO</t>
  </si>
  <si>
    <t>NOBARA POSE</t>
  </si>
  <si>
    <t>DANIEL FOTOGRAFIA</t>
  </si>
  <si>
    <t>CUADRO ONE PIECE LAW</t>
  </si>
  <si>
    <t>SET PINES KIMETSU NO YAIBA</t>
  </si>
  <si>
    <t>VEGETA HQDX</t>
  </si>
  <si>
    <t>SHINOBU DXF</t>
  </si>
  <si>
    <t>TRUNKS CAJA BLANCA CRANEKING</t>
  </si>
  <si>
    <t>GOGETA GRANDISTA BLUE</t>
  </si>
  <si>
    <t>BROLY BWCF</t>
  </si>
  <si>
    <t>DUO TAG FIGHTERS</t>
  </si>
  <si>
    <t>PERONA SILLA</t>
  </si>
  <si>
    <t>POPCONERA MINION</t>
  </si>
  <si>
    <t>SANGI SOLANSH GARCIA</t>
  </si>
  <si>
    <t>TOKITO DXF</t>
  </si>
  <si>
    <t>REM SENTADA SENSUAL</t>
  </si>
  <si>
    <t>DUO GASHAS INOSKE</t>
  </si>
  <si>
    <t>PILAR PIEDRA MINI KIMETSU</t>
  </si>
  <si>
    <t xml:space="preserve">TOJI SENTADO </t>
  </si>
  <si>
    <t>GOJO SHORT</t>
  </si>
  <si>
    <t>BLUE LOCK BLANCO</t>
  </si>
  <si>
    <t xml:space="preserve">SANJI PATADA ONE </t>
  </si>
  <si>
    <t>LUCY ELIZABETH</t>
  </si>
  <si>
    <t>LUFFY CERVEZA</t>
  </si>
  <si>
    <t>FREEZER MODEL KIT</t>
  </si>
  <si>
    <t>MITSURI AERIAL</t>
  </si>
  <si>
    <t>JUAN CARLOS ALARCON</t>
  </si>
  <si>
    <t>TEN SHIN HAN GX MATERIA</t>
  </si>
  <si>
    <t>MARIO ALEJANDRO PINILLOS QUISPE</t>
  </si>
  <si>
    <t>ANDROIDE 18 GX MATERIA</t>
  </si>
  <si>
    <t>MITSURI VIBRATION LIMITED</t>
  </si>
  <si>
    <t>BREEAN KENNETH COAQUIRA CAHUANA</t>
  </si>
  <si>
    <t>GOKU UI SUELTO</t>
  </si>
  <si>
    <t>LLAVERO JACK</t>
  </si>
  <si>
    <t>LLAVERO GOKU</t>
  </si>
  <si>
    <t>JABON CINNA</t>
  </si>
  <si>
    <t>TOJI KOA</t>
  </si>
  <si>
    <t>GOKU NIÑO ACHIVE</t>
  </si>
  <si>
    <t>KID LIBRE</t>
  </si>
  <si>
    <t>SABO LIBRE</t>
  </si>
  <si>
    <t>WAIFU CANTANDO SUELTA OSHINOKO</t>
  </si>
  <si>
    <t>LUFFY GEAR 4 MISAE</t>
  </si>
  <si>
    <t>MELODY PEQUEÑA</t>
  </si>
  <si>
    <t>RUKIA BLEACH</t>
  </si>
  <si>
    <t>CONEJA ROPA SEXY</t>
  </si>
  <si>
    <t>PELUCHE TOMIOKA</t>
  </si>
  <si>
    <t>GOKU GINYU ICHIBAN</t>
  </si>
  <si>
    <t>DUO CHOPPER FOCA ICHIBAN</t>
  </si>
  <si>
    <t>SET CARTAS BLEACH</t>
  </si>
  <si>
    <t>RUKIA ICHIBAN KUJI</t>
  </si>
  <si>
    <t>LLAVERO CABEZA BLANCA BLEACH</t>
  </si>
  <si>
    <t>LLAVERO GORRITO BLEACH</t>
  </si>
  <si>
    <t>KATAKURI ICHIBAN SCULPTURE</t>
  </si>
  <si>
    <t>TOUSHIRO HITSUGAYA</t>
  </si>
  <si>
    <t>NAMI GLITTER DUO</t>
  </si>
  <si>
    <t>NICO GLITTER DUO</t>
  </si>
  <si>
    <t>PRESENTADOR ICHIBAN</t>
  </si>
  <si>
    <t>POWER BI CUTE</t>
  </si>
  <si>
    <t>EMERSON ALDAIR REYES</t>
  </si>
  <si>
    <t>NOBARA MOVIMIENTO</t>
  </si>
  <si>
    <t>MEGUMI DORMILON</t>
  </si>
  <si>
    <t>ARISSA ALEJANDRA CABEL YERU</t>
  </si>
  <si>
    <t>CELL HG DIORAMA PEQUEÑO</t>
  </si>
  <si>
    <t>AKAZA DXF</t>
  </si>
  <si>
    <t>SUKUNA SEGA NUEVO ENERO</t>
  </si>
  <si>
    <t>GOJO SEGA NUEVO ENERO</t>
  </si>
  <si>
    <t>KITTY PELUCHE</t>
  </si>
  <si>
    <t>MELODY PELUCHE</t>
  </si>
  <si>
    <t>1 WCF LUFFY EGGHEAD</t>
  </si>
  <si>
    <t>GOKU ULTRA INSTINTO GRANDISTA</t>
  </si>
  <si>
    <t>DEBE 10 MATHIAS</t>
  </si>
  <si>
    <t>REM BI CUTE WAIFU</t>
  </si>
  <si>
    <t>LEONARDO RAMIREZ APCHO CHINO</t>
  </si>
  <si>
    <t>FREZZER HISTORY BOX</t>
  </si>
  <si>
    <t>GINO GONZALO OSCCO</t>
  </si>
  <si>
    <t>COOLER MATCH MAKER GOKU</t>
  </si>
  <si>
    <t>GOKU MATCH MAKER COOLER</t>
  </si>
  <si>
    <t>GOKU MATCH MAJIN VEGETA</t>
  </si>
  <si>
    <t>MAJIN VEGETA MATCH GOKU</t>
  </si>
  <si>
    <t>MICKEY PREVENTA PELUCHE</t>
  </si>
  <si>
    <t>SHEN LONG GRANDE</t>
  </si>
  <si>
    <t>SHANKS K.O.A</t>
  </si>
  <si>
    <t>LEANDRO CALLE "SHANKS"</t>
  </si>
  <si>
    <t>MITSURI FIGURIZMA</t>
  </si>
  <si>
    <t xml:space="preserve">LEON JAEL LEON SANCHEZ </t>
  </si>
  <si>
    <t>MARCO ALAS ICHIBAN</t>
  </si>
  <si>
    <t>GASHAPON BILLS</t>
  </si>
  <si>
    <t>GASHAPON BROLY</t>
  </si>
  <si>
    <t>GASHAPON VEGETA</t>
  </si>
  <si>
    <t>ITADORI MAXIMATIC</t>
  </si>
  <si>
    <t>ITADORI EXPANSION DOMINIO</t>
  </si>
  <si>
    <t>ITADORI PUÑETE</t>
  </si>
  <si>
    <t>NOBARA BANPRESTO</t>
  </si>
  <si>
    <t>UZUI SUELTO</t>
  </si>
  <si>
    <t>LLAVERO NEZUKO</t>
  </si>
  <si>
    <t>LLAVERO OZARU BROLY</t>
  </si>
  <si>
    <t>BAKUGO ICHIBAN</t>
  </si>
  <si>
    <t>WAIFU CAFÉ</t>
  </si>
  <si>
    <t>GIAN RAMIREZ MORALES</t>
  </si>
  <si>
    <t>QPOSKET NANAMI</t>
  </si>
  <si>
    <t>MARIA JOSE ESTEBAN MAJO</t>
  </si>
  <si>
    <t>SONIC ONE PUNCH MAN</t>
  </si>
  <si>
    <t>MISHELLE ACOSTA ROCA</t>
  </si>
  <si>
    <t>NICO ROBIN BIKINI AZUL</t>
  </si>
  <si>
    <t>VICENTE GONZALES MIDGAR</t>
  </si>
  <si>
    <t>FRANK CASAS</t>
  </si>
  <si>
    <t>SET 10 ONE PIECE GOLD MOVIE</t>
  </si>
  <si>
    <t>ELIANA ROMAN ROMERO</t>
  </si>
  <si>
    <t>WAIFU ICHIBAN KUJI</t>
  </si>
  <si>
    <t>VEGITO ICHIBAN KUJI</t>
  </si>
  <si>
    <t>FOLDERS JJK</t>
  </si>
  <si>
    <t>RELAX TIME ROPA NEGRA</t>
  </si>
  <si>
    <t>ZORO EGGHEAD BANPRESTO</t>
  </si>
  <si>
    <t>WCF KAIJU 8</t>
  </si>
  <si>
    <t>ESCENA ONE PIECE MARSHALL VS LAW</t>
  </si>
  <si>
    <t>SET 9 MY HERO ACADEMY</t>
  </si>
  <si>
    <t>ALMIRANTES DUO</t>
  </si>
  <si>
    <t>INOSKE VIBRATION</t>
  </si>
  <si>
    <t>GLITERR BIKINI AMARILLO</t>
  </si>
  <si>
    <t>BROLY SUELTO</t>
  </si>
  <si>
    <t>RELAX TIME MUJER CON LENTES</t>
  </si>
  <si>
    <t>CHOSO JJK LUMINASTA</t>
  </si>
  <si>
    <t>LAW PEQUEÑO ENANO SUELTO</t>
  </si>
  <si>
    <t>ALBEDO DESKTOP</t>
  </si>
  <si>
    <t>GOKU SS4 ICHIBAN POSE</t>
  </si>
  <si>
    <t>MARIN ECHADA WAIFU</t>
  </si>
  <si>
    <t>METAL GREYMON</t>
  </si>
  <si>
    <t>CHOPPER SOFVIMATES</t>
  </si>
  <si>
    <t>NANAMI LUMINASTA</t>
  </si>
  <si>
    <t>TOGE LUMINASTA</t>
  </si>
  <si>
    <t>AOI TODO LUMINASTA</t>
  </si>
  <si>
    <t>MEGUMI LUMINASTA</t>
  </si>
  <si>
    <t>PELUCHE ORIGINAL GOJO</t>
  </si>
  <si>
    <t>SET 9 JJK CLASICOS</t>
  </si>
  <si>
    <t>MAKI Y MIWA JJL</t>
  </si>
  <si>
    <t>CHIBI GOJO</t>
  </si>
  <si>
    <t>5 SENTADITOS KIMETSU</t>
  </si>
  <si>
    <t>HIMIKO TOGA</t>
  </si>
  <si>
    <t>CHOPPER LEGENDARIO</t>
  </si>
  <si>
    <t>GOLD ROGER DX</t>
  </si>
  <si>
    <t>NANAMI QPOSKET  OBSEQUIO</t>
  </si>
  <si>
    <t>OBSEQUIO</t>
  </si>
  <si>
    <t>GOJO FLOTANDO SEGA</t>
  </si>
  <si>
    <t>2 SOFUBI ORIGINAL GOKU KRILIN</t>
  </si>
  <si>
    <t>GOKU SUELTO KAME HAME HAAAA</t>
  </si>
  <si>
    <t>2 MINIATURAS ORIGINAL NANAMI / GOJO</t>
  </si>
  <si>
    <t>MONEDERO ORIGINAL GOJO</t>
  </si>
  <si>
    <t>PELUCHE S GOJO</t>
  </si>
  <si>
    <t>NANAMI BANPRESTO</t>
  </si>
  <si>
    <t>GOJO SENTADO FURYU</t>
  </si>
  <si>
    <t>GOJO EN SILLA</t>
  </si>
  <si>
    <t>GOJO ECHADITO PELUCHE</t>
  </si>
  <si>
    <t>FUNKO POP GOJO</t>
  </si>
  <si>
    <t>CHAINSAW SENTADO</t>
  </si>
  <si>
    <t>GUNDAM ARMABLE</t>
  </si>
  <si>
    <t>TOJI CUCHILLO</t>
  </si>
  <si>
    <t>DUKEMON ARMABLE</t>
  </si>
  <si>
    <t>LLAVERO WAIFU</t>
  </si>
  <si>
    <t>10 DORMILONES KIMETSU</t>
  </si>
  <si>
    <t>TOGE DORMILON</t>
  </si>
  <si>
    <t>CUADRO BILLS</t>
  </si>
  <si>
    <t>EVANGELION ECHADA ROJA</t>
  </si>
  <si>
    <t>ALBEDO SALVAVIDAS</t>
  </si>
  <si>
    <t>CINNA PEQUEÑA</t>
  </si>
  <si>
    <t>AZULITO PEQUEÑO</t>
  </si>
  <si>
    <t>POLVO CINNA</t>
  </si>
  <si>
    <t>BALSAMO CINNA</t>
  </si>
  <si>
    <t>BALSAMO MELODY</t>
  </si>
  <si>
    <t>2 AGENDAS SANRIO</t>
  </si>
  <si>
    <t>1 AGENDA SANRIO PEQUEÑA</t>
  </si>
  <si>
    <t>KUROMI GASHA</t>
  </si>
  <si>
    <t>SONICO TETONA TELEFONO</t>
  </si>
  <si>
    <t>MAJIN VEGETA CLEARISE</t>
  </si>
  <si>
    <t>CRISTHOFER FERNANDEZ</t>
  </si>
  <si>
    <t>GOKU UI BLOOD</t>
  </si>
  <si>
    <t>QUINTILLIZA PELO ROSA</t>
  </si>
  <si>
    <t>SH FIGUARTZ MINI TOGE</t>
  </si>
  <si>
    <t>SH FIGUARTZ MINI PANDA</t>
  </si>
  <si>
    <t>SH FIGUARTZ MINI NANAMI</t>
  </si>
  <si>
    <t>CARTA KIMETSU</t>
  </si>
  <si>
    <t>GOJO SENTADITO</t>
  </si>
  <si>
    <t>ITADORI SENTADITO</t>
  </si>
  <si>
    <t>GOJO UNIFORME PELUCHE</t>
  </si>
  <si>
    <t>COLGADOR GOJO PELUCHE</t>
  </si>
  <si>
    <t>ITADORI WCF ROPA ROJA</t>
  </si>
  <si>
    <t>PANDA SENTADITO</t>
  </si>
  <si>
    <t>OBANAI SUELTO</t>
  </si>
  <si>
    <t>TOALLA GIGANTE CINAMOROLL</t>
  </si>
  <si>
    <t>GERITA BB</t>
  </si>
  <si>
    <t>TODO JJK POSE</t>
  </si>
  <si>
    <t>GETO POSE</t>
  </si>
  <si>
    <t>WAIFU REM GATITA</t>
  </si>
  <si>
    <t>CRISTIAN RODOLFO VILCA AKEMI SAM</t>
  </si>
  <si>
    <t>NEZUKO VIBRATION</t>
  </si>
  <si>
    <t>TREVOR ELISEO TIKTOK CARLOS</t>
  </si>
  <si>
    <t>GOGETA SS4 CRANEKING POSE</t>
  </si>
  <si>
    <t>QPOSKET SAILOR MOON</t>
  </si>
  <si>
    <t>QPOSKET SAILOR MOON AZUL</t>
  </si>
  <si>
    <t>FREE</t>
  </si>
  <si>
    <t>GATA SAILOR MOON</t>
  </si>
  <si>
    <t>ZORO GRANDISTA</t>
  </si>
  <si>
    <t>SET ICHIBAN ANYA</t>
  </si>
  <si>
    <t>LLAVERO ENEL ONE PIECE</t>
  </si>
  <si>
    <t>NEZUKO Y TANJIRO</t>
  </si>
  <si>
    <t>JESSIE TOY STORY QPOSKET</t>
  </si>
  <si>
    <t>GIANELLA ALEXANDRA GUIZABALO GOMEZ</t>
  </si>
  <si>
    <t>MUJER ALADINO QPOSKET</t>
  </si>
  <si>
    <t>ALICIA QPOSKET</t>
  </si>
  <si>
    <t>ELSA QPOSKET</t>
  </si>
  <si>
    <t>PELO RUBIO QPOSKET</t>
  </si>
  <si>
    <t>ADORNO CHOPPER</t>
  </si>
  <si>
    <t>PELUCHE BLUELOCK</t>
  </si>
  <si>
    <t>MIGUEL CERVANTES ARONES</t>
  </si>
  <si>
    <t>EVA ICHIBAN LAST ONE VERDE</t>
  </si>
  <si>
    <t>PELUCHE ICHIBAN IDENTITY</t>
  </si>
  <si>
    <t>QPOSKET INUYASHA</t>
  </si>
  <si>
    <t>QPOSKET MUJER INUYASHA</t>
  </si>
  <si>
    <t>TOJI JJK LUMINASTA</t>
  </si>
  <si>
    <t>GOJO FASHION</t>
  </si>
  <si>
    <t>MEGUMI SENTADO</t>
  </si>
  <si>
    <t>NANAMI PARADO</t>
  </si>
  <si>
    <t>DIGIMON PEQUEÑOS ICHIBAN</t>
  </si>
  <si>
    <t>NOBARA POP UP</t>
  </si>
  <si>
    <t>VASO BROLY VIDRIO</t>
  </si>
  <si>
    <t>BLACKWARGREYMON MODEL KIT AMPLIFIED</t>
  </si>
  <si>
    <t>FREEZER ICHIBAN NAVE</t>
  </si>
  <si>
    <t>CESAR FREEZER NAVE ICHIBAN</t>
  </si>
  <si>
    <t>CHIBIS SUELTOS</t>
  </si>
  <si>
    <t>GETO BANPRESTO</t>
  </si>
  <si>
    <t>ANDREA CABRERA ORELLANA</t>
  </si>
  <si>
    <t>MEGUMI BANPRESTO</t>
  </si>
  <si>
    <t>ZENITSU PELUCHE MINIATURA</t>
  </si>
  <si>
    <t>GERALDINE MARGARITA VELASCO</t>
  </si>
  <si>
    <t>RAFAEL ANGEL DIAZ MONTEZA</t>
  </si>
  <si>
    <t>LLAVERO GOKU ACRILICO</t>
  </si>
  <si>
    <t>2 LLAVEROS INUYASHAS</t>
  </si>
  <si>
    <t>1 LLAVEROS INUYASHA</t>
  </si>
  <si>
    <t>TOALLA BLANCA GOKU DINOSAURIO</t>
  </si>
  <si>
    <t>FOLDER MY HERO ACADEMIA</t>
  </si>
  <si>
    <t>DEMONIO VERDE KIMETSU</t>
  </si>
  <si>
    <t>UZUI VIBRATION LIMITED</t>
  </si>
  <si>
    <t>DISPARADOR MORADO VIBRATION</t>
  </si>
  <si>
    <t>MITSURI VIBRATION NORMAL</t>
  </si>
  <si>
    <t>KANAO SEGA</t>
  </si>
  <si>
    <t>TANJIRO DANZA FUEGO</t>
  </si>
  <si>
    <t>ZENITSU SEGA</t>
  </si>
  <si>
    <t>INOSKE SEGA</t>
  </si>
  <si>
    <t>DUO TOKITO SEGA + VIBRATION</t>
  </si>
  <si>
    <t>SUKUNA QPOSKET</t>
  </si>
  <si>
    <t>5 POKEMON</t>
  </si>
  <si>
    <t>3 WCF ONE PIECE</t>
  </si>
  <si>
    <t>VEGETA SS4 GASHAPON</t>
  </si>
  <si>
    <t>GANCHO SANRIO</t>
  </si>
  <si>
    <t>GOKU FES</t>
  </si>
  <si>
    <t>3 LLAVEROS BLEACH</t>
  </si>
  <si>
    <t>GOGETA SS4 BLOOD</t>
  </si>
  <si>
    <t>GOKU GX MATERIA PODER</t>
  </si>
  <si>
    <t>ZENITSU LLAVERO PAJARITO</t>
  </si>
  <si>
    <t>ZENITSU LLAVERO METAL</t>
  </si>
  <si>
    <t>KUROMI PELUCHE ANIVERSARIO</t>
  </si>
  <si>
    <t>RENGOKU SENTADITO CABEZON</t>
  </si>
  <si>
    <t>CUADRO BASQUET</t>
  </si>
  <si>
    <t>SET RENGOKU PINES</t>
  </si>
  <si>
    <t>LLAVERO INOSKE PELUCHE</t>
  </si>
  <si>
    <t>SET PEQUEÑOS MINIONS</t>
  </si>
  <si>
    <t>MINION GIRADOR CABEZA</t>
  </si>
  <si>
    <t>COBERTOR GIGANTE PANDA JJK</t>
  </si>
  <si>
    <t xml:space="preserve">CALATA ONE PUNCH MAN EN 4 </t>
  </si>
  <si>
    <t>BAKUGO ICHIBAN MASTERLISE</t>
  </si>
  <si>
    <t>NEZUKO SUELTA GLITER</t>
  </si>
  <si>
    <t>NICO ROBIN SUELTA GLITER</t>
  </si>
  <si>
    <t>NAMI ICHIBAN SUELTA PALO</t>
  </si>
  <si>
    <t>LUFFY EGGHEAD ICHIBAN</t>
  </si>
  <si>
    <t>LUFFY LAST ONE BLACK</t>
  </si>
  <si>
    <t>PELUCHE LUFFY GEAR 5</t>
  </si>
  <si>
    <t>USSOP ICHIBAN</t>
  </si>
  <si>
    <t>DOLTON ONE PIECE</t>
  </si>
  <si>
    <t>FREEZEER PATADA SUELTO</t>
  </si>
  <si>
    <t>GOHAN SUELTO BLOOD</t>
  </si>
  <si>
    <t>GOKU PATADA SUELTO</t>
  </si>
  <si>
    <t>GOKU HISTORY BOX SUELTO</t>
  </si>
  <si>
    <t>GOKU BLACK ROSE GRANDISTA</t>
  </si>
  <si>
    <t>GOKU RED BANPRESTO</t>
  </si>
  <si>
    <t>VEGETA RED BANPRESTO</t>
  </si>
  <si>
    <t>2 WCF VEGETA Y VEGITO</t>
  </si>
  <si>
    <t>JOSE PABLO VARGAS MESSENGER</t>
  </si>
  <si>
    <t>2 LLAVEROS 03/11 BLEACH</t>
  </si>
  <si>
    <t>GETO PLAYERO</t>
  </si>
  <si>
    <t>GETO FIGURIZMA POSE MANO</t>
  </si>
  <si>
    <t>TOJI CULEBRA PARADO SEGA</t>
  </si>
  <si>
    <t>LUFFY NAMI WCF ESCENA</t>
  </si>
  <si>
    <t>TOKITO CUADRADO</t>
  </si>
  <si>
    <t>BLEACH MCFARLANE</t>
  </si>
  <si>
    <t>RELOJ SHINOBU</t>
  </si>
  <si>
    <t>LUNA KIMETSU BANPRESTO</t>
  </si>
  <si>
    <t>NOBARA GRAFFITI SEGA</t>
  </si>
  <si>
    <t>ESPADA TANJIRO</t>
  </si>
  <si>
    <t>ESPADA RENGOKU</t>
  </si>
  <si>
    <t>LUFFY GEAR 5 KOA</t>
  </si>
  <si>
    <t>INOSKE CABEZA MOVELON</t>
  </si>
  <si>
    <t xml:space="preserve">ARETE CINNA </t>
  </si>
  <si>
    <t>DUO KIDROBOT</t>
  </si>
  <si>
    <t>TANJIRO ICHIBAN KUJI</t>
  </si>
  <si>
    <t>ZENITSU ICHIBAN KUJI</t>
  </si>
  <si>
    <t>TOMIOKA ICHIBAN</t>
  </si>
  <si>
    <t>NEZUKO ICHIBAN</t>
  </si>
  <si>
    <t>RENGOKU ICHIBAN + RELOJ</t>
  </si>
  <si>
    <t>NEZUKO ARMABLE</t>
  </si>
  <si>
    <t>MIWA JJK SUELTO</t>
  </si>
  <si>
    <t>WAIFU BIKINI ABIERTA</t>
  </si>
  <si>
    <t>ROBERTO PALACIOS-SONIA QUISPE</t>
  </si>
  <si>
    <t>GOGETA BANPRESTO POSE</t>
  </si>
  <si>
    <t>DARLYNE PEÑA TATY</t>
  </si>
  <si>
    <t>GOGETA BLANCO SUELTO</t>
  </si>
  <si>
    <t>MIGUEL PEREDA</t>
  </si>
  <si>
    <t>ANI TIKTOK JOSEFINA</t>
  </si>
  <si>
    <t>TARTA TAIS GASTANAGA</t>
  </si>
  <si>
    <t>PIKORO SOLID EDGE</t>
  </si>
  <si>
    <t>GOHAN SS2 SOLID EDGE</t>
  </si>
  <si>
    <t>TOGE BANPRESTO</t>
  </si>
  <si>
    <t>CALATA NAVIDEÑA</t>
  </si>
  <si>
    <t>CALATA PECHOS VESTIDO NEGRO</t>
  </si>
  <si>
    <t>CALATA CONEJA MISAE</t>
  </si>
  <si>
    <t>Llavero nico</t>
  </si>
  <si>
    <t>WUILLIAMS FELICIANO WUII</t>
  </si>
  <si>
    <t>Gasha goten y trunks</t>
  </si>
  <si>
    <t>ZENITSU SENTADITO BLISTER</t>
  </si>
  <si>
    <t>ITADORI ESCENA NANAMI PODER DOS PUÑOS</t>
  </si>
  <si>
    <t>CUADRO VINIL BLUELOCK</t>
  </si>
  <si>
    <t>INOSKE TOONIZE</t>
  </si>
  <si>
    <t>GOJO ICHIBAN CAMBIO DE CABEZA</t>
  </si>
  <si>
    <t>CALATA EN 4 PECHUGONA BLANCO</t>
  </si>
  <si>
    <t>GOJO JUMP HERO</t>
  </si>
  <si>
    <t>MEGUMI PEQUEÑO FASHION</t>
  </si>
  <si>
    <t>HEIDI MEDINA DANICUACK</t>
  </si>
  <si>
    <t>MEGUMI CHOKOCOLO DORMIDO</t>
  </si>
  <si>
    <t>PSYDUCK PELUCHE</t>
  </si>
  <si>
    <t>MINATO VIBRATION NARUTO</t>
  </si>
  <si>
    <t>BARDOCK ICHIBAN KUJI</t>
  </si>
  <si>
    <t>NIEL ZAVALA TACNA</t>
  </si>
  <si>
    <t>CELL ICHIBAN KUJI</t>
  </si>
  <si>
    <t>PIKORO POSE BANPRESTO</t>
  </si>
  <si>
    <t>GOGETA ULTIMATE SOLDIERS</t>
  </si>
  <si>
    <t>FREEZER SOLID EDGE</t>
  </si>
  <si>
    <t>GABRIEL ALEX FLORES</t>
  </si>
  <si>
    <t>FATE PECHUGONA SUELTA</t>
  </si>
  <si>
    <t>ENRIQUE ARTURO SARMIENTO</t>
  </si>
  <si>
    <t>ENTREGADO</t>
  </si>
  <si>
    <t>NEZUKO PATADA SUELTA</t>
  </si>
  <si>
    <t>MITSURI KANJORI GLITTER</t>
  </si>
  <si>
    <t>CALATA OVERLORD NUEVA CONEJA</t>
  </si>
  <si>
    <t>CLAVEL TIKTOK</t>
  </si>
  <si>
    <t>ICHIMARU GIN ARTICULABLE</t>
  </si>
  <si>
    <t>UKITAKE JUSHIRO ARTICULABLE</t>
  </si>
  <si>
    <t>KUROSAKI ICHIGO ARTICULABLE</t>
  </si>
  <si>
    <t>TRUNKS CON CAMBIO DE CABEZA</t>
  </si>
  <si>
    <t>MARIN SOMETIDA MASTERPIECE</t>
  </si>
  <si>
    <t>WEREGARURUMON</t>
  </si>
  <si>
    <t>MIGUEL ANGEL PEREDA</t>
  </si>
  <si>
    <t>VEGETA BLU ICHIBAN</t>
  </si>
  <si>
    <t>LEJAMER YMAN</t>
  </si>
  <si>
    <t>VEGETA BLUE SUELTO</t>
  </si>
  <si>
    <t>BABY GASHAPON</t>
  </si>
  <si>
    <t>IMAN BLUELOCK</t>
  </si>
  <si>
    <t>DORMILON TOKYO</t>
  </si>
  <si>
    <t>CHACHAMARU PELUCHE</t>
  </si>
  <si>
    <t>CUADRO BAKUGO</t>
  </si>
  <si>
    <t>TORTUGA NINJA PELICULA</t>
  </si>
  <si>
    <t>2 VASOS VIDRIO ONE PIECE</t>
  </si>
  <si>
    <t>JHON RAMOS</t>
  </si>
  <si>
    <t>GOHAN BESTIA BLOOD</t>
  </si>
  <si>
    <t>VEGITO ICHIBAN KUJI XENO</t>
  </si>
  <si>
    <t>GOGETA SSJ MANO ARRIBA</t>
  </si>
  <si>
    <t>REM POSE CAMA</t>
  </si>
  <si>
    <t>BRYAM ZAVALETA</t>
  </si>
  <si>
    <t>NEZUKO SENTADA</t>
  </si>
  <si>
    <t>POWER SENTADA PEQUEÑA</t>
  </si>
  <si>
    <t>DUO MUNDO DE JACK</t>
  </si>
  <si>
    <t>KAIJU 8 MOUNSTRUO</t>
  </si>
  <si>
    <t>KAIJU 8 PISTOLA CABEZA GRIS</t>
  </si>
  <si>
    <t>HATSUNE MIKU</t>
  </si>
  <si>
    <t>GEANCARLOS QUISPE A</t>
  </si>
  <si>
    <t>KRILLIN GX MATERIA</t>
  </si>
  <si>
    <t>JORGE QUISPE</t>
  </si>
  <si>
    <t>YUTA SPM POSE</t>
  </si>
  <si>
    <t>VEGETA SS4 POSE ULTIMO</t>
  </si>
  <si>
    <t>GOKU SS4 BLOOD OF SAYAN</t>
  </si>
  <si>
    <t>COMELONES KIMETSU</t>
  </si>
  <si>
    <t>VEGITO BASE PIEDRA</t>
  </si>
  <si>
    <t>ITADORI PUÑO</t>
  </si>
  <si>
    <t>POSTER BLUELOCK</t>
  </si>
  <si>
    <t>MELIODAS POP UP</t>
  </si>
  <si>
    <t>4 SH FIGUARTS MINI KIMETSU</t>
  </si>
  <si>
    <t>ZENITSU PELUCHE</t>
  </si>
  <si>
    <t>PORTADOCUMENTOS GATITO</t>
  </si>
  <si>
    <t>ZENITSU SENTADITO CABEZON</t>
  </si>
  <si>
    <t>SANJI GIGANTE</t>
  </si>
  <si>
    <t>TAZA CHOPPER</t>
  </si>
  <si>
    <t>PLATO ZENITSU</t>
  </si>
  <si>
    <t>LADY TSUNADE NARUTO</t>
  </si>
  <si>
    <t>VASO VIDRIO BLUE</t>
  </si>
  <si>
    <t>MITSURI Y TOMIOKA SENTADOS</t>
  </si>
  <si>
    <t>SUELTA WAIFU ECHADA CON PALO DE BOLSA</t>
  </si>
  <si>
    <t>FOLDER MEGUMI</t>
  </si>
  <si>
    <t>FRANCO GOYAS L</t>
  </si>
  <si>
    <t>LLAVERO MEGUMI</t>
  </si>
  <si>
    <t>FOLDER SAILOR MOON</t>
  </si>
  <si>
    <t>TOALLA DUFLAMINGO</t>
  </si>
  <si>
    <t>JAHIR FLORES R</t>
  </si>
  <si>
    <t>FOLDER PEQUEÑO MEGUMI</t>
  </si>
  <si>
    <t>MEGUMI PEQUEÑO CON PARANTE</t>
  </si>
  <si>
    <t>MEGUMI ICHIBAN</t>
  </si>
  <si>
    <t>GETO CON CUBITO</t>
  </si>
  <si>
    <t>TOALLA GARP</t>
  </si>
  <si>
    <t>EVA SIN PALO ICHIBAN KUJI</t>
  </si>
  <si>
    <t>ICHIGO DIORAMA NARANJA SUELTO</t>
  </si>
  <si>
    <t>PELUCHE CHOPPER</t>
  </si>
  <si>
    <t>SASUKE PODER VIBRATION STARS</t>
  </si>
  <si>
    <t>PORTAFOLIO GOJO Y GETO</t>
  </si>
  <si>
    <t>POSTER BASKET</t>
  </si>
  <si>
    <t>REDONDITO DE GOJO</t>
  </si>
  <si>
    <t>PINZA YUTA</t>
  </si>
  <si>
    <t>LLAVERO YUTA PELUCHE</t>
  </si>
  <si>
    <t>PINZA ITADORI</t>
  </si>
  <si>
    <t>VASO VIDRIO YUTA</t>
  </si>
  <si>
    <t xml:space="preserve">GOJO PINTOR SEGA </t>
  </si>
  <si>
    <t>GOJO Y GETO PELUCHES GATUNOS</t>
  </si>
  <si>
    <t>LAMPARA GOJO MUY BARATA</t>
  </si>
  <si>
    <t>GOJOS Y GETO POSICION BATTALLA</t>
  </si>
  <si>
    <t xml:space="preserve">LOTE GOJOS SUELTOS </t>
  </si>
  <si>
    <t>TOJI Y CHOKONOCOS SENTADOS</t>
  </si>
  <si>
    <t>GOJO LAST ONE ROPA AZUL</t>
  </si>
  <si>
    <t>PELUCHE ITADORI JJK</t>
  </si>
  <si>
    <t>5 ACRILICOS/LLAVEROS BLUELOCK</t>
  </si>
  <si>
    <t>MOUSEPAD BLUELOCK</t>
  </si>
  <si>
    <t>CARTUCHERA BAKUGO</t>
  </si>
  <si>
    <t>MARIA FERNANDA MAFER DIAZ</t>
  </si>
  <si>
    <t xml:space="preserve">POWER DORMIDA </t>
  </si>
  <si>
    <t>ENVASE SIRENITA</t>
  </si>
  <si>
    <t>LLAVERO KIMETSU</t>
  </si>
  <si>
    <t>CUADRO PODER GOKU</t>
  </si>
  <si>
    <t>QPOSKET POWER</t>
  </si>
  <si>
    <t>DUO WCF JAPONESES CABEZONES</t>
  </si>
  <si>
    <t>BRISA G PEREZ</t>
  </si>
  <si>
    <t>RELAX TIME PECHUGONA ECHADA</t>
  </si>
  <si>
    <t>CUADERNO DAIMA</t>
  </si>
  <si>
    <t>OVERLORD BI CUTE MORADA</t>
  </si>
  <si>
    <t>MINION AROMATIZADOR ORIGINAL</t>
  </si>
  <si>
    <t>LAST ONE JJK HANAMI</t>
  </si>
  <si>
    <t>SUKUNA ICHIBAN FLECHA</t>
  </si>
  <si>
    <t>YUTA ICHIBAN LAST ONE PELICULA</t>
  </si>
  <si>
    <t>GOJO ICHIBAN PREMIO B PELICULA JJK</t>
  </si>
  <si>
    <t>GOJO LAST ONE CAJA NEGRA</t>
  </si>
  <si>
    <t>CHOSO LAST ONE ICHIBAN KUJI</t>
  </si>
  <si>
    <t>CUADERNO DAIMA BEBE</t>
  </si>
  <si>
    <t>ACRILICO GOKU DAIMA</t>
  </si>
  <si>
    <t>CUADERNO MAJIN BUU DAIMA</t>
  </si>
  <si>
    <t>ACRILICOS X2 DAIMA</t>
  </si>
  <si>
    <t>SET STICKERS DBZ DAIMA</t>
  </si>
  <si>
    <t>KENNY MUERTO PELUCHE</t>
  </si>
  <si>
    <t>BUTTERS VIOLADO POR BRITNEY</t>
  </si>
  <si>
    <t>ENVIO EEUU PRIORITARIO</t>
  </si>
  <si>
    <t>ALBEDO ROPA BLANCA REPOSADA</t>
  </si>
  <si>
    <t>AIZEN ICHIBAN KUJI</t>
  </si>
  <si>
    <t>ICHIGO LAST ONE</t>
  </si>
  <si>
    <t>ICHIGO ICHIBAN PREMIO A</t>
  </si>
  <si>
    <t>MAKI BANPRESTO</t>
  </si>
  <si>
    <t>NEZUKO DEMONIA VS</t>
  </si>
  <si>
    <t>RUI BANPRESTRO</t>
  </si>
  <si>
    <t>KANAO VS</t>
  </si>
  <si>
    <t>ANYA SOMBRERO</t>
  </si>
  <si>
    <t>LOID SEGA</t>
  </si>
  <si>
    <t>YOR SEGA</t>
  </si>
  <si>
    <t>QPOSKET NAGI BLUELOCK</t>
  </si>
  <si>
    <t>GROOT DISPARANDO</t>
  </si>
  <si>
    <t>VENOM PEQUEÑO</t>
  </si>
  <si>
    <t>MELODY PEQUEÑA GASHAPON</t>
  </si>
  <si>
    <t>PANDA DORMILON JJK</t>
  </si>
  <si>
    <t>INOSKE DORMILON</t>
  </si>
  <si>
    <t>NINO NAKANO VESTIDO NOVIA</t>
  </si>
  <si>
    <t>CHRISTIAN JIMENEZ</t>
  </si>
  <si>
    <t>SANJI PATADA PODER BWFC</t>
  </si>
  <si>
    <t>JUAN ROMAN SANJI PATADA</t>
  </si>
  <si>
    <t>AKAZA ICHIBAN SUELTO</t>
  </si>
  <si>
    <t xml:space="preserve">BROLY ICHIBAN PREMIO H </t>
  </si>
  <si>
    <t>SANDRO</t>
  </si>
  <si>
    <t>ENMU SENTADITO</t>
  </si>
  <si>
    <t>DAKI VIBRATIONS BLANCA</t>
  </si>
  <si>
    <t>ELVIS MATTEL FIGURA</t>
  </si>
  <si>
    <t>CHOPPER 5TH FIGUARTZ</t>
  </si>
  <si>
    <t>IMPERIALMON MODEL KIT</t>
  </si>
  <si>
    <t>LLAVERO DISNEY</t>
  </si>
  <si>
    <t>EDGAR ORTIZ M</t>
  </si>
  <si>
    <t>WAIFU PELO NARANJA CONEJA</t>
  </si>
  <si>
    <t>WAIFU PELO VERDE CONEJA</t>
  </si>
  <si>
    <t xml:space="preserve">LAMPARA GOJO </t>
  </si>
  <si>
    <t>MUJER BOINA WAIFU</t>
  </si>
  <si>
    <t>NOBARA GATITA</t>
  </si>
  <si>
    <t>LUFFY ICHIBAN ROJO</t>
  </si>
  <si>
    <t>EDVERSON GARABITO</t>
  </si>
  <si>
    <t>SET ADVERGE</t>
  </si>
  <si>
    <t>GOGETA POSE MATH MAKER</t>
  </si>
  <si>
    <t>COMBINATION BATTLE JUJUTSU ITADORI</t>
  </si>
  <si>
    <t>COMBINATION BATTLE JUJUTSU</t>
  </si>
  <si>
    <t>BULMA BANPRESTO VINIL</t>
  </si>
  <si>
    <t>PERFUMES PREVENTA</t>
  </si>
  <si>
    <t>MADE IN ABBYS</t>
  </si>
  <si>
    <t>YU YU HAKUSHO ENEMIGO</t>
  </si>
  <si>
    <t>QUINTILLIZA SENTADA PELO NARANJA</t>
  </si>
  <si>
    <t>ALEX SALSA KFC</t>
  </si>
  <si>
    <t>NAMI ICHIBAN CAJA CELESTE</t>
  </si>
  <si>
    <t>RIMURU CELESTE</t>
  </si>
  <si>
    <t>GAARA QPOSKET</t>
  </si>
  <si>
    <t>CLAUDIA C ESPINOZA</t>
  </si>
  <si>
    <t>GAARA VS</t>
  </si>
  <si>
    <t>DORMILON ROJO BNH</t>
  </si>
  <si>
    <t>DORMILONA MUJER BNH</t>
  </si>
  <si>
    <t>NENDOROID KAKASHI</t>
  </si>
  <si>
    <t>NENDOROID SASUKE</t>
  </si>
  <si>
    <t>NENDOROID ITACHI</t>
  </si>
  <si>
    <t>LLAVERO AMARILLITO</t>
  </si>
  <si>
    <t>ANTONELLA AYALA R</t>
  </si>
  <si>
    <t>DEADPOOL</t>
  </si>
  <si>
    <t>GOKU SSJ BLANCO</t>
  </si>
  <si>
    <t>MIGUEL CERVANTES</t>
  </si>
  <si>
    <t>BROLY SUPER GASHAPON</t>
  </si>
  <si>
    <t>LLAVERO BARDOK</t>
  </si>
  <si>
    <t>SENTADO CHOSO</t>
  </si>
  <si>
    <t>MAYRIN SALVADOR V MAYORISTA</t>
  </si>
  <si>
    <t>3 CHOKONOCOS KIMETSU</t>
  </si>
  <si>
    <t>GOKU BLACK ROSE BWFC</t>
  </si>
  <si>
    <t>ANYA DORMIDA</t>
  </si>
  <si>
    <t>SWORD ART ONLINE ALICE SEGA</t>
  </si>
  <si>
    <t>SWORD ART ONLINE ALICE ICHIBAN PREMIO A</t>
  </si>
  <si>
    <t>NIER AUTOMATA 9S</t>
  </si>
  <si>
    <t>NIER AUTOMATA A2</t>
  </si>
  <si>
    <t>NIER AUTOMATA 2B</t>
  </si>
  <si>
    <t>WARGREYMON MODEL KIT</t>
  </si>
  <si>
    <t>JEAN CUPE H</t>
  </si>
  <si>
    <t>NENDOROID RIMURU</t>
  </si>
  <si>
    <t>NENDOROID DEMON</t>
  </si>
  <si>
    <t>VEGETA HISTORY BOX</t>
  </si>
  <si>
    <t xml:space="preserve">ASHLEY MATIENZO </t>
  </si>
  <si>
    <t>2 PORTA LAPICEROS WAIFUS</t>
  </si>
  <si>
    <t>LAMPARA ONE PIECE</t>
  </si>
  <si>
    <t>ZORO ONE PIECE DXF</t>
  </si>
  <si>
    <t>MYTH CLOTH SAPURI SHURA</t>
  </si>
  <si>
    <t>MAI CONEJA SAO PARADA CALATA</t>
  </si>
  <si>
    <t>GOGETA</t>
  </si>
  <si>
    <t>LUFFY GEAR 4</t>
  </si>
  <si>
    <t>SHANKS DX</t>
  </si>
  <si>
    <t>ENDEAVOR MINI</t>
  </si>
  <si>
    <t>SABITO VIBRATION STAR</t>
  </si>
  <si>
    <t>CHOSO LUMINASTA</t>
  </si>
  <si>
    <t>JERSON EDU MORA JARAMILLO</t>
  </si>
  <si>
    <t>SUKUNA CALAVERA</t>
  </si>
  <si>
    <t>MEGUMI SPM PODER</t>
  </si>
  <si>
    <t xml:space="preserve">KAKASHI PODER </t>
  </si>
  <si>
    <t>7 DORMILONES DE 18 SO</t>
  </si>
  <si>
    <t>2 DOMILONES DE 25</t>
  </si>
  <si>
    <t>GATITA NEZUKO</t>
  </si>
  <si>
    <t>TOALLA HARRY POTTER</t>
  </si>
  <si>
    <t>SEVERUS SNAPE LLAVERO</t>
  </si>
  <si>
    <t>ANYA QPOSKET</t>
  </si>
  <si>
    <t>GOLDEN FREEZER WARRIORS</t>
  </si>
  <si>
    <t>POKEMON PEQUEÑOS X 2</t>
  </si>
  <si>
    <t>KAIJU MOUNSTRUO GRANDE</t>
  </si>
  <si>
    <t>SOFVIMATE CHOPPER</t>
  </si>
  <si>
    <t>SOFVIMATE OSO ONE PIECE</t>
  </si>
  <si>
    <t>URAKAKA QPOSKET</t>
  </si>
  <si>
    <t>GATA REM</t>
  </si>
  <si>
    <t>FLOTADOR BIKINI</t>
  </si>
  <si>
    <t>ULTRAMAN DORADO</t>
  </si>
  <si>
    <t>COOLER ICHIBAN GRANDE</t>
  </si>
  <si>
    <t>DUO MEGUMI TOJI</t>
  </si>
  <si>
    <t xml:space="preserve">ICHIBAN BLUE LOCK PREMIO A </t>
  </si>
  <si>
    <t>ICHIBAN BLUE LOCK PREMIO B</t>
  </si>
  <si>
    <t>ICHIBAN BLUE LOCK PREMIO C</t>
  </si>
  <si>
    <t>ICHIBAN BLUE LOCK PREMIO D</t>
  </si>
  <si>
    <t>YUTA PODER PREVENTA  ROJO PUÑO PISO</t>
  </si>
  <si>
    <t>OBANAI VIBRATION STARS</t>
  </si>
  <si>
    <t>ALESSANDRA VALDIVIESO BLUE LOCK</t>
  </si>
  <si>
    <t>UZUKI CHAN TETONA WAIFU</t>
  </si>
  <si>
    <t>MOCHILA MINION</t>
  </si>
  <si>
    <t>3 QUERUBINES ICHIBAN ONE PIECE</t>
  </si>
  <si>
    <t>MAI SENTADA</t>
  </si>
  <si>
    <t>OVERLORD ALAS</t>
  </si>
  <si>
    <t xml:space="preserve">HAROLD VENTURA </t>
  </si>
  <si>
    <t xml:space="preserve">NANAMI QPOSKET   </t>
  </si>
  <si>
    <t>DANIELA CARRASCA NOLAZCO</t>
  </si>
  <si>
    <t>NENDOROID BLUE LOCK 1</t>
  </si>
  <si>
    <t>QUAN CHI MORTAL KOMBAT</t>
  </si>
  <si>
    <t>NENDOROID CABELLO MORADO</t>
  </si>
  <si>
    <t>SH FIGUARTS METAL COOLER</t>
  </si>
  <si>
    <t>GOKU ULTIMATE</t>
  </si>
  <si>
    <t>VEGETA ULTIMATE</t>
  </si>
  <si>
    <t>LUFFY BASICO</t>
  </si>
  <si>
    <t>LOURDES ROMERO</t>
  </si>
  <si>
    <t>LUFFY POSE BATALLA</t>
  </si>
  <si>
    <t>HUNTER X HUNTER VERDE</t>
  </si>
  <si>
    <t>KATHERINE JUAREZ</t>
  </si>
  <si>
    <t>HUNTER X HUNTER LUCIFER</t>
  </si>
  <si>
    <t>GOJO SEGA EXPANSION</t>
  </si>
  <si>
    <t>NENDOROID MAKI</t>
  </si>
  <si>
    <t>SEBASTIAN LUYO</t>
  </si>
  <si>
    <t>SH FIGUARTS EVOLUCION 3 FREEZER</t>
  </si>
  <si>
    <t>PEGASO ICHIBAN KUJI</t>
  </si>
  <si>
    <t>IKKI FENIX ICHIBAN KUJI</t>
  </si>
  <si>
    <t>CANON ICHIBAN KUJI</t>
  </si>
  <si>
    <t>PELUCHE INOSKE</t>
  </si>
  <si>
    <t>PELUCHE STITCH</t>
  </si>
  <si>
    <t>SET ADVERGE 2</t>
  </si>
  <si>
    <t>VASO ONE PIECE</t>
  </si>
  <si>
    <t>RIMURU CHOKONOKKO</t>
  </si>
  <si>
    <t>DUO SENTADOS BLUE LOCK</t>
  </si>
  <si>
    <t>PEDIDO AMIGA MAJITO</t>
  </si>
  <si>
    <t>PELUCHE MUJER</t>
  </si>
  <si>
    <t>CELL MAX ICHIBAN KUJI</t>
  </si>
  <si>
    <t>SAMUEL MARCOS  E</t>
  </si>
  <si>
    <t>ALBEDO EN 4 MORADA</t>
  </si>
  <si>
    <t>CONEJA NEGRO</t>
  </si>
  <si>
    <t>CONEJA VERDE</t>
  </si>
  <si>
    <t xml:space="preserve">ESCENA TANJIRO CON DEMONIO </t>
  </si>
  <si>
    <t>PANDA JJK GRANDOTE TRANSFORMADO</t>
  </si>
  <si>
    <t>SAITAMA</t>
  </si>
  <si>
    <t>KENNY KIDROBOT</t>
  </si>
  <si>
    <t>QPOSKET BACHIRA BLUE LOCK</t>
  </si>
  <si>
    <t>3 LLAVEROS PELOTA BLUE LOCK</t>
  </si>
  <si>
    <t xml:space="preserve">1 PELUCHE BLUE LOCK AMARILLO </t>
  </si>
  <si>
    <t>DORMILON BLUE LOCK</t>
  </si>
  <si>
    <t xml:space="preserve">ACRILICO NAGI Y  AMIGO </t>
  </si>
  <si>
    <t>PELUCHE ISAGI Y BACHIRA</t>
  </si>
  <si>
    <t>SAE Y RIN PELUCHES BLUE LOCK</t>
  </si>
  <si>
    <t>CHAINSAW MOTOSIERRA</t>
  </si>
  <si>
    <t>DUO PELUCHES JJK</t>
  </si>
  <si>
    <t>GENGAR DORMIDO PIKACHU</t>
  </si>
  <si>
    <t>MIDORIYA MASCARA</t>
  </si>
  <si>
    <t>TOGA</t>
  </si>
  <si>
    <t>KAIJU GRANDOTE</t>
  </si>
  <si>
    <t>METALGARURUMON MODEL KIT</t>
  </si>
  <si>
    <t>ALPHAMON MODEL KIT</t>
  </si>
  <si>
    <t>GYARADOS MODEL KIT</t>
  </si>
  <si>
    <t>GOKU BLUE SUELTO</t>
  </si>
  <si>
    <t>VEGETA SUELTO CAJA</t>
  </si>
  <si>
    <t>VEGITO SIN CAJA</t>
  </si>
  <si>
    <t>GOTENKS CLERISE</t>
  </si>
  <si>
    <t>TANJIRO YURA YURA</t>
  </si>
  <si>
    <t>GOTENKS GRANDISTA</t>
  </si>
  <si>
    <t>TOKITO MINI</t>
  </si>
  <si>
    <t>VEGETA SUELTO BLUE</t>
  </si>
  <si>
    <t>VEGITO SUELTO</t>
  </si>
  <si>
    <t>LUIS ROMERO</t>
  </si>
  <si>
    <t>TANJITO VS ESPADA</t>
  </si>
  <si>
    <t>NARUTO PODER PATADA</t>
  </si>
  <si>
    <t xml:space="preserve">JOSE ORE </t>
  </si>
  <si>
    <t>NARUTO PODER MAESTRO</t>
  </si>
  <si>
    <t>ALPHONSE SUELTO</t>
  </si>
  <si>
    <t>KARLO VERGARAY</t>
  </si>
  <si>
    <t>MINATO 90 S</t>
  </si>
  <si>
    <t>HYUGA VS</t>
  </si>
  <si>
    <t>GOKU LECHE BWFC</t>
  </si>
  <si>
    <t>JUAN CORAHUA</t>
  </si>
  <si>
    <t>QUINTILLIZA 1</t>
  </si>
  <si>
    <t>JAFET CARLOS APAZA WAIFUS</t>
  </si>
  <si>
    <t>QUINTILLIZA 2</t>
  </si>
  <si>
    <t>QUINTILLIZA 3</t>
  </si>
  <si>
    <t>QUINTILLIZA 4</t>
  </si>
  <si>
    <t>QUINTILLIZA 5</t>
  </si>
  <si>
    <t>JANEMBA ICHIBAN KUJI</t>
  </si>
  <si>
    <t>KARLA M RAMOS</t>
  </si>
  <si>
    <t>2 RE ZERO CHIBIS</t>
  </si>
  <si>
    <t>CARLOS FLORES RE ZERO CHIBIS</t>
  </si>
  <si>
    <t>MITSURI BANPRESTO</t>
  </si>
  <si>
    <t xml:space="preserve"> Riugamil (Denis) JUAN SERAPIO</t>
  </si>
  <si>
    <t>SAKURA SUELTA</t>
  </si>
  <si>
    <t>ESCENA TANJIRO CON NEZUKO</t>
  </si>
  <si>
    <t>ZORO BATTLER RECORD</t>
  </si>
  <si>
    <t>SHIGARAKI</t>
  </si>
  <si>
    <t>RUKIA RELAX TIME</t>
  </si>
  <si>
    <t>ALVARO BERNAL</t>
  </si>
  <si>
    <t>BLEACH RELAX TIME</t>
  </si>
  <si>
    <t>ANDREW - SARA AYDEE</t>
  </si>
  <si>
    <t>BROLY BLOOD OF SAYANS</t>
  </si>
  <si>
    <t>MELANIO ZAVALA</t>
  </si>
  <si>
    <t>GOGETA ICHIBAN KUJI</t>
  </si>
  <si>
    <t>SEBASTIAN CARTMAN</t>
  </si>
  <si>
    <t>CELL ICHIBAN KUJI GARECA</t>
  </si>
  <si>
    <t>BROLY ICHIBAN KUJI SS4</t>
  </si>
  <si>
    <t>TOJI ICHIBAN KUJI</t>
  </si>
  <si>
    <t>LLAVERO CHOPPER</t>
  </si>
  <si>
    <t>GIULIANA TALLA</t>
  </si>
  <si>
    <t>HINATA HAYKIUU</t>
  </si>
  <si>
    <t>DIABLO ALAS MORADAS</t>
  </si>
  <si>
    <t>BARCO ONE PIECE NUMERO 06</t>
  </si>
  <si>
    <t>BARCO ONE PIECE NUMERO 02</t>
  </si>
  <si>
    <t>BARCO ONE PIECE NUMERO 08</t>
  </si>
  <si>
    <t>BARCO ONE PIECE NUMERO 05</t>
  </si>
  <si>
    <t>BARCO ONE PIECE NUMERO 04</t>
  </si>
  <si>
    <t xml:space="preserve">SET POKEMON </t>
  </si>
  <si>
    <t>BARCO MARINA ICHIBAN KUJI</t>
  </si>
  <si>
    <t>SET GOJO JAPON X5</t>
  </si>
  <si>
    <t>LLAVERO PELOTA BLUE LOCK</t>
  </si>
  <si>
    <t>GASHAPON CABELLO MORADO</t>
  </si>
  <si>
    <t>HAYKIUU N° 1</t>
  </si>
  <si>
    <t>HAYKIUU KOZUME</t>
  </si>
  <si>
    <t>OIKAWA SOSTENIENDO PELOTA</t>
  </si>
  <si>
    <t>NISHINOYA HAIKYUU</t>
  </si>
  <si>
    <t>BOKUTO HAIKYUU</t>
  </si>
  <si>
    <t>AKAASHI HAIKYUU</t>
  </si>
  <si>
    <t>RIMURU CAJA NEGRA MASCARA</t>
  </si>
  <si>
    <t>OIKAWA MATE</t>
  </si>
  <si>
    <t>CABEZA AMARILLA PUÑO HAIKYUU</t>
  </si>
  <si>
    <t>DIABLO SLIME CAJA ROJA</t>
  </si>
  <si>
    <t>RIMURU POP UP</t>
  </si>
  <si>
    <t>DIABLO SLIME CAJA NEGRA</t>
  </si>
  <si>
    <t>DANDADAN DUO FIGUARTS MINI</t>
  </si>
  <si>
    <t>SUMIKO MIKU - JIMMY MORENO</t>
  </si>
  <si>
    <t>GOKU MIRANDO FREEZER</t>
  </si>
  <si>
    <t>QUINTILLIZA 6 BIKINI BANPRESTO</t>
  </si>
  <si>
    <t>QUINTILLIZA 7 BIKINI BANPRESTO</t>
  </si>
  <si>
    <t>MARIN ROJA SENTADA</t>
  </si>
  <si>
    <t>VEGETA BWFC</t>
  </si>
  <si>
    <t>CRISOSTOMO FERNANDITO - RUTH MAMANI</t>
  </si>
  <si>
    <t>AKI BANPRESTO</t>
  </si>
  <si>
    <t>POWER SENTADA GATO</t>
  </si>
  <si>
    <t>MAKIMA SENTADA</t>
  </si>
  <si>
    <t>LUFFY CAJA VERDE + LLAVERO</t>
  </si>
  <si>
    <t>PELUCHE ROSA BOCCHI THE ROCK</t>
  </si>
  <si>
    <t>KID THE PHANTOM THIEF</t>
  </si>
  <si>
    <t>JASMIN RUIZ - RAM TIKTOK</t>
  </si>
  <si>
    <t>GOJO LUMINASTA PODER</t>
  </si>
  <si>
    <t>SUKUNA LUMINASTA PODER</t>
  </si>
  <si>
    <t>TOKYO REVENGERS SUELTO</t>
  </si>
  <si>
    <t>FAPUTA POP UP</t>
  </si>
  <si>
    <t>THOUSAND SUNNY BARCO</t>
  </si>
  <si>
    <t>GOING MERRY PREMIUM</t>
  </si>
  <si>
    <t>TOALLA BLEACH</t>
  </si>
  <si>
    <t>NECA GHOST FACE</t>
  </si>
  <si>
    <t>SEBASTIAN JANO</t>
  </si>
  <si>
    <t>TWICE ICHIBAN SUELTO</t>
  </si>
  <si>
    <t>FABIAN ALONSO SALAS</t>
  </si>
  <si>
    <t>WALLART DESKTOP MY HERO</t>
  </si>
  <si>
    <t>ANTHONY ADERLY CUETO</t>
  </si>
  <si>
    <t>2 TOALLAS NARUTO</t>
  </si>
  <si>
    <t>ZORO NSFR</t>
  </si>
  <si>
    <t>NAMI GLITTER GLAMOUR</t>
  </si>
  <si>
    <t>POSTER BLUELOCK MORADO CABELLO</t>
  </si>
  <si>
    <t>SET GINYU PEQUEÑOS</t>
  </si>
  <si>
    <t>GOKU BLUE DIORAMA WCF</t>
  </si>
  <si>
    <t>PELUCHE WAIFU</t>
  </si>
  <si>
    <t>LLAVERO MAKIMA</t>
  </si>
  <si>
    <t>FRANCISCO HUMERTO MELENDEZ</t>
  </si>
  <si>
    <t>GOTENKS ICHIBAN KUJI</t>
  </si>
  <si>
    <t>GOHAN SSJ ICHIBAN</t>
  </si>
  <si>
    <t>EVEE PELUCHE</t>
  </si>
  <si>
    <t>BAJI TOKYO REVENGERS</t>
  </si>
  <si>
    <t>ITADORI BOLITA</t>
  </si>
  <si>
    <t>YARID HANCCO</t>
  </si>
  <si>
    <t>GOKU SSJ 4 BLOOD OF SAYANS</t>
  </si>
  <si>
    <t>GOHAN NARANJA SOLID EDGE</t>
  </si>
  <si>
    <t>PELUCHE SUKUNA</t>
  </si>
  <si>
    <t>MARIN SENTADA DIABLA DESKTOP ROJA</t>
  </si>
  <si>
    <t>FRANCISCO MELENDEZ</t>
  </si>
  <si>
    <t>SENTADITO TOKYO REVENGERS</t>
  </si>
  <si>
    <t xml:space="preserve">NATHALY BELTRAN </t>
  </si>
  <si>
    <t>ANGELICA URBANO</t>
  </si>
  <si>
    <t>ROCK LEE DIORAMA</t>
  </si>
  <si>
    <t>ALVARO MORALES C</t>
  </si>
  <si>
    <t>SUELTO BLEACH</t>
  </si>
  <si>
    <t>GATO GOJO</t>
  </si>
  <si>
    <t>CHANCHO</t>
  </si>
  <si>
    <t>MITSURI</t>
  </si>
  <si>
    <t>OBANAI PELUCHE</t>
  </si>
  <si>
    <t>REGLA CINNA</t>
  </si>
  <si>
    <t>CINNA CAMPANITA DULCE</t>
  </si>
  <si>
    <t>KOMI SAN NENDOROID</t>
  </si>
  <si>
    <t>MAKIMA PARADA</t>
  </si>
  <si>
    <t>ERICK AVENDAÑO</t>
  </si>
  <si>
    <t>TOMIOKA COMIENDO</t>
  </si>
  <si>
    <t>SET FULL METAL ALCHEMIST AVION</t>
  </si>
  <si>
    <t>SUKUNA PEQUEÑO PELUCHE</t>
  </si>
  <si>
    <t>AKAZA QPOSKET</t>
  </si>
  <si>
    <t>UTA SUELTA</t>
  </si>
  <si>
    <t>BUSTO SUELTO ONE PIECE</t>
  </si>
  <si>
    <t>GOKU KAIOKE BLOOD</t>
  </si>
  <si>
    <t>BARDOCK BANPRESTO POSE</t>
  </si>
  <si>
    <t>VEGITO BLOOD OF SAYAN BLUE</t>
  </si>
  <si>
    <t>ANYELINA CALLE</t>
  </si>
  <si>
    <t>HAYKIU PELO NEGRO BANPRESTO</t>
  </si>
  <si>
    <t>YOR VIBRATION</t>
  </si>
  <si>
    <t>BIKINI GLITTER CABELLO ROSA</t>
  </si>
  <si>
    <t>TATSUMAKI FLOTADOR</t>
  </si>
  <si>
    <t>GUSTAVO ENRIQUE DELGADO</t>
  </si>
  <si>
    <t>SHINOBU PELUCHE</t>
  </si>
  <si>
    <t xml:space="preserve">SHIKAMARU POSE </t>
  </si>
  <si>
    <t>ELIZABETH VASQUEZ</t>
  </si>
  <si>
    <t>NEJI POSE</t>
  </si>
  <si>
    <t>SAKURA INVOCACION</t>
  </si>
  <si>
    <t>GRENINJA MODEL KIT</t>
  </si>
  <si>
    <t>SH FIGUARTS NAMI ONE PIECE</t>
  </si>
  <si>
    <t>BROOK DXF ANIVERSARIO</t>
  </si>
  <si>
    <t>LUIS PADILLA</t>
  </si>
  <si>
    <t>COOLER MATH MAKER</t>
  </si>
  <si>
    <t>OMEGAMON ANTIBODY</t>
  </si>
  <si>
    <t xml:space="preserve">IMPERIALDRAMON </t>
  </si>
  <si>
    <t>TANJIRO DXF</t>
  </si>
  <si>
    <t>SANEMI DXF</t>
  </si>
  <si>
    <t>HYOMEI DXF</t>
  </si>
  <si>
    <t>OBANAI DXF</t>
  </si>
  <si>
    <t>PELUCHE MINION + OSITO MINION</t>
  </si>
  <si>
    <t>LILIANA VILLANUEVA</t>
  </si>
  <si>
    <t>TOKITO SENTADO</t>
  </si>
  <si>
    <t xml:space="preserve">SET LAMPARAS BIGBANG </t>
  </si>
  <si>
    <t>KAMEN RAIDER</t>
  </si>
  <si>
    <t>ANGEL RAMIREZ C</t>
  </si>
  <si>
    <t>HINATA HAYKIUU PEQUEÑO</t>
  </si>
  <si>
    <t>FELIPA MAMANI - NIÑA HAYKIU</t>
  </si>
  <si>
    <t xml:space="preserve">EREN POP UP </t>
  </si>
  <si>
    <t>MITSURI POSTURA</t>
  </si>
  <si>
    <t>LENNY - JHEAN ASCANIO</t>
  </si>
  <si>
    <t>BATMAN MC FARLANE</t>
  </si>
  <si>
    <t>SET ARMABLE SUPER CHOPPER X5</t>
  </si>
  <si>
    <t>TOKITO CHOKONOKO</t>
  </si>
  <si>
    <t>FOLDER BLEACH</t>
  </si>
  <si>
    <t>MAS REGALO POSTER GOKU</t>
  </si>
  <si>
    <t>GOGETA POSE SPECIAL</t>
  </si>
  <si>
    <t>ORIOL GOMERO R</t>
  </si>
  <si>
    <t>GASHA AKI SENTADITO</t>
  </si>
  <si>
    <t>PELUCHITO NOBARA</t>
  </si>
  <si>
    <t>PELUCHITO GATO GETO</t>
  </si>
  <si>
    <t>KANAO PELUCHE</t>
  </si>
  <si>
    <t>POST CARD VEGETA DAIMA</t>
  </si>
  <si>
    <t>2 POST CARDS DAIMA</t>
  </si>
  <si>
    <t>2 ARCHIVES DRAGON BALL</t>
  </si>
  <si>
    <t>MOMONOSUKE NIÑO</t>
  </si>
  <si>
    <t>PELUCHE OSO ITADORI BOXEADOR</t>
  </si>
  <si>
    <t>TRUNKS DIORAMA TIERRA SUELTO</t>
  </si>
  <si>
    <t>EDINSON SANDOVAL</t>
  </si>
  <si>
    <t>LAW K.O.A AZUL</t>
  </si>
  <si>
    <t>GRECIA MEZARINA</t>
  </si>
  <si>
    <t>RAMON SALAS DJ WAYO</t>
  </si>
  <si>
    <t>VEGITO BLOOD OF SAYAN 1</t>
  </si>
  <si>
    <t>QUINTILLIZA SUELTA</t>
  </si>
  <si>
    <t>VASO VIDRIO BROLY</t>
  </si>
  <si>
    <t>GOKU SS3 BLOOD OF SAYANS</t>
  </si>
  <si>
    <t>ENRIQUE CUBILLAS</t>
  </si>
  <si>
    <t>1 TOALLA KAKASHI</t>
  </si>
  <si>
    <t>GOHAN FUTURO ICHIBAN</t>
  </si>
  <si>
    <t>MR SATAN ICHIBAN</t>
  </si>
  <si>
    <t>VEGITO BLUE BLOOD OF SAYANS</t>
  </si>
  <si>
    <t>NEZUKO DXF TRANSFORMADA</t>
  </si>
  <si>
    <t>RAFAEL JAYBAR C</t>
  </si>
  <si>
    <t>SABO PIRATA</t>
  </si>
  <si>
    <t>ENRICO ERNESTO CAROZZI</t>
  </si>
  <si>
    <t>YAMATO KOA</t>
  </si>
  <si>
    <t xml:space="preserve">LAW K.O.A  </t>
  </si>
  <si>
    <t>ICHIBAN A MARCO ALAS</t>
  </si>
  <si>
    <t>3 TOALLAS BROLY</t>
  </si>
  <si>
    <t>BARDOCK GX</t>
  </si>
  <si>
    <t>BROLY CLEARISE</t>
  </si>
  <si>
    <t>3 TOALLAS NARUTO</t>
  </si>
  <si>
    <t>OBITO VIBRATION</t>
  </si>
  <si>
    <t>GUY SENSEI</t>
  </si>
  <si>
    <t>HAKU DIORAMA</t>
  </si>
  <si>
    <t>AKIMICHI CHOJI DIORAMA</t>
  </si>
  <si>
    <t>DUO NARUTO SASUKE PODER</t>
  </si>
  <si>
    <t>DUO ALCANCIAS NARUTO</t>
  </si>
  <si>
    <t>GOKU CARGANDO GOHAN ICHIBAN</t>
  </si>
  <si>
    <t>KARIN CON GOKU ICHIBAN</t>
  </si>
  <si>
    <t>GOKU BASE DIORAMA WCF</t>
  </si>
  <si>
    <t>FUNKO KAKASHI</t>
  </si>
  <si>
    <t>UZUI VS</t>
  </si>
  <si>
    <t>GASHAPON DATE A LIVE</t>
  </si>
  <si>
    <t>MAJIN VEGETA ICHIBANSHO</t>
  </si>
  <si>
    <t>BARDOCK GX MATERIA</t>
  </si>
  <si>
    <t>MOISES TRIBEÑO C</t>
  </si>
  <si>
    <t>MARIN PARADA DIABLA</t>
  </si>
  <si>
    <t>5 POSAVASOS NARUTO</t>
  </si>
  <si>
    <t>3 BOLSOS NARUTO</t>
  </si>
  <si>
    <t>LUFFY BATTLE POSE</t>
  </si>
  <si>
    <t>ALFREDO SANTA CRUZ</t>
  </si>
  <si>
    <t>RENJI ICHIBAN KUJI</t>
  </si>
  <si>
    <t>VEGITO ICHIBAN SUPER HEROES</t>
  </si>
  <si>
    <t>2 LLAVEROS RANMA</t>
  </si>
  <si>
    <t>SET QPOSKET KIMETSU</t>
  </si>
  <si>
    <t>TOALLA RANMA CON NOVIA</t>
  </si>
  <si>
    <t>PLATO RANMA</t>
  </si>
  <si>
    <t>ICHIBAN DIABLO ROJO PODER</t>
  </si>
  <si>
    <t>GOHAN SS1 ICHIBAN ROPA VERDE</t>
  </si>
  <si>
    <t>GOJO ICHIBAN LAST ONE ROPA AZULADA  FLOTANDO</t>
  </si>
  <si>
    <t>SET HARRY POTTER 1</t>
  </si>
  <si>
    <t>SET HARRY POTTER 2</t>
  </si>
  <si>
    <t>ALBEDO PARADA</t>
  </si>
  <si>
    <t>ALBEDO SENTADA ARYA</t>
  </si>
  <si>
    <t>NARUTO TOP 99</t>
  </si>
  <si>
    <t>NARUTO PATADA</t>
  </si>
  <si>
    <t>RANGER SS3 GOKU</t>
  </si>
  <si>
    <t>CARLOS SANABRIA</t>
  </si>
  <si>
    <t>RANGER VEGETA</t>
  </si>
  <si>
    <t>SH ACE FIGUARTS ZERO</t>
  </si>
  <si>
    <t>SH LUFFY FIGUARTS ZERO</t>
  </si>
  <si>
    <t>CHIN CHAN PELUCHE</t>
  </si>
  <si>
    <t>SORTEO RIFA</t>
  </si>
  <si>
    <t>ABANICO RIN BLUELOCK</t>
  </si>
  <si>
    <t>YOR VIBRATION STARS</t>
  </si>
  <si>
    <t xml:space="preserve">RIFA </t>
  </si>
  <si>
    <t>SET X 6 NARUTO PEQUEÑOS</t>
  </si>
  <si>
    <t>VARITA HARRY POTTER</t>
  </si>
  <si>
    <t>ITACHI MASCARA ROPA NEGRA</t>
  </si>
  <si>
    <t xml:space="preserve">HG NEGRO GUNDAM </t>
  </si>
  <si>
    <t>VARITA HERMIONE ORIGINAL</t>
  </si>
  <si>
    <t>BARDOCK HISTORY BOX</t>
  </si>
  <si>
    <t>RUKIA BANPRESTO CAJA BLANCA</t>
  </si>
  <si>
    <t>CHRONICLE ONE PIECE</t>
  </si>
  <si>
    <t>GORDITA ROSADA DE ONE PIECE</t>
  </si>
  <si>
    <t>MIKU ROPA ROJA POSE</t>
  </si>
  <si>
    <t>POWER NENDOROID DOLL</t>
  </si>
  <si>
    <t>TOMIOKA SENTADO CHILL</t>
  </si>
  <si>
    <t>DUO TOJI VS MEGUMI</t>
  </si>
  <si>
    <t>BOLSO ITACHI</t>
  </si>
  <si>
    <t>BOLSO MINATO</t>
  </si>
  <si>
    <t>TOALLA FREEZER</t>
  </si>
  <si>
    <t>MITSURI ICHIBAN LAST ONE</t>
  </si>
  <si>
    <t>RELAX TIME PECHUGONA DE ROJO</t>
  </si>
  <si>
    <t>MAJITO JJK</t>
  </si>
  <si>
    <t>ITADORI JJK</t>
  </si>
  <si>
    <t>DENJI CAJA BLANCA</t>
  </si>
  <si>
    <t>VEGITO CAJA GRANDE POSE</t>
  </si>
  <si>
    <t>DATE A LIVE ESPADA MUJER</t>
  </si>
  <si>
    <t>CAPSULA FRANKY PEQUEÑO</t>
  </si>
  <si>
    <t>ITACHI TOP 99</t>
  </si>
  <si>
    <t>MARISOL HANCCO - MARYTA ITACHI</t>
  </si>
  <si>
    <t>ITACHI PODER DIORAMA</t>
  </si>
  <si>
    <t>PROMOCION DAIMA PELICULA</t>
  </si>
  <si>
    <t>PELUCHE QUINTILLIZA</t>
  </si>
  <si>
    <t>TODOU JUJUTSU KAIZEN</t>
  </si>
  <si>
    <t>NANAMI JUJUTSU</t>
  </si>
  <si>
    <t>BAKUGO ICHIBAN KUJI</t>
  </si>
  <si>
    <t>GOKU BLACK SOLID</t>
  </si>
  <si>
    <t>GOKU BLACK ROSE SOLID</t>
  </si>
  <si>
    <t>TRUNKS SOLID</t>
  </si>
  <si>
    <t>MINION PEQUEÑO PELUCHE</t>
  </si>
  <si>
    <t>REM ALAS</t>
  </si>
  <si>
    <t>ARALY CONTRERAS</t>
  </si>
  <si>
    <t>ZORO WANO KOA</t>
  </si>
  <si>
    <t>SET ESFERAS DRAGON</t>
  </si>
  <si>
    <t>BAKUGO SP BLISTER</t>
  </si>
  <si>
    <t>DUO WCF ENDEAVOR</t>
  </si>
  <si>
    <t>CARLOS E QUISPE</t>
  </si>
  <si>
    <t>LLAVERO REDONDO MAHITO</t>
  </si>
  <si>
    <t>JOSHUA ZARATE</t>
  </si>
  <si>
    <t>LLAVERO CLIP GETO</t>
  </si>
  <si>
    <t>TOGE PELUCHE</t>
  </si>
  <si>
    <t>GOLDEN ROGERS KOA</t>
  </si>
  <si>
    <t>BAN POP UP</t>
  </si>
  <si>
    <t>NEZUKO QPOSKET MINI</t>
  </si>
  <si>
    <t>3 PARADOS DE GOKU JAPON</t>
  </si>
  <si>
    <t>LUFFY PEQUEÑO BANDERA</t>
  </si>
  <si>
    <t>BRENDA BRICEÑO</t>
  </si>
  <si>
    <t>AKAZA SENTADO CABEZON</t>
  </si>
  <si>
    <t>FENIX ICHIBAN KUJI MAS REGALOS</t>
  </si>
  <si>
    <t>AKI NENDOROID</t>
  </si>
  <si>
    <t>MAKIMA NENDOROID</t>
  </si>
  <si>
    <t>SANJI KIMONO POSE</t>
  </si>
  <si>
    <t>GOGETA SS4 BLOOD OF SAYANS</t>
  </si>
  <si>
    <t>FABIAN TORRES G</t>
  </si>
  <si>
    <t>MIKU ULTIMO PREVENTA</t>
  </si>
  <si>
    <t>SET FUERZAS ESPECIALES GINYU</t>
  </si>
  <si>
    <t>YOLI VERDE</t>
  </si>
  <si>
    <t>VEGITO SPECIAL COLOR</t>
  </si>
  <si>
    <t>JUAN CARLOS CHAUCA</t>
  </si>
  <si>
    <t>GOKU BLACK ROSE BWCF</t>
  </si>
  <si>
    <t>WEBON MANYA</t>
  </si>
  <si>
    <t>LUFFY CHALECO</t>
  </si>
  <si>
    <t>DHARMA ALECKSANDRA</t>
  </si>
  <si>
    <t>VEGETTO GRANDE POSTURA EPICA</t>
  </si>
  <si>
    <t>LUIS MATHIAS CUTI</t>
  </si>
  <si>
    <t>MATADOR PELO BLANCO HAIKYU</t>
  </si>
  <si>
    <t>BILLY HERMOSILLA</t>
  </si>
  <si>
    <t>GOGETA BLUE POSE SPECIAL</t>
  </si>
  <si>
    <t>SUELTA FATE RUBIA</t>
  </si>
  <si>
    <t>MOMO MHA</t>
  </si>
  <si>
    <t>SASUKE EFFECTREME PODER MORADO</t>
  </si>
  <si>
    <t>DUO FUNKOS</t>
  </si>
  <si>
    <t>MINATO VIBRATION STARS</t>
  </si>
  <si>
    <t>SASUKE VIBRATION STARS</t>
  </si>
  <si>
    <t>KAKASHI KID VIBRATION STARS</t>
  </si>
  <si>
    <t>DEIDARA VIBRATION STARS</t>
  </si>
  <si>
    <t>NENDOROID BARATAZO DEKU</t>
  </si>
  <si>
    <t>NENDOROID BARATAZO BAKUGO</t>
  </si>
  <si>
    <t>SASUKE GRANDISTA NERO</t>
  </si>
  <si>
    <t>SUKUNA ICHIBAN LAST ONE STOCK</t>
  </si>
  <si>
    <t>POWER SENTADA</t>
  </si>
  <si>
    <t>NARUTO SPECTRE AMARILLO</t>
  </si>
  <si>
    <t>RENJI BLEACH</t>
  </si>
  <si>
    <t>BOO GORDITO SOLID EDGE</t>
  </si>
  <si>
    <t xml:space="preserve">ANYA </t>
  </si>
  <si>
    <t>AKAZA VIBRATION STARS</t>
  </si>
  <si>
    <t>VEGETA GX MATERIA PODER</t>
  </si>
  <si>
    <t>MISTURI MINI Q POSKET</t>
  </si>
  <si>
    <t>ACRILICO DAIMA X 4</t>
  </si>
  <si>
    <t>3 TOALLAS DB</t>
  </si>
  <si>
    <t>3 FOLDERS</t>
  </si>
  <si>
    <t>1 JIGGLYPUFF</t>
  </si>
  <si>
    <t>REECUM GX MATERIA</t>
  </si>
  <si>
    <t>NAPA GX MATERIA</t>
  </si>
  <si>
    <t>LOID VIBRATION</t>
  </si>
  <si>
    <t>KILLUA</t>
  </si>
  <si>
    <t>GOKU SUELTO</t>
  </si>
  <si>
    <t>PELUCHES</t>
  </si>
  <si>
    <t>TOGA MY HERO</t>
  </si>
  <si>
    <t>GOGETA POSE ESPECTACULAR</t>
  </si>
  <si>
    <t>QUINTILLIZA CHOKONOCO</t>
  </si>
  <si>
    <t>ANA M DIAZ</t>
  </si>
  <si>
    <t>NENDOROID MUJER PELO RUBIO</t>
  </si>
  <si>
    <t>5 WCF SUELTOS</t>
  </si>
  <si>
    <t xml:space="preserve">LUIS ALBERTO AGUILAR CHAMBI </t>
  </si>
  <si>
    <t>KAMER RIDER PEQUEÑO ESCENA</t>
  </si>
  <si>
    <t xml:space="preserve">LUIS MERCADO </t>
  </si>
  <si>
    <t>ARMADORA HAYKIU</t>
  </si>
  <si>
    <t>LENTES GRITANDO HAYKIU</t>
  </si>
  <si>
    <t>MINIUM PELUCHE POKEMON</t>
  </si>
  <si>
    <t>FIGURA GUNDAM MUJER</t>
  </si>
  <si>
    <t>SEBASKIRA</t>
  </si>
  <si>
    <t>KIRBY CAJITA</t>
  </si>
  <si>
    <t>DUO CHOKONOCOS</t>
  </si>
  <si>
    <t>BAKUGO BANPRESTO</t>
  </si>
  <si>
    <t>MICHELLE PILLACA</t>
  </si>
  <si>
    <t>GOHAN SS1 SOLID EDGE</t>
  </si>
  <si>
    <t>LLAVERITO NOBARA</t>
  </si>
  <si>
    <t>VEGETA POSE BANPRESTO</t>
  </si>
  <si>
    <t>ANDROIDE 16 GX MATERIA</t>
  </si>
  <si>
    <t>GOHAN ROPA MORADA SS2 SOLID EDGE</t>
  </si>
  <si>
    <t>DUO PIKORO VS GOKU NIÑO</t>
  </si>
  <si>
    <t>SET SAFARI CARRO JAPON</t>
  </si>
  <si>
    <t>SET LAPICEROS TOY STORY</t>
  </si>
  <si>
    <t>SET *5 MY HERO</t>
  </si>
  <si>
    <t>2 BANDEJAS DRAGON BALL</t>
  </si>
  <si>
    <t>SET X 5 PELUCHE BTS</t>
  </si>
  <si>
    <t>TRIO TOMY LOS INCREIBLES</t>
  </si>
  <si>
    <t>GASHAPON MITSURI</t>
  </si>
  <si>
    <t>ACRILICO DAIMA BRILLANTE</t>
  </si>
  <si>
    <t>BROLY ICHIBANSHO POSE MOUNSTRUO</t>
  </si>
  <si>
    <t>FARID RODRIGUEZ BROLY</t>
  </si>
  <si>
    <t>CONEJA COUPLE OF CUCKOS</t>
  </si>
  <si>
    <t>GOGETA SSJ PODER</t>
  </si>
  <si>
    <t>SUELTA MARIN BIKINI</t>
  </si>
  <si>
    <t>NAMI CREATOR X CREATOR</t>
  </si>
  <si>
    <t>COLEGIALA SAO</t>
  </si>
  <si>
    <t>NENDOROID CUMPLEAÑOS</t>
  </si>
  <si>
    <t>BLUE LOCK SENTADITOS</t>
  </si>
  <si>
    <t>PREVENTA AGOSTO</t>
  </si>
  <si>
    <t>SKATER HUNTER X HUNTER</t>
  </si>
  <si>
    <t>NANAMI DR STONE</t>
  </si>
  <si>
    <t>MEIJI CHOCOLATES</t>
  </si>
  <si>
    <t>RENGOKU PELUCHE</t>
  </si>
  <si>
    <t>PANDA JJK PUÑO</t>
  </si>
  <si>
    <t>OROCHIMARU Q POSKET</t>
  </si>
  <si>
    <t>BWFC BARDOCK MONOCROMATICO</t>
  </si>
  <si>
    <t>ESCENA IMAGINATION</t>
  </si>
  <si>
    <t>TOALLA Y PIN</t>
  </si>
  <si>
    <t>SHOTO BWFC MANGA</t>
  </si>
  <si>
    <t>HALLOWEEN NECA AMERICANO</t>
  </si>
  <si>
    <t>NENDOROID BARATAZO SHOTO</t>
  </si>
  <si>
    <t>GARP DX SPECIAL</t>
  </si>
  <si>
    <t>GOHAN ROPA NARANJA SS1 SOLID EDGE</t>
  </si>
  <si>
    <t>GOHAN ROPA NARANJA SS2 SOLID EDGE</t>
  </si>
  <si>
    <t>GOHAN ROPA MORADA SS1 SOLID EDGE</t>
  </si>
  <si>
    <t>FREZZER SOLID EDGE</t>
  </si>
  <si>
    <t>MAJIN VEGETA SOLID EDGE</t>
  </si>
  <si>
    <t>CHOKONOCO TOKITO PREVENTA</t>
  </si>
  <si>
    <t>GOGETA ICHIBAN KUJI PREMIO C</t>
  </si>
  <si>
    <t>BAKUGO MISILES</t>
  </si>
  <si>
    <t>GOHAN ULTIMATE PELO NEGRO</t>
  </si>
  <si>
    <t>NAMI WANO DXF</t>
  </si>
  <si>
    <t>NAMI PIRATA DXF</t>
  </si>
  <si>
    <t>BROLY FULL BLOOD OF SAYANS</t>
  </si>
  <si>
    <t>SET X 3 MAJIN BUU</t>
  </si>
  <si>
    <t>NAGI POSTURA PATADA</t>
  </si>
  <si>
    <t>REO PATEANDO CAJA BLANCA</t>
  </si>
  <si>
    <t>VOLEY GRITANDO MATADOR PUNTO</t>
  </si>
  <si>
    <t>GARA FIGUARTS ZERO</t>
  </si>
  <si>
    <t>OBITO FIGUARTS ZERO</t>
  </si>
  <si>
    <t xml:space="preserve">GETO PELUCHE </t>
  </si>
  <si>
    <t>FAPUTA MASTERPIECE</t>
  </si>
  <si>
    <t>SAKAMOTO POSE</t>
  </si>
  <si>
    <t>CONEJA PECHUGONA</t>
  </si>
  <si>
    <t>TOJI LUMINASTA VERSION 2025</t>
  </si>
  <si>
    <t>ALBEDO COQUETA TRIO TRY</t>
  </si>
  <si>
    <t>LAW GRANDISTA</t>
  </si>
  <si>
    <t>SANDRA GUERRA</t>
  </si>
  <si>
    <t>INMENSO PELUCHE GOJO</t>
  </si>
  <si>
    <t>REDONDITO DE GOJO 2.0</t>
  </si>
  <si>
    <t>YUTA PELUCHE PEQUEÑO</t>
  </si>
  <si>
    <t>MEGUMI PELUCHE PEQUEÑO</t>
  </si>
  <si>
    <t>UZUMAKI NARUTO PODER Y DIOARAMA</t>
  </si>
  <si>
    <t>BU SOLID EDGE</t>
  </si>
  <si>
    <t>POWER PELUCHE GRANDE</t>
  </si>
  <si>
    <t>GRANDISTA LUFFY</t>
  </si>
  <si>
    <t>GRANDISTA LAW</t>
  </si>
  <si>
    <t>GRANDISTA ZORO</t>
  </si>
  <si>
    <t>LUFFY KOA RIENDO</t>
  </si>
  <si>
    <t>HISTORY BOX GOKU ALAS</t>
  </si>
  <si>
    <t>GON CABELLO LARGO</t>
  </si>
  <si>
    <t>llego</t>
  </si>
  <si>
    <t>HISOKA GRANDISTA</t>
  </si>
  <si>
    <t>LLEGO PERU OCT</t>
  </si>
  <si>
    <t>GATA HUNTER X HUNTER</t>
  </si>
  <si>
    <t>MEGUMI MAXIMATIC</t>
  </si>
  <si>
    <t>ALBEDO BI CUTE BUNNIES</t>
  </si>
  <si>
    <t>GOJO MAXIMATIC</t>
  </si>
  <si>
    <t>NEKO VALKYRIE SHIN</t>
  </si>
  <si>
    <t>MAYO</t>
  </si>
  <si>
    <t>SHIRAHOSHI GLITTER &amp; GLAMOURS</t>
  </si>
  <si>
    <t>LLEGO PERU</t>
  </si>
  <si>
    <t>COOLER SOLID EDGE WORKS</t>
  </si>
  <si>
    <t>TURLES GX MATERIA</t>
  </si>
  <si>
    <t>FREEZER SOLID EDGE WORKS 2025</t>
  </si>
  <si>
    <t>FREEZER PRIMERA FORMA SOLID EDGE WORKS</t>
  </si>
  <si>
    <t>ANDROIDE 18 SOLID EDGE WORKS</t>
  </si>
  <si>
    <t xml:space="preserve">ICHIBAN BLEACH PREMIO A </t>
  </si>
  <si>
    <t xml:space="preserve">ICHIBAN BLEACH PREMIO B </t>
  </si>
  <si>
    <t>ICHIBAN BLEACH PREMIO C</t>
  </si>
  <si>
    <t>PEQUEÑO IT</t>
  </si>
  <si>
    <t>LED LAMPARA NEON NARUTO</t>
  </si>
  <si>
    <t>HISTORY BOX GOKU TELEPORT</t>
  </si>
  <si>
    <t>SOBRE POKEMON</t>
  </si>
  <si>
    <t xml:space="preserve">KAMISAMA ICHIBANSHO </t>
  </si>
  <si>
    <t>PIKORO GX MATERIA</t>
  </si>
  <si>
    <t>BUU GX MATERIA</t>
  </si>
  <si>
    <t>LUFFY GEAR 5 LAPICERO</t>
  </si>
  <si>
    <t>ADVERGE MAKIMA</t>
  </si>
  <si>
    <t>KEVIN ZEVILLANOS</t>
  </si>
  <si>
    <t>POWER GLITTER &amp; GLAMOURS</t>
  </si>
  <si>
    <t>PERRO SPY FAMILY</t>
  </si>
  <si>
    <t>LOID SEGA SPY FAMILY</t>
  </si>
  <si>
    <t>HERRERO 1 KIMETSU</t>
  </si>
  <si>
    <t>HERRERO 2 KIMETSU</t>
  </si>
  <si>
    <t>BATTLE RECORD LUFFY PODER</t>
  </si>
  <si>
    <t>BLUE LOCK PELO MORADO BANPRESTO</t>
  </si>
  <si>
    <t>ENDER ARTEAGA</t>
  </si>
  <si>
    <t>MATADOR VOLEY BANPRESTO</t>
  </si>
  <si>
    <t>BACHIRA PODER BANPRESTO</t>
  </si>
  <si>
    <t>GOJO ICHIBAN KUJI DOS CABEZAS</t>
  </si>
  <si>
    <t>SASUKE DEMONIO VIBRATION STARS</t>
  </si>
  <si>
    <t>OBITO ADULTO VIBRATION STARS</t>
  </si>
  <si>
    <t>TOJI FIGURIZMA ESCENA</t>
  </si>
  <si>
    <t>GOKU BASE SOLID EDGE</t>
  </si>
  <si>
    <t>SET WCF NARUTO</t>
  </si>
  <si>
    <t>MAKI PELUCHE</t>
  </si>
  <si>
    <t>GOJO PELUCHE MEDIANA VENDA</t>
  </si>
  <si>
    <t>SET X 5 NARUTO CHIBI MASTER</t>
  </si>
  <si>
    <t>GETO LUMINASTA ARROJANDO SAPO</t>
  </si>
  <si>
    <t>GOJO LUMINASTA ARROJANDO SAPO</t>
  </si>
  <si>
    <t>ACRILICO SS4 VEGETA</t>
  </si>
  <si>
    <t>GYUTARO VIBRATION STARS</t>
  </si>
  <si>
    <t>ZENITSU VIBRATION STARS</t>
  </si>
  <si>
    <t>GENYA VIBRATION STARS</t>
  </si>
  <si>
    <t>TOJI GUSANO PARADO LUMINASTA</t>
  </si>
  <si>
    <t>MOCHILA PIKACHU</t>
  </si>
  <si>
    <t>BAKUGO ICHIBAN KUJI PREMIO B BRAZOS ARRIBA</t>
  </si>
  <si>
    <t>TANJIRO KIMETSU ICHIBAN</t>
  </si>
  <si>
    <t>CUADRO HUNTER X HUNTER</t>
  </si>
  <si>
    <t>MIDORIYA GRANDISTA</t>
  </si>
  <si>
    <t>DIABLA ROPA NEGRO GLITTER &amp; GLAMOURS</t>
  </si>
  <si>
    <t>ANGELITA FALDA GLITTER &amp; GLAMOURS</t>
  </si>
  <si>
    <t>GETO KOA NEW EDITION</t>
  </si>
  <si>
    <t>GOJO KOA NEW EDITION</t>
  </si>
  <si>
    <t>DUO GETO GOJO CANTANTES</t>
  </si>
  <si>
    <t>CHOSO LUMINASTA NEW EDITION</t>
  </si>
  <si>
    <t>LAPRASS PELUCHE POKEMON</t>
  </si>
  <si>
    <t>GROWLITHE</t>
  </si>
  <si>
    <t>STATLEY</t>
  </si>
  <si>
    <t>MINUM ROJO</t>
  </si>
  <si>
    <t>PIKACHU NAVIDEÑO</t>
  </si>
  <si>
    <t>EREN YEAGER POP UP</t>
  </si>
  <si>
    <t>DUO MATCH MAKER CELL GOHAN</t>
  </si>
  <si>
    <t>EDUARDO A DE LA CRUZ</t>
  </si>
  <si>
    <t>SASUKE MASCARA PARADO</t>
  </si>
  <si>
    <t>SAKURA CON SU ARMA</t>
  </si>
  <si>
    <t>MUJER CANTANTE DE ROJO</t>
  </si>
  <si>
    <t>LLAVERO SIRENA</t>
  </si>
  <si>
    <t>DOS CARAS DE NENDOROID</t>
  </si>
  <si>
    <t>NENDOROID KAKASHI PRECIO ESPECIAL</t>
  </si>
  <si>
    <t>NENDOROID ITACHI PRECIO ESPECIAL</t>
  </si>
  <si>
    <t>SHINOBU DXF TRIO</t>
  </si>
  <si>
    <t>GYOMEI DXF TRIO</t>
  </si>
  <si>
    <t>INOSUKE DXF TRIO</t>
  </si>
  <si>
    <t>SAKURA VIBRATION STARS</t>
  </si>
  <si>
    <t>SASUKE VIBRATION STARS SPECIAL EDITION</t>
  </si>
  <si>
    <t>NARUTO VIBRATION STARS SPECIAL EDITION</t>
  </si>
  <si>
    <t>KAKASHI VIBRATION STARS SPECIAL EDITION</t>
  </si>
  <si>
    <t>RENGOKU SEGA</t>
  </si>
  <si>
    <t>MITSURI POSE BANPRESTO</t>
  </si>
  <si>
    <t>TOKITO POSE BANPRESTO</t>
  </si>
  <si>
    <t>SASUKE VIBRATION STARS PODER MANOS JUNTAS</t>
  </si>
  <si>
    <t xml:space="preserve">ITACHI GRANDISTA </t>
  </si>
  <si>
    <t>MADARA  ESCENA VIBRATION STARS</t>
  </si>
  <si>
    <t>KAKASHI ESCENA VIBRATION STARS</t>
  </si>
  <si>
    <t>GON PODER VIBRATION STARS</t>
  </si>
  <si>
    <t>KURAPIKA VIBRATION STARS</t>
  </si>
  <si>
    <t>LUCCI KOA</t>
  </si>
  <si>
    <t>DUO MINIONS + REGALO ACRILICO</t>
  </si>
  <si>
    <t>BARDOCK POSTURA ATAQUE</t>
  </si>
  <si>
    <t>5 MINI QPOSTEK KIMETSU</t>
  </si>
  <si>
    <t>POWER POP UP PARADE</t>
  </si>
  <si>
    <t>TORMENTA ONE PUNCH MAN</t>
  </si>
  <si>
    <t>GUNDAM MODEL KIT ROJO</t>
  </si>
  <si>
    <t>BLOCK DIGIMON</t>
  </si>
  <si>
    <t>LLAVERO CINNA CON SAPO</t>
  </si>
  <si>
    <t>LLAVERO KUROMI CON POCHACO</t>
  </si>
  <si>
    <t>MERCH BAKUGO NARANJA</t>
  </si>
  <si>
    <t>SAILOR PELUCHE</t>
  </si>
  <si>
    <t>HOMBRE SAILOR PELUCHE</t>
  </si>
  <si>
    <t>SHIGARAKI CHOKONOCO</t>
  </si>
  <si>
    <t>ACRILICO BLEACH</t>
  </si>
  <si>
    <t>SET ACRILICOS HAYKIU</t>
  </si>
  <si>
    <t>FRIEREN PARADA</t>
  </si>
  <si>
    <t>GOKU BLACK ROSE CLEARISE</t>
  </si>
  <si>
    <t>MAKIMA FOTO</t>
  </si>
  <si>
    <t>DUO BAKUGO SUELTOS AVION</t>
  </si>
  <si>
    <t>GOGETA SS4 ICHIBAN KUJI SUELTO</t>
  </si>
  <si>
    <t xml:space="preserve">YUKITO PELUCHE </t>
  </si>
  <si>
    <t>TRUNKS GT ULTIMATE</t>
  </si>
  <si>
    <t>JESUS BRYAN CALDERON</t>
  </si>
  <si>
    <t>DEKU NENDOROID</t>
  </si>
  <si>
    <t>TOGEPI PELUCHE</t>
  </si>
  <si>
    <t>MOCHILA EEVEE</t>
  </si>
  <si>
    <t>ICHIBAN RANMA 1/2</t>
  </si>
  <si>
    <t>PRESTAMO</t>
  </si>
  <si>
    <t>NARUTO CUERPO AMARILLO KURAMA VIBRATION</t>
  </si>
  <si>
    <t>DEIDARA VIBRATION STARS ROPA AKATSUKI</t>
  </si>
  <si>
    <t>SASUKE BORUTO CON CARTENA MORADA</t>
  </si>
  <si>
    <t>KAKASHI EFFECTREME PODER AZUL</t>
  </si>
  <si>
    <t>SASORI AKATSUKI VIBRATION STARS</t>
  </si>
  <si>
    <t>ROCK LEE VIBRATION STARS</t>
  </si>
  <si>
    <t>SASUKE UCHIHA POP UP PARADE</t>
  </si>
  <si>
    <t>SET X 5 CHAINSAW</t>
  </si>
  <si>
    <t>PELUCHE GATO BLANCO SAILOR MOON</t>
  </si>
  <si>
    <t>YAMATO NIÑA DXF</t>
  </si>
  <si>
    <t>CARTUCHERA ONE PIECE</t>
  </si>
  <si>
    <t>SENKU ISHIGAMI DR STONE</t>
  </si>
  <si>
    <t>GOGETA SS4 DRAGON BALL GT</t>
  </si>
  <si>
    <t>BAKUGO NENDOROID</t>
  </si>
  <si>
    <t>VEGETA BASE SOLID EDGE  WORKS</t>
  </si>
  <si>
    <t>CARDS POKEMON</t>
  </si>
  <si>
    <t>CARDS POKEMON *4</t>
  </si>
  <si>
    <t>VASO VIDRIO ZORO</t>
  </si>
  <si>
    <t>PICHU PELUCHE</t>
  </si>
  <si>
    <t>RIMURU SALTANDO SOBRE SLIME</t>
  </si>
  <si>
    <t>POKEBOLA PELUCHE</t>
  </si>
  <si>
    <t>OLIVA AIZORA D ICHIBAN KUJI BLUE LOCK</t>
  </si>
  <si>
    <t>PIKACHU DURMIENDO</t>
  </si>
  <si>
    <t>CHROLLO EXCOD POSTURA</t>
  </si>
  <si>
    <t>SAE ITOSHI ICHIBAN KUJI PREMIO C+POSTER</t>
  </si>
  <si>
    <t>BACHIRA ICHIBAN A + POSTER + ACRILICOS</t>
  </si>
  <si>
    <t>SET REO POSTER GASHA + ARILICOS</t>
  </si>
  <si>
    <t>SAE ITOSHI ICHIBAN KUJI PREMIO C</t>
  </si>
  <si>
    <t>KANAE DXF</t>
  </si>
  <si>
    <t>HOMBRE ESPADA DXF</t>
  </si>
  <si>
    <t>YUTA RIKKA POP UP PARADE</t>
  </si>
  <si>
    <t>RAM PLAYA PEQUEÑA</t>
  </si>
  <si>
    <t>REM PLAYA PEQUEÑA</t>
  </si>
  <si>
    <t>SET 4 CHOKONOKOS BLUELOCK</t>
  </si>
  <si>
    <t>BOA HANCOOK DXF</t>
  </si>
  <si>
    <t>SENJU HASHIRAMA PANEL SPECTACLE</t>
  </si>
  <si>
    <t>NARUTO CUERPO AMARILLO SALTANDO</t>
  </si>
  <si>
    <t>GAARA VIBRATION STARS</t>
  </si>
  <si>
    <t>MARIN SENTADA PELO RUBIO</t>
  </si>
  <si>
    <t>FRIEREN LUMINASTA PARADA</t>
  </si>
  <si>
    <t xml:space="preserve">PELO ROJO FRIEREN SEGA </t>
  </si>
  <si>
    <t xml:space="preserve">PELO MORADO FRIEREN SEGA </t>
  </si>
  <si>
    <t xml:space="preserve">PELO CELESTE FRIEREN SEGA </t>
  </si>
  <si>
    <t>PELUCHE GATO TOJI</t>
  </si>
  <si>
    <t>BUNNERY</t>
  </si>
  <si>
    <t>PACHIRISU</t>
  </si>
  <si>
    <t>MINCINNO</t>
  </si>
  <si>
    <t>SET MEGAHOUSE NARUTO MINIS 11 PIEZAS</t>
  </si>
  <si>
    <t>GOKU TELEPORT HISTORY BOX</t>
  </si>
  <si>
    <t>CHARMANDER GRANDE</t>
  </si>
  <si>
    <t>SQUIRTLE GRANDE</t>
  </si>
  <si>
    <t>PIKACHU GRANDE</t>
  </si>
  <si>
    <t>GOKU UI BLOOD OF SAYANS</t>
  </si>
  <si>
    <t>TATIANA UZURIAGA</t>
  </si>
  <si>
    <t>SUELTA MUJER DE ROJO CON TRAJE</t>
  </si>
  <si>
    <t>JONATHAN AGUILAR</t>
  </si>
  <si>
    <t>YUTA PELUCHE MEDIANO DUO</t>
  </si>
  <si>
    <t>RIKA PELUCHE MEDIANO DUO</t>
  </si>
  <si>
    <t>DUO MEGUMI TOJI FIGURIZMA</t>
  </si>
  <si>
    <t>CHRISTIAN LLAVE</t>
  </si>
  <si>
    <t>DUO NARUTO SASUKE PUÑITO 20 ANIVERSARIO</t>
  </si>
  <si>
    <t>POPCONERA GOJO</t>
  </si>
  <si>
    <t>JHONATAN CCOICCA</t>
  </si>
  <si>
    <t>ITADORI SEGA PINTOR</t>
  </si>
  <si>
    <t>ISAGI BLUELOCK CAJA BLANCA</t>
  </si>
  <si>
    <t>BAKUGO MINI DESKTOP VERSION</t>
  </si>
  <si>
    <t>GOKU BLACK BASE LEGENDS</t>
  </si>
  <si>
    <t>SASUKE ACRILICO INVOCANDO</t>
  </si>
  <si>
    <t>GOHAN BESTIA ICHIBAN A</t>
  </si>
  <si>
    <t>LUCCI CON SU PAJARO</t>
  </si>
  <si>
    <t>POWER PEQUEÑA ADV</t>
  </si>
  <si>
    <t>NOBARA TINY MELTIES</t>
  </si>
  <si>
    <t>GOKU ULTRA INSTINTO CREATOR X CREATOR</t>
  </si>
  <si>
    <t>LUFFY GEAR 5 GRANDISTA *3</t>
  </si>
  <si>
    <t>LUFFY GEAR 5 GRANDISTA</t>
  </si>
  <si>
    <t>SET DORMILONES JJK</t>
  </si>
  <si>
    <t>TOJI PARADO CHIBY</t>
  </si>
  <si>
    <t>TRIO NENDOROID EMILIA RAM REM</t>
  </si>
  <si>
    <t>KIZARU HSCF</t>
  </si>
  <si>
    <t>KEVIN PEREZ</t>
  </si>
  <si>
    <t>HAWKS BANPRESTO</t>
  </si>
  <si>
    <t>JENIPHER SANTIAGO</t>
  </si>
  <si>
    <t>GOHAN BESTIA CLEARISE</t>
  </si>
  <si>
    <t>SUPER SONICO PECHUGONA</t>
  </si>
  <si>
    <t>JEAN CASTILLO CONDORI</t>
  </si>
  <si>
    <t>GASHA POKEMON 1</t>
  </si>
  <si>
    <t>VASO PLASTICO Y ACRILICO</t>
  </si>
  <si>
    <t>CARLOS ENRIQUE RIVERO</t>
  </si>
  <si>
    <t>ADVERGE AKI</t>
  </si>
  <si>
    <t>ABDIAS QUINTANILLA</t>
  </si>
  <si>
    <t>GOTENKS SOLID EDGE</t>
  </si>
  <si>
    <t>WCF LUFFY GEAR 5</t>
  </si>
  <si>
    <t>ALEJANDRO CRUZ</t>
  </si>
  <si>
    <t>CHUNTARO PLUFFY LUFFY</t>
  </si>
  <si>
    <t>DUO RATONES UZUI</t>
  </si>
  <si>
    <t>JEFE KIMETSU DXF</t>
  </si>
  <si>
    <t>MARIN  LEVANTANDOSE BIKINI</t>
  </si>
  <si>
    <t>MARIN COLEGIALA SENTADA SONRIENDO</t>
  </si>
  <si>
    <t>MARIN COLEGIALA PARADA CON MANO ARRIBA</t>
  </si>
  <si>
    <t>POWER LUMINASTA SEGA</t>
  </si>
  <si>
    <t>TOMIOKA VIBRATION STARS</t>
  </si>
  <si>
    <t>ICHIGO MAXIMATIC</t>
  </si>
  <si>
    <t>VEGETA SS4 SH FIGUARTS</t>
  </si>
  <si>
    <t>DR STONE FIGURA</t>
  </si>
  <si>
    <t>FIGURAS MINI POKEMON * 13</t>
  </si>
  <si>
    <t>GASHA POKEMON 2</t>
  </si>
  <si>
    <t>MIYA TIKTOK</t>
  </si>
  <si>
    <t>POKEMON GASHAPON X 1</t>
  </si>
  <si>
    <t>BAKUGO ICHIBAN KUJI SUELTO</t>
  </si>
  <si>
    <t>MIDORIYA BANPRESTO</t>
  </si>
  <si>
    <t>CRISTHIAN ALCOS</t>
  </si>
  <si>
    <t>RENJI ICHIBAN KUJI PREMIO B</t>
  </si>
  <si>
    <t>GRIMMJOW ICHIBAN KUJI PREMIO C</t>
  </si>
  <si>
    <t>RUKIA ICHIBAN KUJI PREMIO C</t>
  </si>
  <si>
    <t>AIZEN ICHIBAN KUJI B</t>
  </si>
  <si>
    <t>ICHIGO ICHIBAN LAST ONE</t>
  </si>
  <si>
    <t xml:space="preserve">ICHIBAN KUJI DEMONIO </t>
  </si>
  <si>
    <t>TRIO MOUNSTRUOS EGIPCIOS</t>
  </si>
  <si>
    <t>GETO ICHIBAN KUJI</t>
  </si>
  <si>
    <t>JAMIR GOMEZ</t>
  </si>
  <si>
    <t>ICHIBAN SHINGEKI</t>
  </si>
  <si>
    <t>LAST ONE BLUE LOCK NAGI</t>
  </si>
  <si>
    <t>GOHAN SS2 SOLID EDGE AZUL</t>
  </si>
  <si>
    <t>SOFIA YAURI</t>
  </si>
  <si>
    <t>GATITA ANYA</t>
  </si>
  <si>
    <t>PELUCHE YUTA</t>
  </si>
  <si>
    <t>PELUCHE MITSURI</t>
  </si>
  <si>
    <t>JUNIOR JAIR MONTOYA</t>
  </si>
  <si>
    <t>DUO ESPADAS</t>
  </si>
  <si>
    <t>GUNDAM MODEL KIT AZUL</t>
  </si>
  <si>
    <t>SUBASTA PENDIENTE</t>
  </si>
  <si>
    <t>FRIEREN SENTADA STOCK</t>
  </si>
  <si>
    <t>DETECTIVE CONAN X3</t>
  </si>
  <si>
    <t>MIHAWK DXF SPECIAL</t>
  </si>
  <si>
    <t>CUARTETO CHOKONOCOS</t>
  </si>
  <si>
    <t>SAKAMOTO DAYS CAJA VERDE</t>
  </si>
  <si>
    <t>FRUTAS ONE PIECE * 3</t>
  </si>
  <si>
    <t>WCF CHOPPER</t>
  </si>
  <si>
    <t>OKARUM DAN DA DAN</t>
  </si>
  <si>
    <t>WINNIE THE POOH</t>
  </si>
  <si>
    <t>DORMILON JJK</t>
  </si>
  <si>
    <t>WAIFU RELAX TIME</t>
  </si>
  <si>
    <t>2 LAMPARAS</t>
  </si>
  <si>
    <t>2 LLAVEROS SANRIO</t>
  </si>
  <si>
    <t>BOLSA ROJA</t>
  </si>
  <si>
    <t>CARTUCHERA SANRIO</t>
  </si>
  <si>
    <t>BOLSA  HK</t>
  </si>
  <si>
    <t>PALITOS</t>
  </si>
  <si>
    <t>BOLSA ZIPLOCK</t>
  </si>
  <si>
    <t>GASHAPON TUXEDOSAM</t>
  </si>
  <si>
    <t>2 BOLITAS CHOCOLATE</t>
  </si>
  <si>
    <t>2 GOMITAS</t>
  </si>
  <si>
    <t>3 KEKE CHOCOLATE</t>
  </si>
  <si>
    <t>BOLSA NEGRA HK</t>
  </si>
  <si>
    <t>PELUCHE KITTY SANRIO ORIGINAL</t>
  </si>
  <si>
    <t>MEDIAS ZENITSU</t>
  </si>
  <si>
    <t>REM ALAS ADA</t>
  </si>
  <si>
    <t>NARUTO VS SPECIAL VERSION</t>
  </si>
  <si>
    <t>SASUKE VS SPECIAL VERSION</t>
  </si>
  <si>
    <t>SHIGARAKI DESKTOP VERSION</t>
  </si>
  <si>
    <t>QUINTILLIZA MESERA</t>
  </si>
  <si>
    <t>CHOPPER PELUCHIN</t>
  </si>
  <si>
    <t>ESCENA GOLD ROGER VS BARBA RUBIA</t>
  </si>
  <si>
    <t xml:space="preserve">BROLY ICHIBAN </t>
  </si>
  <si>
    <t>FELIX QUISPE</t>
  </si>
  <si>
    <t>TOJI SENTADO</t>
  </si>
  <si>
    <t>CHRISTIAN JESUS BARREDO DIAZ</t>
  </si>
  <si>
    <t>BLUELOCK CABELLO NARANJA</t>
  </si>
  <si>
    <t>CABEZONES JJK X5</t>
  </si>
  <si>
    <t>UZUI CAJA AMARILLA</t>
  </si>
  <si>
    <t>RAPHAEL KIMETSU</t>
  </si>
  <si>
    <t>LAMPARA HP</t>
  </si>
  <si>
    <t>SET HP</t>
  </si>
  <si>
    <t>PERFUME NATURA ENZO</t>
  </si>
  <si>
    <t>LAW SIN POLO KOA</t>
  </si>
  <si>
    <t>BERTHA PAULINO</t>
  </si>
  <si>
    <t>EVA 02 ICHIBAN KUJI</t>
  </si>
  <si>
    <t>BROLY SS4 ICHIBAN</t>
  </si>
  <si>
    <t>C CIVICO</t>
  </si>
  <si>
    <t>UZUI VIBRATION STARS LIMITED CAJA BLANCA</t>
  </si>
  <si>
    <t>GETO PARADITO CHIBI</t>
  </si>
  <si>
    <t>OBITO VIBRATION STARS MASCARA</t>
  </si>
  <si>
    <t>LUFFY ICHIBAN LUNAR CAMINANDO + LLAVERO</t>
  </si>
  <si>
    <t>NENDOROID BAKUGO</t>
  </si>
  <si>
    <t>NENDOROID DEKU</t>
  </si>
  <si>
    <t>SET WCF ONE PIECE VOL 10</t>
  </si>
  <si>
    <t>SET WCF ONE PIECE VOL 8</t>
  </si>
  <si>
    <t>SET ONE PUNCH MAN MINIS</t>
  </si>
  <si>
    <t>SET X 5 NARUTO CHIBI MASTER VOLUMEN 2</t>
  </si>
  <si>
    <t>FREEZER 2DA FORMA SH FIGUARTS</t>
  </si>
  <si>
    <t>PELUCHE NOVIA STITCH</t>
  </si>
  <si>
    <t>BRENDA PEREZ RUIZ</t>
  </si>
  <si>
    <t xml:space="preserve">SASUKE GRANDISTA  </t>
  </si>
  <si>
    <t>SET ACRILICOS NARUTO</t>
  </si>
  <si>
    <t>3 PELUCHES KIMETSU DEMON SLAYER</t>
  </si>
  <si>
    <t>DUO DAKI Y GYUTARO DXF SPECIAL</t>
  </si>
  <si>
    <t>TENGEN UZUI MAXIMATIC</t>
  </si>
  <si>
    <t>SET PEPSI STAR WARS</t>
  </si>
  <si>
    <t>GATITOS ANYA * 5</t>
  </si>
  <si>
    <t>CHOPPER PEPUCHE</t>
  </si>
  <si>
    <t>FOLDER DIABLO</t>
  </si>
  <si>
    <t>JUEGO ELDEN RING</t>
  </si>
  <si>
    <t>MADARA VIBRATION STARS</t>
  </si>
  <si>
    <t>SET HG PILAF PREMIUM</t>
  </si>
  <si>
    <t>CRISTOPHER RIVERA</t>
  </si>
  <si>
    <t>SASUKE VIBRATION PODER</t>
  </si>
  <si>
    <t>YANNIKE CONDORI</t>
  </si>
  <si>
    <t>DUO VEGETA BARDOCK</t>
  </si>
  <si>
    <t>MARCO DIAZ</t>
  </si>
  <si>
    <t>BARDOCK CREATOR X CREATOR</t>
  </si>
  <si>
    <t>YAMCHA GX MATERIA</t>
  </si>
  <si>
    <t>KRILIN GX MATERIA</t>
  </si>
  <si>
    <t>3 VASOS VIDRIO</t>
  </si>
  <si>
    <t>NEZUKO VIBRATION STAR PLUS</t>
  </si>
  <si>
    <t>EMILIO LUMBRE</t>
  </si>
  <si>
    <t>BROLY FIGUARTS ZERO</t>
  </si>
  <si>
    <t>SET DIGIMON * 6</t>
  </si>
  <si>
    <t>BI CUTE BUNNIES MIKU BABYDOLL</t>
  </si>
  <si>
    <t>BROLY ICHIBAN KUJI</t>
  </si>
  <si>
    <t>INOSUKE DXF ESPADA</t>
  </si>
  <si>
    <t>MAESTRO TANJITO DXF</t>
  </si>
  <si>
    <t>NEZUKO DXF PARADA</t>
  </si>
  <si>
    <t>ZENITSU DXF OJOS CERRADOS</t>
  </si>
  <si>
    <t>KUZAN KING OF ARTIST</t>
  </si>
  <si>
    <t>DAN DA DAN MOMO</t>
  </si>
  <si>
    <t>HUNTER X HUNTER KITE</t>
  </si>
  <si>
    <t>HUNTER X HUNTER MACHI</t>
  </si>
  <si>
    <t>GOJU LUMINASTA</t>
  </si>
  <si>
    <t>CLINTON CORDOVA</t>
  </si>
  <si>
    <t>GETO FIGURIZMA</t>
  </si>
  <si>
    <t>7 ACRILICOS</t>
  </si>
  <si>
    <t>DORMILON YUTA</t>
  </si>
  <si>
    <t>SARAI TICONA</t>
  </si>
  <si>
    <t>DORMILON MASHLE</t>
  </si>
  <si>
    <t>ADVERGE CHAINSAW</t>
  </si>
  <si>
    <t>TOJI FIGURIZMA SOLO</t>
  </si>
  <si>
    <t>JHONATAN MAMANI H</t>
  </si>
  <si>
    <t>CHACHAMARU PLUFFY</t>
  </si>
  <si>
    <t>KID BU GX MATERIA</t>
  </si>
  <si>
    <t>VEGITO GX MATERIA</t>
  </si>
  <si>
    <t>LUCARIO PELUCHE GRANDE</t>
  </si>
  <si>
    <t>HAROLD HARRY MEDINA</t>
  </si>
  <si>
    <t>DODORIA ICHIBANSHO</t>
  </si>
  <si>
    <t>GOJO FIGURIZMA</t>
  </si>
  <si>
    <t>RENGOKU DXF BANPRESTO</t>
  </si>
  <si>
    <t>SAKAMOTO DAYS FLACO CAJA VERDE</t>
  </si>
  <si>
    <t>RIMURU BREAK TIME</t>
  </si>
  <si>
    <t>AGUMON SOFVIMATE</t>
  </si>
  <si>
    <t>GATOMON DIGIMON</t>
  </si>
  <si>
    <t>ULTIMO MODEL KIT DIGIMON</t>
  </si>
  <si>
    <t>PELUCHE NANAMI Y YUTA</t>
  </si>
  <si>
    <t>PELUCHE PANDA JJK</t>
  </si>
  <si>
    <t>VASO VIDRIO LUFFY</t>
  </si>
  <si>
    <t>GOKU SOMBRILLA ICHIBAN KUJI</t>
  </si>
  <si>
    <t>GOHAN SALIENDO NAVE ICHIBAN KUJI</t>
  </si>
  <si>
    <t>GOKU FREEZER MIRADA LAST ONE ICHIBAN</t>
  </si>
  <si>
    <t>VEGETOO POSTURA PODER</t>
  </si>
  <si>
    <t>ICHIGO KUROSAKI SOLID AND SOULS</t>
  </si>
  <si>
    <t>YAMAMOTO SOLID AND SOULS</t>
  </si>
  <si>
    <t>HITSUGAYA SOLID AND SOULS</t>
  </si>
  <si>
    <t>URYU ISHIDA</t>
  </si>
  <si>
    <t xml:space="preserve">FENG </t>
  </si>
  <si>
    <t>KUCHIKI</t>
  </si>
  <si>
    <t>DUO CANTANTES MUSICAL MIKU</t>
  </si>
  <si>
    <t>ALMOHADAS SOUTH PARK MQDPERU</t>
  </si>
  <si>
    <t xml:space="preserve">ICHIGO ICHIBAN PREMIO A </t>
  </si>
  <si>
    <t>AMULETO ZENITSU</t>
  </si>
  <si>
    <t>RIMURU VELDORA BREAK TIME</t>
  </si>
  <si>
    <t>VELDORA BREAK TIME</t>
  </si>
  <si>
    <t>GOKY KUJI E</t>
  </si>
  <si>
    <t>ALBERT ANTHONY</t>
  </si>
  <si>
    <t>GRANDISTA GOKU ULTRA INSTINTO</t>
  </si>
  <si>
    <t>GOKU KAME HAME HA SUELTO</t>
  </si>
  <si>
    <t>DUO GOKU FREZZER BATALLA ICHIBANSHO</t>
  </si>
  <si>
    <t>LUZMILA HERNANDEZ - ANGELES TIKTOK</t>
  </si>
  <si>
    <t>VEGETA MASTER STAR PIECE</t>
  </si>
  <si>
    <t>GOKU YADRAT ICHIBAN KUJI</t>
  </si>
  <si>
    <t>NEZUKO MODEL KIT</t>
  </si>
  <si>
    <t>SET ZENITSU WCF</t>
  </si>
  <si>
    <t>LLAVERO NAGI BOLSA</t>
  </si>
  <si>
    <t>GOKU BLUE ICHIBAN KUJI</t>
  </si>
  <si>
    <t>TOKITO XROSS LINK</t>
  </si>
  <si>
    <t>OBANAI XROSS LINK</t>
  </si>
  <si>
    <t>GOJO CABEZON</t>
  </si>
  <si>
    <t>ELISA ODALIS CHOQUICOTA</t>
  </si>
  <si>
    <t>YUTA MAXIMATIC</t>
  </si>
  <si>
    <t>SET PLAY DMC</t>
  </si>
  <si>
    <t>GOHAN GRANDISTA CAPA PIKORO</t>
  </si>
  <si>
    <t>HIMIKO TOGA NENDOROID</t>
  </si>
  <si>
    <t>KUZAN KING OF ARTIST X 2</t>
  </si>
  <si>
    <t>ICHIBAN LAS ONE PERSONAJE NEGRO PELO BLANCO</t>
  </si>
  <si>
    <t>ICHIBAN PREMIO B Uryū Ishida</t>
  </si>
  <si>
    <t xml:space="preserve">ICHIGO ICHIBAN 20TH </t>
  </si>
  <si>
    <t>PELUCHE BAKUGO 1</t>
  </si>
  <si>
    <t>PELUCHE BAKUGO 3</t>
  </si>
  <si>
    <t>PELUCHE BAKUGO 4</t>
  </si>
  <si>
    <t>TRIO XROSS LINK OBANAI TOKITO SANEMI</t>
  </si>
  <si>
    <t>GOJO FLOTANDO SEGA CAJA ROJA</t>
  </si>
  <si>
    <t>INOSUKE GRANDISTA</t>
  </si>
  <si>
    <t>DAVID DEYVIS ROBLES MEZA</t>
  </si>
  <si>
    <t>DORMILONES MAS LLAVEROP</t>
  </si>
  <si>
    <t>SAKAMOTO GORDO</t>
  </si>
  <si>
    <t>DUO RECORD OF RAGNAROCK</t>
  </si>
  <si>
    <t>NANAMI JJK</t>
  </si>
  <si>
    <t>LUFFY GRANDISTA</t>
  </si>
  <si>
    <t>AQUA RUBIA</t>
  </si>
  <si>
    <t>JULIO</t>
  </si>
  <si>
    <t>AQUA CELESTE</t>
  </si>
  <si>
    <t>SE DIO DE STOCK</t>
  </si>
  <si>
    <t>GOJO KOA GAFAS</t>
  </si>
  <si>
    <t>MARIN DIABLA ROJA</t>
  </si>
  <si>
    <t>CAJA</t>
  </si>
  <si>
    <t>MAGNETON YU GI OH</t>
  </si>
  <si>
    <t>BRUJA ESCARLATA</t>
  </si>
  <si>
    <t>ZABUZA VIBRATION STARS</t>
  </si>
  <si>
    <t>KIZAME VIBRATION STARS</t>
  </si>
  <si>
    <t>GOJO PLAYERO PARADO</t>
  </si>
  <si>
    <t>GETO PLAYERO SENTADO</t>
  </si>
  <si>
    <t>TRIO RELAX TIME RANMA 1/2</t>
  </si>
  <si>
    <t>LLEGO PERU AG</t>
  </si>
  <si>
    <t>DUO RELAX TIME RANMA 1/2</t>
  </si>
  <si>
    <t>SHAMPOO RELAX TIME RANMA 1/2</t>
  </si>
  <si>
    <t>CHUN LI PREMIO A AZUL</t>
  </si>
  <si>
    <t>DATE ALIVE SENTADA RUBIA</t>
  </si>
  <si>
    <t>DATE ALIVE PISTOLA ATAQUE MASTERPIECE</t>
  </si>
  <si>
    <t>ALBEDO ALAS CINTURA</t>
  </si>
  <si>
    <t xml:space="preserve">REY OVERLORD </t>
  </si>
  <si>
    <t>RAPHTALIA BI CUTE</t>
  </si>
  <si>
    <t>GOJO FLOTANDO FIGURIZMA</t>
  </si>
  <si>
    <t>GOJO DEDO ROSTRO FIGURIZMA</t>
  </si>
  <si>
    <t>TOJI FIGURIZMA</t>
  </si>
  <si>
    <t>MEGUMI FIGURIZMA</t>
  </si>
  <si>
    <t>SABO SIN POLO</t>
  </si>
  <si>
    <t>MARINA ROJO CAJA PEQUEÑA</t>
  </si>
  <si>
    <t>ANTONY ANSELMO REYNA</t>
  </si>
  <si>
    <t>PANEL SPECTRE NARUTO - SASUKE</t>
  </si>
  <si>
    <t>JIMMY ROJAS</t>
  </si>
  <si>
    <t>GOJO ICHIBAN ROPA AZUL LAST ONE</t>
  </si>
  <si>
    <t>CACHUDO SLIME</t>
  </si>
  <si>
    <t>ERICK ORE</t>
  </si>
  <si>
    <t>ICHIBAN KEMPACHI BLEACH</t>
  </si>
  <si>
    <t>BLANCO SLIME</t>
  </si>
  <si>
    <t>DIORAMATIC</t>
  </si>
  <si>
    <t>GERALDO PEÑALOZA</t>
  </si>
  <si>
    <t>RIVERA</t>
  </si>
  <si>
    <t>GASHAPON SUELTO BAKUGO</t>
  </si>
  <si>
    <t>BARDOCK ICHIBAN SUELTO CAJA</t>
  </si>
  <si>
    <t xml:space="preserve">TRIO ZOIDS CAJA </t>
  </si>
  <si>
    <t>SET 4 MEDABOTS</t>
  </si>
  <si>
    <t>DUO YUGI OH + DRAGON OJOZ AZULES</t>
  </si>
  <si>
    <t>SET X 3 CABALLEROS DEL ZODIACO</t>
  </si>
  <si>
    <t>JIREN ICHIBAN KUJI</t>
  </si>
  <si>
    <t>CELL FULL POWER ICHIBAN</t>
  </si>
  <si>
    <t>DIABLO ICHIBAN + CUADRO Y LLAVERO</t>
  </si>
  <si>
    <t>SUPERMAN MY HERO ICHIBAN</t>
  </si>
  <si>
    <t>GOHAN CAPA ICHIBAN OPEN CON CAJA</t>
  </si>
  <si>
    <t>5 GASHAPONES</t>
  </si>
  <si>
    <t>ENDEAVOR SUELTO ICHIBAN</t>
  </si>
  <si>
    <t>GRANDISTA TANJIRO + ZENITSU</t>
  </si>
  <si>
    <t>DUO PANEL SPECTACLE NARUTO SASUKE</t>
  </si>
  <si>
    <t>HAWKS ICHIBAN KUJI SUELTO</t>
  </si>
  <si>
    <t>EVA ICHIBAN KUJI LAST ONE</t>
  </si>
  <si>
    <t>DABI ICHIBAN SUELTO</t>
  </si>
  <si>
    <t>STICKERS JJK</t>
  </si>
  <si>
    <t>TENGEN UZUI LAYER ICHIBAN</t>
  </si>
  <si>
    <t>KANAO LAYER ICHIBAN</t>
  </si>
  <si>
    <t>SHINOBU LAYER ICHIBAN</t>
  </si>
  <si>
    <t>DAKI ICHIBAN PELO BLANCO</t>
  </si>
  <si>
    <t>GYUTARO ICHIBAN CARTEL</t>
  </si>
  <si>
    <t>PASTA DENTAL *2</t>
  </si>
  <si>
    <t>YOGURT</t>
  </si>
  <si>
    <t>SAKURA NARUTO PEQUEÑA</t>
  </si>
  <si>
    <t>TRIO NARUTO</t>
  </si>
  <si>
    <t>DUO NARUTO PEQUEÑO</t>
  </si>
  <si>
    <t>MIDORIYA PARADO</t>
  </si>
  <si>
    <t>ROBERTO M LOPEZ</t>
  </si>
  <si>
    <t>BAKUDOG</t>
  </si>
  <si>
    <t>CALATA GLITTER PELO CELESTA BIKINI AMARILLO</t>
  </si>
  <si>
    <t>VIEJITO PANEL SPECTACLE</t>
  </si>
  <si>
    <t>LUFFY CAPA SUELTO</t>
  </si>
  <si>
    <t>OBITO VS ADULTO</t>
  </si>
  <si>
    <t>SHIGARAKI PARADO</t>
  </si>
  <si>
    <t>SET X 5 NARUTO</t>
  </si>
  <si>
    <t>MY HERO VENDAS ICHIBAN SUELTO</t>
  </si>
  <si>
    <t>SET X 4 HOKAGES NARUTO</t>
  </si>
  <si>
    <t>UNOHONA BANPRESTO BLEACH</t>
  </si>
  <si>
    <t>ADVERGE MOTOCIERRA</t>
  </si>
  <si>
    <t>ISRAEL ELIAS ARPE</t>
  </si>
  <si>
    <t>SANDRA VALIENTE</t>
  </si>
  <si>
    <t>DIORAMATIC AIZAWA</t>
  </si>
  <si>
    <t>REM WAIFU PIERNAS LEVANTADAS</t>
  </si>
  <si>
    <t>MIDORIYA NENDOROID</t>
  </si>
  <si>
    <t>2 CHROLLO SENTADO</t>
  </si>
  <si>
    <t>2 HISOKA SENTADO</t>
  </si>
  <si>
    <t>MODEL KIT ULTRAMAN</t>
  </si>
  <si>
    <t>3 POKEMONES</t>
  </si>
  <si>
    <t>BAKUGO NENDOROID VERSION 2</t>
  </si>
  <si>
    <t>BARCOS X 5 ONE PIECE</t>
  </si>
  <si>
    <t>KYKYO POP UP</t>
  </si>
  <si>
    <t>DEIDARA POSTURA VS</t>
  </si>
  <si>
    <t>HAWKS POP UP</t>
  </si>
  <si>
    <t>LOID POSTURA BRAZO</t>
  </si>
  <si>
    <t>SHOTO TODOROKI NENDOROID</t>
  </si>
  <si>
    <t>SDW GUNDAM HEROES DELTA KAI</t>
  </si>
  <si>
    <t>RISING FREEDOM GUNDAM MODEL KIT</t>
  </si>
  <si>
    <t>MODEL KIT BARCO BOA</t>
  </si>
  <si>
    <t xml:space="preserve">RETSU BLEACH </t>
  </si>
  <si>
    <t>MINATO PANEL SPECTACLE</t>
  </si>
  <si>
    <t>GAMABUNTA BANPRESTO</t>
  </si>
  <si>
    <t>POKEMON X 3 SUELTOS</t>
  </si>
  <si>
    <t>BAKUGO ROPA BRILLANTE POSTURA</t>
  </si>
  <si>
    <t xml:space="preserve">BAKUGO ICHIBAN CAJA PREMIO B </t>
  </si>
  <si>
    <t>BAKUGO ICHIBAN B MANO DISPARANDO</t>
  </si>
  <si>
    <t>SHIGARAKI NENDOROID</t>
  </si>
  <si>
    <t>CHRONICLE ONE PIECE MUJER ROSADO</t>
  </si>
  <si>
    <t>DIABLO NENDOROID</t>
  </si>
  <si>
    <t>DUO PELUCHES CANTANTES JJK</t>
  </si>
  <si>
    <t>DR STONE BLANCO</t>
  </si>
  <si>
    <t>NIER AUTOMATA</t>
  </si>
  <si>
    <t>SET 12 LABUBUS *2</t>
  </si>
  <si>
    <t>ELEVEN Q POSKET 1</t>
  </si>
  <si>
    <t>NILLER OBANDO CHUQUIRUNA</t>
  </si>
  <si>
    <t>PELUCHE SHOTO TODOROKI</t>
  </si>
  <si>
    <t>GOJO ICHIBAN PREMIO D</t>
  </si>
  <si>
    <t>FRANKLIN ROSALES</t>
  </si>
  <si>
    <t>GOJO CHIBI</t>
  </si>
  <si>
    <t>DUO HUNTER X HUNTER SENTADOS</t>
  </si>
  <si>
    <t>KELVIN MIRANDA PUMACAYO</t>
  </si>
  <si>
    <t>GENOS ONE PUNCH MAN</t>
  </si>
  <si>
    <t>JOSETH MEJIA M</t>
  </si>
  <si>
    <t>GENGAR PELUCHE</t>
  </si>
  <si>
    <t>BARCO QUEEN MAMA MODEL KIT</t>
  </si>
  <si>
    <t>COOLER FIGUARTS ZERO</t>
  </si>
  <si>
    <t>SEBASTIAN LLANOS</t>
  </si>
  <si>
    <t>ENVIADO 16/07</t>
  </si>
  <si>
    <t>WAIFU PARADA PELO BLANCO</t>
  </si>
  <si>
    <t>REM SENTADA</t>
  </si>
  <si>
    <t>PAIN VIBRATION STARS</t>
  </si>
  <si>
    <t>MOUNSTRUO AZUL YU GI OH</t>
  </si>
  <si>
    <t>KITE HUNTER X HUNTER</t>
  </si>
  <si>
    <t>MACHI HUNTER X HUNTER</t>
  </si>
  <si>
    <t>GOKU FIGUARTS ZERO</t>
  </si>
  <si>
    <t>LIGER ZERO MARKING PLUS</t>
  </si>
  <si>
    <t>KNUCLE KONG</t>
  </si>
  <si>
    <t>CANNON BULL</t>
  </si>
  <si>
    <t>PANZER UNIT</t>
  </si>
  <si>
    <t>BEAST LIGER MAGAI</t>
  </si>
  <si>
    <t>SONIC BIRD LAEUS</t>
  </si>
  <si>
    <t>SAGITARIO MYTH CLOTH TAMASHI</t>
  </si>
  <si>
    <t xml:space="preserve">EXODIA POP UP L </t>
  </si>
  <si>
    <t>USOOP 15 ANIVERSARIO</t>
  </si>
  <si>
    <t>FLOR ELIZABETH OBREGO - ALISON USOOP</t>
  </si>
  <si>
    <t>DENJI POP UP</t>
  </si>
  <si>
    <t>CRISTIAN AYRE L</t>
  </si>
  <si>
    <t xml:space="preserve">SOLANIM </t>
  </si>
  <si>
    <t>DEMOGORGON ICHIBAN</t>
  </si>
  <si>
    <t>NEZUKO VB DIABLA</t>
  </si>
  <si>
    <t>DUO ACRILICOS NAGI TORNASOL</t>
  </si>
  <si>
    <t>1 CHROLLO SENTADO</t>
  </si>
  <si>
    <t>1 HISOKA SENTADO</t>
  </si>
  <si>
    <t>3 KURAPIKA SENTADO</t>
  </si>
  <si>
    <t>LUFFY GEAR 4 KUJI SUELTO OPEN</t>
  </si>
  <si>
    <t>TOKITO SUELTO ICHIBAN</t>
  </si>
  <si>
    <t>MAX MIGUEL ZAVALA</t>
  </si>
  <si>
    <t>QUINTILLZA PEQUEÑA</t>
  </si>
  <si>
    <t>SET POKEMON MODEL KIT</t>
  </si>
  <si>
    <t>HAWKS Y MUJER CHIBI CAJITA</t>
  </si>
  <si>
    <t>LEYLIMAR ORTECHO</t>
  </si>
  <si>
    <t>CARLOS CHINO A</t>
  </si>
  <si>
    <t>RUBI Z BACA</t>
  </si>
  <si>
    <t>GUNDAM CON BASE MODEL KIT</t>
  </si>
  <si>
    <t>LUPUS REX BARBATOS</t>
  </si>
  <si>
    <t>PIRATA DOCTOR STONE</t>
  </si>
  <si>
    <t>ARMABLE GENGAR</t>
  </si>
  <si>
    <t>ARMABLE PIKACHU</t>
  </si>
  <si>
    <t>SET NARUTO X 5</t>
  </si>
  <si>
    <t>KENYO TORRES</t>
  </si>
  <si>
    <t>SUELTOS KIMETSU NO YAIBA</t>
  </si>
  <si>
    <t>ELEVEN Q POSKET 2</t>
  </si>
  <si>
    <t>ELEVEN Q POSKET 3</t>
  </si>
  <si>
    <t>DUO KURAMAS</t>
  </si>
  <si>
    <t>GUY SENSEI CAJA BLANCA</t>
  </si>
  <si>
    <t xml:space="preserve">JIRAIYA CAJA BLANCA </t>
  </si>
  <si>
    <t>KURAMA COLOR CLARO</t>
  </si>
  <si>
    <t>BAKUDOG PLUFFY LUFFY</t>
  </si>
  <si>
    <t>GOGETA BLISTER</t>
  </si>
  <si>
    <t>GOKU SS4 BLISTER</t>
  </si>
  <si>
    <t>GOKU NIÑO SSJ BLISTER</t>
  </si>
  <si>
    <t>VEGETA SS4 BLISTER</t>
  </si>
  <si>
    <t>SHENG LONG BLISTER ROJO</t>
  </si>
  <si>
    <t>ACRILICOS X3 GT</t>
  </si>
  <si>
    <t>BROLY POP GIGANTE</t>
  </si>
  <si>
    <t>SET NARUTO X 5 V2</t>
  </si>
  <si>
    <t>SHOTO DIORAMATIC</t>
  </si>
  <si>
    <t>MINA ASHIDO PINKY MY HERO</t>
  </si>
  <si>
    <t>SHOTA AIZAWA MY HERO</t>
  </si>
  <si>
    <t>MOMO MY HERO</t>
  </si>
  <si>
    <t>NEJIRE HADO MY HERO</t>
  </si>
  <si>
    <t>SASUKE POSEIDO VS</t>
  </si>
  <si>
    <t>KOBY DXF OP</t>
  </si>
  <si>
    <t>DUO BREAK TIME SLIME</t>
  </si>
  <si>
    <t>NENDOROID YU GI OH CABEZA BLANCA</t>
  </si>
  <si>
    <t>SUMMONED SKULL YU GI OH</t>
  </si>
  <si>
    <t>YU GI OH QPOSKET 1</t>
  </si>
  <si>
    <t>YU GI OH QPOSKET 2</t>
  </si>
  <si>
    <t>MIKU QPOSKET</t>
  </si>
  <si>
    <t>ANDROIDE 18 QPOSKET</t>
  </si>
  <si>
    <t>ZETO KAIBA QPOSKET</t>
  </si>
  <si>
    <t>BUGY PEQUEÑO DXF</t>
  </si>
  <si>
    <t>SHANKS PEQUEÑO DXF</t>
  </si>
  <si>
    <t>SPIDERMAN QPOSKET</t>
  </si>
  <si>
    <t>HARLEY QUIN ROPA ROSADA QPOSKET</t>
  </si>
  <si>
    <t>BATMAN QPOSKET</t>
  </si>
  <si>
    <t>DEADPOOL QPOSKET</t>
  </si>
  <si>
    <t>LOKI QPOSKET</t>
  </si>
  <si>
    <t>SUPERMAN QPOSKET</t>
  </si>
  <si>
    <t>ETERNAL SAILOR GLITTER GLAMOUR</t>
  </si>
  <si>
    <t>HARLEY QUIN DORADA QPOSKET</t>
  </si>
  <si>
    <t>DUO MAGO Y MAGA OSCURA</t>
  </si>
  <si>
    <t>GOGETA POSE</t>
  </si>
  <si>
    <t>DUO DR STONE</t>
  </si>
  <si>
    <t>KITA SHINSUKE</t>
  </si>
  <si>
    <t>PAOLA OBANDO FLOR - MARIANA</t>
  </si>
  <si>
    <t>1 VASO GOKU ROSE</t>
  </si>
  <si>
    <t>1 QPOSKET SHOTO TODOROKI</t>
  </si>
  <si>
    <t>RANMA SUELTA QPOSKET</t>
  </si>
  <si>
    <t>NICO ROBIN PEQUEÑA</t>
  </si>
  <si>
    <t>ICHIBAN PREMIO D BLUE LOCK AIKU</t>
  </si>
  <si>
    <t>REM SUELTA</t>
  </si>
  <si>
    <t>BRISSA GUTIERREZ</t>
  </si>
  <si>
    <t>PELUCHE MOTOSIERRA</t>
  </si>
  <si>
    <t>NIAM ARKNIGHT</t>
  </si>
  <si>
    <t>GOJO MANO LUMINASTA AGOSTO</t>
  </si>
  <si>
    <t>AKAZA FIGUARTS MINI</t>
  </si>
  <si>
    <t>AKESSANDRO RAMIREZ M</t>
  </si>
  <si>
    <t>3 HXH SENTADO</t>
  </si>
  <si>
    <t>BAKUGO BREAK TIME</t>
  </si>
  <si>
    <t>HIMIKO TOGA POSE</t>
  </si>
  <si>
    <t>SAILOR MOON QPOSKET BLANCA</t>
  </si>
  <si>
    <t>RUBIA SAILOR MOON OPEN</t>
  </si>
  <si>
    <t>LLEGO PERU ST</t>
  </si>
  <si>
    <t>PELO VERDE SAILOR MOON OPEN</t>
  </si>
  <si>
    <t>SAILOR QPOSKET PELO NEGRO</t>
  </si>
  <si>
    <t>MASCOTA SAILOR MOON</t>
  </si>
  <si>
    <t>SAKURA CARD VESTIDO ROSADO</t>
  </si>
  <si>
    <t>llego peru</t>
  </si>
  <si>
    <t>SAKURA CARD VESTIDO BLANCO</t>
  </si>
  <si>
    <t>SAILOR MOON QPOSKET RUBIA</t>
  </si>
  <si>
    <t>QPOSKET SAILOR MOON SET X6</t>
  </si>
  <si>
    <t>TRUNKS FULL POWER REPLICA A1</t>
  </si>
  <si>
    <t>SET TALES OF ARISE X4</t>
  </si>
  <si>
    <t>QPOSKET REGALO RAREZA</t>
  </si>
  <si>
    <t xml:space="preserve">OBSEQUIO </t>
  </si>
  <si>
    <t>BAKUGO ADULTO ICHIBAN CON SU CARTITA</t>
  </si>
  <si>
    <t>POSAVASO O ALGO ASI</t>
  </si>
  <si>
    <t>DRAGON GASHAPON YU GI OH</t>
  </si>
  <si>
    <t>VASO MAGO OSCURO</t>
  </si>
  <si>
    <t>KURAPIKA SENTADO</t>
  </si>
  <si>
    <t>AKI GRANDE TAITO</t>
  </si>
  <si>
    <t>MELANY ALEXANDRA SUAREZ F</t>
  </si>
  <si>
    <t>UTA Q POSKET</t>
  </si>
  <si>
    <t xml:space="preserve">BAKUGO ICHIBAN </t>
  </si>
  <si>
    <t>LUFFY GEAR 4 BOUNDMAN KOA</t>
  </si>
  <si>
    <t>VICTOR R OCHOA G</t>
  </si>
  <si>
    <t xml:space="preserve">MITSURI SENTADA </t>
  </si>
  <si>
    <t>3 POSTER NARUTO</t>
  </si>
  <si>
    <t>DUO CHAINSAW ADVERGE</t>
  </si>
  <si>
    <t>DUO WCF NARUTO</t>
  </si>
  <si>
    <t>SASUKE MINI SENTADO</t>
  </si>
  <si>
    <t>OBSEQUITO</t>
  </si>
  <si>
    <t>PELO ROJO YU YU HAKUSHO</t>
  </si>
  <si>
    <t>QPOSKET CHIGIRI</t>
  </si>
  <si>
    <t>TRIO MASTERLISE BLUE LOCK</t>
  </si>
  <si>
    <t>4 POSTER BLUE LOCK</t>
  </si>
  <si>
    <t>3 POSTER BLUE LOCK</t>
  </si>
  <si>
    <t>GETO PARADO</t>
  </si>
  <si>
    <t>MAHITO PARADO</t>
  </si>
  <si>
    <t>ESCENA GENGAR PIKACHU</t>
  </si>
  <si>
    <t>QPOSKET ATTACK ON TITAN</t>
  </si>
  <si>
    <t>X MEN BESTIA MIMICO</t>
  </si>
  <si>
    <t xml:space="preserve">DUO GAMABUNTAS </t>
  </si>
  <si>
    <t>SASUKE VS CHIBOLO</t>
  </si>
  <si>
    <t>BANDAI KIDS</t>
  </si>
  <si>
    <t>KAKASHI GRANDISTA</t>
  </si>
  <si>
    <t>DUO CHOKONOCOS REM</t>
  </si>
  <si>
    <t>MILENE ALIAGA</t>
  </si>
  <si>
    <t>LAPRAS Y CUERNOS BANDAI KIDS</t>
  </si>
  <si>
    <t>CARLOS PALOMINO</t>
  </si>
  <si>
    <t>10 POKEMONES BANDAI</t>
  </si>
  <si>
    <t>JUAN MORALES R</t>
  </si>
  <si>
    <t>ESCENA SASUKE VS DEIDARA</t>
  </si>
  <si>
    <t>MURKY DYDIME CHAVEZ AREVALO</t>
  </si>
  <si>
    <t>TRIO VS SPECIAL VERSION NARUTO</t>
  </si>
  <si>
    <t>SASUKE ANIVERSARIO</t>
  </si>
  <si>
    <t>OROCHIMARU VS</t>
  </si>
  <si>
    <t>KAKASHI TOP 99</t>
  </si>
  <si>
    <t>SASUKE PANEL SPECTACLE</t>
  </si>
  <si>
    <t>SASUKE VS DEMONIO</t>
  </si>
  <si>
    <t>SASUKE BORUTO</t>
  </si>
  <si>
    <t>KAKASHI PODER EFECXTREME</t>
  </si>
  <si>
    <t>SASUKE POP UP</t>
  </si>
  <si>
    <t>VASO GOKU ARMADURA</t>
  </si>
  <si>
    <t>DENJI NENDOROID DOLL</t>
  </si>
  <si>
    <t>CHOPPER POLO AZUL</t>
  </si>
  <si>
    <t xml:space="preserve">CHROLLO SENTADO </t>
  </si>
  <si>
    <t>LUIS ANTONIO JARA</t>
  </si>
  <si>
    <t>MAMA SHINCHAN</t>
  </si>
  <si>
    <t>GOGETA BLOOD OF SAYANS</t>
  </si>
  <si>
    <t>DUO BROLY GOGETA MM</t>
  </si>
  <si>
    <t>DANIEL HIDALGO</t>
  </si>
  <si>
    <t>DUO GOKU SUPER ANDROIDE MM</t>
  </si>
  <si>
    <t>DUO GOKU JANEMBA MM</t>
  </si>
  <si>
    <t>3 SAILOR MOON ELEGANTES QPOSKET</t>
  </si>
  <si>
    <t>FIGURAS MINI POKEMON * 23</t>
  </si>
  <si>
    <t>BANDAI KIDS VARIADOS</t>
  </si>
  <si>
    <t>11 ACRILICOS</t>
  </si>
  <si>
    <t>TRUNKS SOLID EDGE</t>
  </si>
  <si>
    <t>VEGETTO FES</t>
  </si>
  <si>
    <t>MEGUMI BOLITA</t>
  </si>
  <si>
    <t>SENTADITO ZENITSU</t>
  </si>
  <si>
    <t>3 PELUCHONES LLAVERO BLUELOCK</t>
  </si>
  <si>
    <t>PELUCHE PANDON</t>
  </si>
  <si>
    <t>GOKU DE LA ESCENA VEGETA POSE BANPRESTO</t>
  </si>
  <si>
    <t>DUO SASUKE ITACHI TRIANGULAR BASE DXF</t>
  </si>
  <si>
    <t>DUO MINATO NARUTO TRIANGULAR BASE DXF</t>
  </si>
  <si>
    <t>TRIO MIKUS BARCO</t>
  </si>
  <si>
    <t>KUZAN KOA</t>
  </si>
  <si>
    <t>GARP BATTLE RECORD COLLECTION</t>
  </si>
  <si>
    <t>KOBY BATTLE RECORD COLLECTION</t>
  </si>
  <si>
    <t>BARBA NEGRA BATTLE RECORD COLLECTION</t>
  </si>
  <si>
    <t>LAW BATTLE RECORD COLLECTION</t>
  </si>
  <si>
    <t>METAL COOLER SOLID EDGE WORKS</t>
  </si>
  <si>
    <t>TATSUMAKI ONE PUNCH</t>
  </si>
  <si>
    <t>HELLISH BLIZZARD ONE PUNCHA MAN</t>
  </si>
  <si>
    <t>SAITAMA PUÑO ONE PUNCH MAN</t>
  </si>
  <si>
    <t>GAROU ONE PUNCH MAN</t>
  </si>
  <si>
    <t>PATO ONE PIECE SOFVIMATE</t>
  </si>
  <si>
    <t>BEPPO ONE PIECE SOFVIMATE</t>
  </si>
  <si>
    <t>FOCA ONE PIECE SOFVIMATE</t>
  </si>
  <si>
    <t>CHOPPER ROSADO SOFVIMATE</t>
  </si>
  <si>
    <t>HOMBRE MOTOSIERRA LUMINASTA</t>
  </si>
  <si>
    <t>DENJI ABRAZANDO POCHITA</t>
  </si>
  <si>
    <t>GOKU GRANDISTA HAME HA</t>
  </si>
  <si>
    <t>SET PANEL SPECTACLE HOKAGES</t>
  </si>
  <si>
    <t>DUO MATCH BUU GOHAN</t>
  </si>
  <si>
    <t>NARUTO VIBRATION DORADO POSTURA</t>
  </si>
  <si>
    <t>SHUKAKU GAARA</t>
  </si>
  <si>
    <t xml:space="preserve">REM MAID </t>
  </si>
  <si>
    <t>SONICO MAID</t>
  </si>
  <si>
    <t>WAIFU BIKINI CELESTE</t>
  </si>
  <si>
    <t>HIMIKO TOGA GLITTER</t>
  </si>
  <si>
    <t>NARUTO PATADA VIBRATION STARS</t>
  </si>
  <si>
    <t>KURAMA VERSION ANTIGUA COLOR CLARO</t>
  </si>
  <si>
    <t>KAKASHI NIÑO VIBRATION STARS</t>
  </si>
  <si>
    <t>OBITO NIÑO VIBRATION STARS</t>
  </si>
  <si>
    <t>SET X 6 NARUTO DIOARAMA</t>
  </si>
  <si>
    <t>SAKURA TOP 99</t>
  </si>
  <si>
    <t>MINATO TOP 99</t>
  </si>
  <si>
    <t>GAARA VIBRATION STARS MANO ESTIRADA</t>
  </si>
  <si>
    <t>SASUKE BRAZOS CRUZADOS VIBRATION STARS</t>
  </si>
  <si>
    <t>KAKASHI ADULTO VIBRATION STARS</t>
  </si>
  <si>
    <t>MINATO TRANSFORMADO DORADO CLARO</t>
  </si>
  <si>
    <t>DEIDARA AKATSUKI VIBRATION STARS</t>
  </si>
  <si>
    <t>SET HOKAGES PANEL SPECTACLE</t>
  </si>
  <si>
    <t>TSUNADE CAJA BLANCA</t>
  </si>
  <si>
    <t>ROCK LEE CAJA BLANCA</t>
  </si>
  <si>
    <t>NARUTO CAJA BLANCA</t>
  </si>
  <si>
    <t>KAKASHI CAJA BLANCA</t>
  </si>
  <si>
    <t>KURAMA VERSION ANTIGUA COLOR OSCURO</t>
  </si>
  <si>
    <t>SAKURA ESCENA NARUTO PEQUEÑA</t>
  </si>
  <si>
    <t>NARUTO ESCENA PEQUEÑA</t>
  </si>
  <si>
    <t>NARUTO PEQUEÑOS 1</t>
  </si>
  <si>
    <t>NARUTO PEQUEÑOS 2</t>
  </si>
  <si>
    <t>KAKASHI LEYENDO GASHA</t>
  </si>
  <si>
    <t>LLEGO PERU stock</t>
  </si>
  <si>
    <t>KIZAME AKATSUKI VIBRATION STARS</t>
  </si>
  <si>
    <t>PAIN AKATSUKI VIBRATION STARS</t>
  </si>
  <si>
    <t>KONAN AKATSUKI VIBRATION STARS</t>
  </si>
  <si>
    <t>VALKIRIA YU GI OH</t>
  </si>
  <si>
    <t>2 POKEMON BANDAI KIDS</t>
  </si>
  <si>
    <t>GANDHI ALI ALEJANDRO</t>
  </si>
  <si>
    <t>NARUTO PANEL KURAMA</t>
  </si>
  <si>
    <t>NARUTO DORADO 6 COLAS</t>
  </si>
  <si>
    <t>OBITO TOP 99</t>
  </si>
  <si>
    <t>DUO ESTATUAS HOKAGES</t>
  </si>
  <si>
    <t>SET 9 BIJUS NARUTO</t>
  </si>
  <si>
    <t>ALYA PREMIO A</t>
  </si>
  <si>
    <t>CURE QPOSKET</t>
  </si>
  <si>
    <t>METAL GARURUMON</t>
  </si>
  <si>
    <t>BLACK LUSTER YU GI OH MODEL KIT</t>
  </si>
  <si>
    <t>BOA HANCOCK SQ</t>
  </si>
  <si>
    <t>SONAJERO</t>
  </si>
  <si>
    <t>DUO POKEMONES CONCHA</t>
  </si>
  <si>
    <t>URYU ICHIBAN SUELTO</t>
  </si>
  <si>
    <t>DANFER SANTIAGO BENAVENTE A</t>
  </si>
  <si>
    <t>SET MINECRAFT *6</t>
  </si>
  <si>
    <t>MEI HATSEME GLITTER GLAMOUR</t>
  </si>
  <si>
    <t>BAKUGO TAITO NUEVO</t>
  </si>
  <si>
    <t>ITADORI LUMINASTA PODER VS CHOSO</t>
  </si>
  <si>
    <t>DEKU MIDORIYA TAITO NUEVO</t>
  </si>
  <si>
    <t>LLEGO PERU DIC</t>
  </si>
  <si>
    <t>LLEGO PERU NOV</t>
  </si>
  <si>
    <t>KURUMI GLITTER GLAMOUR</t>
  </si>
  <si>
    <t>CHAINSAW MAN VIBRATION STARS</t>
  </si>
  <si>
    <t>GIN ICHIMARU ICHIBAN</t>
  </si>
  <si>
    <t>UZUMAKI NARUTO PODER DIORAMA</t>
  </si>
  <si>
    <t>FREEZER 1ERA FORMA SOLID EDGE WORKS</t>
  </si>
  <si>
    <t>AKAZA ICHIBAN BLISTER</t>
  </si>
  <si>
    <t>WAIFU YUUKI SAO</t>
  </si>
  <si>
    <t>HISOKA SENTADO</t>
  </si>
  <si>
    <t>DUO RE ZERO CABEZONAS</t>
  </si>
  <si>
    <t>MAGA OSCURA ESCENA YUGIOH</t>
  </si>
  <si>
    <t>MIKU CINNAMOROLL</t>
  </si>
  <si>
    <t>DAREDEVIL LUMINASTA</t>
  </si>
  <si>
    <t>MILE MORALES SEGA</t>
  </si>
  <si>
    <t>SPIDER GWEN SEGA</t>
  </si>
  <si>
    <t>DAKI VS</t>
  </si>
  <si>
    <t>NEZUKO VS</t>
  </si>
  <si>
    <t>AKAZA VS</t>
  </si>
  <si>
    <t>NEZUKO SEGA</t>
  </si>
  <si>
    <t>TANJIRO SEGA</t>
  </si>
  <si>
    <t>SET POKEMONES BANDAI KIDS</t>
  </si>
  <si>
    <t>ICHIBAN SUELTO MHA *4</t>
  </si>
  <si>
    <t>QPOSKET X2 LOVELY</t>
  </si>
  <si>
    <t>PEQUEÑOS KIMETSU *5</t>
  </si>
  <si>
    <t>UZUI SENTADO</t>
  </si>
  <si>
    <t>TORCHIC PELUCHE</t>
  </si>
  <si>
    <t>PIKACHU PELUCHE</t>
  </si>
  <si>
    <t>PIKACHU SUCIO</t>
  </si>
  <si>
    <t>PIKACHU MONEDERO</t>
  </si>
  <si>
    <t>VASO TURLES PLASTICO</t>
  </si>
  <si>
    <t>NOBARA PELUCHE</t>
  </si>
  <si>
    <t>TOGE MONEDERO</t>
  </si>
  <si>
    <t>BTS PELUCHE</t>
  </si>
  <si>
    <t>SET X 4 MINI QPOSKET KIMETSU</t>
  </si>
  <si>
    <t>SET X 5 GOJOS</t>
  </si>
  <si>
    <t>ITADORI PELUCHE</t>
  </si>
  <si>
    <t>POSTER A3 NARUTO X2</t>
  </si>
  <si>
    <t>MOMONOSUKE ADULTO</t>
  </si>
  <si>
    <t>2 ACEITES HONEY</t>
  </si>
  <si>
    <t>MERCH VARIADO</t>
  </si>
  <si>
    <t>DOS PARANTES</t>
  </si>
  <si>
    <t>TANJIRO VIBRATION STARS</t>
  </si>
  <si>
    <t>MICKEY TOKYO REVENGERS</t>
  </si>
  <si>
    <t>JERSSON FERNANDEZ</t>
  </si>
  <si>
    <t>SET SOLID FUERZAS ESPECIALES GINYU</t>
  </si>
  <si>
    <t>GUILLERMO QUICO ROJAS</t>
  </si>
  <si>
    <t>3 ANDROIDES SOLID EDGE</t>
  </si>
  <si>
    <t>EDER CARDENAS V</t>
  </si>
  <si>
    <t>EREN POP UP</t>
  </si>
  <si>
    <t>PSYDUCK MUERTO</t>
  </si>
  <si>
    <t>BAKUGO CHULO CALVO</t>
  </si>
  <si>
    <t>GETO PELUCHE GRANDE</t>
  </si>
  <si>
    <t>LEVI POP UP</t>
  </si>
  <si>
    <t>POSTER BLEACH</t>
  </si>
  <si>
    <t>TRIO MERCH</t>
  </si>
  <si>
    <t>GON PESCADOR</t>
  </si>
  <si>
    <t>MUJER CABELLO AZUL DXF ONE PIECE</t>
  </si>
  <si>
    <t>MUJER CABELLO NARANJA DXF ONE PIECE</t>
  </si>
  <si>
    <t>DEADPOOL LUMINASTA POSTURA</t>
  </si>
  <si>
    <t>DEADPOOL CON NIÑO SEGA</t>
  </si>
  <si>
    <t>ESCENA THOR LOKI MARVEL</t>
  </si>
  <si>
    <t>SET MODEL KIT STAR WARS FALCON *4</t>
  </si>
  <si>
    <t>SCARLET SPIDER SEGA</t>
  </si>
  <si>
    <t>DEADPOOL ESCENA NIÑO SEGA</t>
  </si>
  <si>
    <t>SONICO BI CUTE PORTAFOLIOS NEGRO MANO</t>
  </si>
  <si>
    <t>HINATA NENDOROID</t>
  </si>
  <si>
    <t>LAST ONE SASUKE ITACHI ICHIBAN</t>
  </si>
  <si>
    <t>SUPER VENASOUR POKEMON</t>
  </si>
  <si>
    <t>GUNDAM ESCUDO BLANQUIRROJO/cambiado por rosado</t>
  </si>
  <si>
    <t>cambiado por gundam rosado</t>
  </si>
  <si>
    <t>TOGEPI CORRELON POKEMON</t>
  </si>
  <si>
    <t>TRIO SAILOR MOON QPOSKET</t>
  </si>
  <si>
    <t>LLEGO PERU FEB</t>
  </si>
  <si>
    <t xml:space="preserve">ALCANCIA </t>
  </si>
  <si>
    <t>STOCK</t>
  </si>
  <si>
    <t>GENYA DXF</t>
  </si>
  <si>
    <t>MITSURI 1 DXF</t>
  </si>
  <si>
    <t>MITSURI 2 DXF</t>
  </si>
  <si>
    <t xml:space="preserve">BAKUGO KOA </t>
  </si>
  <si>
    <t>COMBINATION BATTLE NARUTO SASUKE</t>
  </si>
  <si>
    <t>ENDEAVOR AMAZING HEROES PLUS</t>
  </si>
  <si>
    <t>CELL SOLID EDGE WORKS</t>
  </si>
  <si>
    <t>IZUKU MIDORIYA</t>
  </si>
  <si>
    <t>NARUTO BORUTO GEM MEGAHOUSE</t>
  </si>
  <si>
    <t>GAMABUNTA FIGURA</t>
  </si>
  <si>
    <t>DEIDARA EFFEXTREME</t>
  </si>
  <si>
    <t>GAARA VIBRATION STARS PLUS</t>
  </si>
  <si>
    <t>DESTINY GUNDAM</t>
  </si>
  <si>
    <t>JUSTICE GUNDAM</t>
  </si>
  <si>
    <t>SE REEMPLAZO ADELANTO DE 75 DE GUNDAM Q NO LLEGO</t>
  </si>
  <si>
    <t>DENIAL GUNDAM</t>
  </si>
  <si>
    <t>TRANSIENT GUNDAM</t>
  </si>
  <si>
    <t>A GUNDAM</t>
  </si>
  <si>
    <t>GUNDAM ESPADA NARIZ DE PEZ</t>
  </si>
  <si>
    <t>GOJO KOA VENDA</t>
  </si>
  <si>
    <t>MARIN RUBIA</t>
  </si>
  <si>
    <t>KAGUYA CHIBI</t>
  </si>
  <si>
    <t>NAMI Q POSKET</t>
  </si>
  <si>
    <t>RENJI RUKUA BLEACH</t>
  </si>
  <si>
    <t>CLAUDIA GUILLEN Q</t>
  </si>
  <si>
    <t>UZAKI MAMA</t>
  </si>
  <si>
    <t>LEONARDO CASTRO</t>
  </si>
  <si>
    <t>GOHAN SS1 SAYAMAN</t>
  </si>
  <si>
    <t>MARIN NENDOROID</t>
  </si>
  <si>
    <t>JEREMY DANIEL PACCORI</t>
  </si>
  <si>
    <t>QUINTILLIZAS *4</t>
  </si>
  <si>
    <t>KEVIN PORRAS</t>
  </si>
  <si>
    <t>ALYA LUMINASTA</t>
  </si>
  <si>
    <t>RELAX TIME CHICA ROPA AZUL</t>
  </si>
  <si>
    <t>CRISTHIAN CONTRERAS H</t>
  </si>
  <si>
    <t>EREN CALATO</t>
  </si>
  <si>
    <t>RENGOKU GATO</t>
  </si>
  <si>
    <t>GOKU SS3 +CARD</t>
  </si>
  <si>
    <t>STEFANO - BEATRIZ QUISPE</t>
  </si>
  <si>
    <t>PREVENTA MAYO</t>
  </si>
  <si>
    <t>NSJ052634</t>
  </si>
  <si>
    <t>MAGO OSCURO YU GI OH</t>
  </si>
  <si>
    <t>KLEIN STEVE FLORES</t>
  </si>
  <si>
    <t>SET 505 HOJAS BLEACH</t>
  </si>
  <si>
    <t>PAGO ENVIO BARCO</t>
  </si>
  <si>
    <t>IDENTIFICACION TOSHIRO</t>
  </si>
  <si>
    <t>AVION</t>
  </si>
  <si>
    <t>ACRILICO NEGRO TOSHIRO</t>
  </si>
  <si>
    <t>BLEACH 1</t>
  </si>
  <si>
    <t>BLEACH 2</t>
  </si>
  <si>
    <t>FALTA EL ENVIO CALCULAR 50 SO</t>
  </si>
  <si>
    <t>BLEACH 3</t>
  </si>
  <si>
    <t>BLEACH 4</t>
  </si>
  <si>
    <t>BLEACH 5</t>
  </si>
  <si>
    <t>RYU SENTADO SEGA</t>
  </si>
  <si>
    <t>ANDROIDE QPOSKET</t>
  </si>
  <si>
    <t>KAIDO PEQUEÑO SETIEMBRE</t>
  </si>
  <si>
    <t>KAKASHI EFFEXTREME</t>
  </si>
  <si>
    <t>SASUKE NARUTO COMBINATION BATTLE</t>
  </si>
  <si>
    <t>DEMONIO DEMON SLAYER DXF</t>
  </si>
  <si>
    <t>MAGO Y MAGA OSCURA</t>
  </si>
  <si>
    <t>VASO BAKUGO</t>
  </si>
  <si>
    <t>FILE BAKUGO</t>
  </si>
  <si>
    <t>SET SUELTOS JUJUTSU KAISEN</t>
  </si>
  <si>
    <t>DRAGON BLANCO DIORAMA</t>
  </si>
  <si>
    <t>GUNDAM ROJO PEQUEÑO</t>
  </si>
  <si>
    <t>GUNDAM HG GRANDE MINIATURAS HEROES GUNDAM</t>
  </si>
  <si>
    <t>CHARIZARD TOMY GRANDE</t>
  </si>
  <si>
    <t>LAPRAS</t>
  </si>
  <si>
    <t>REM POST</t>
  </si>
  <si>
    <t>MAGA POST</t>
  </si>
  <si>
    <t>TOMATODO EVANGELION</t>
  </si>
  <si>
    <t>NARUTO VIBRATION STARS PATADA</t>
  </si>
  <si>
    <t>NARUTO KURAMA MANO HACIENDO CRUZ</t>
  </si>
  <si>
    <t>CUADRADITO BAKUGO</t>
  </si>
  <si>
    <t xml:space="preserve">MEWTWO TOMY TAKARA </t>
  </si>
  <si>
    <t>PREVENTAS ANULADAS POR FALTA DE PAGO</t>
  </si>
  <si>
    <t>SUPER VENASOUR POKEMON TOMY TAKARA</t>
  </si>
  <si>
    <t>BLASTOISE TOMY TAKARA</t>
  </si>
  <si>
    <t>METAGROSS TOMY TAKARA</t>
  </si>
  <si>
    <t>GARMCHOMP TOMY TAKARA</t>
  </si>
  <si>
    <t>MAI BI CUTE NEGRO</t>
  </si>
  <si>
    <t>BOA HANCOCK GLITTER &amp; GLAMOURS</t>
  </si>
  <si>
    <t>VIBRATION STARS RENGOKU ESCENA TANJIRO</t>
  </si>
  <si>
    <t>VIBRATION STARS TANJIRO ESCENA RENGOKU</t>
  </si>
  <si>
    <t>ALL MIGHT GRANDISTA</t>
  </si>
  <si>
    <t>MUJER CABELLO MORADO FRIEREN LUMINASTA</t>
  </si>
  <si>
    <t>TINKERBELL FIGURA</t>
  </si>
  <si>
    <t>Gx MATERIA SON GOKU IV</t>
  </si>
  <si>
    <t>IRIS CHUZON G</t>
  </si>
  <si>
    <t>EFFEXTREME ESCENA SASUKE NARUTO V1</t>
  </si>
  <si>
    <t>EFFEXTREME ESCENA SASUKE NARUTO V2</t>
  </si>
  <si>
    <t>DRAGON BLANCO PECHO MORADO YU GI OH</t>
  </si>
  <si>
    <t>DRAGON BLANCO CLASICO YU GI OH</t>
  </si>
  <si>
    <t>DRAGON NEGRO CLASICO YU GI OH</t>
  </si>
  <si>
    <t>DRAGON BLANCO 3 CABEZAS</t>
  </si>
  <si>
    <t>MAGA OSCURA GUIÑANDO OJO</t>
  </si>
  <si>
    <t>SAKURA ACRILICO POSTURA</t>
  </si>
  <si>
    <t>Hitogaya Bleach Bleach animación dibujos originales etc. 5 hojas en total</t>
  </si>
  <si>
    <t>Colección de números 28 a 52 de la</t>
  </si>
  <si>
    <t>Colección de números 1 a 27 de la</t>
  </si>
  <si>
    <t>MIDORIYA TAITO NUEVO</t>
  </si>
  <si>
    <t>MAGA OSCURA EQUAL ARTS</t>
  </si>
  <si>
    <t>NARA SHIKAMARU PODER</t>
  </si>
  <si>
    <t>MATCH MAKER CELL GOHAN</t>
  </si>
  <si>
    <t>LUIS SALINAS</t>
  </si>
  <si>
    <t>MATCH MAKER JANEMBA GOGETA</t>
  </si>
  <si>
    <t>KONAN VIBRATION STARS</t>
  </si>
  <si>
    <t>KILLER BEE VIBRATION STARS</t>
  </si>
  <si>
    <t>SASUKE MEMORABLE SAGA II</t>
  </si>
  <si>
    <t>POKEMON PEQUEÑIN BLANCO</t>
  </si>
  <si>
    <t>GUNDAM EPYON</t>
  </si>
  <si>
    <t>KOALA TREASURE ONE PIECE</t>
  </si>
  <si>
    <t>NEZUKO VIBRATION DEMONIA</t>
  </si>
  <si>
    <t>SERGIO CANALES CARRASCO</t>
  </si>
  <si>
    <t>DEKU POSTURA ROCA</t>
  </si>
  <si>
    <t>2 BANDAI KIDS</t>
  </si>
  <si>
    <t>GOJO COMBINATION BATTLE</t>
  </si>
  <si>
    <t>5 LLAVEROS EVANGELION</t>
  </si>
  <si>
    <t>2 CHIBIS NARUTO</t>
  </si>
  <si>
    <t>DUO MOVING GOOD QUINTILLIZAS</t>
  </si>
  <si>
    <t>3 CHIBIS MASTER NARUTO</t>
  </si>
  <si>
    <t>DUO NENDOROID MATRIX</t>
  </si>
  <si>
    <t>JEAN QUISPE V</t>
  </si>
  <si>
    <t>FREZERR ICHIBAN SC</t>
  </si>
  <si>
    <t xml:space="preserve">KAKASHI VIBRATION </t>
  </si>
  <si>
    <t>PEDRO SALINAS M</t>
  </si>
  <si>
    <t>QPOSKET HOMBRE MANTO AZUL</t>
  </si>
  <si>
    <t>1 CHIBI NARUTO</t>
  </si>
  <si>
    <t>JIRAYJA CHIBI</t>
  </si>
  <si>
    <t>4 RANGERS DRAGON BALL</t>
  </si>
  <si>
    <t>YORMAN ANTONIO LEY</t>
  </si>
  <si>
    <t>GOKU KAME HA</t>
  </si>
  <si>
    <t>SASUKE CHIBI</t>
  </si>
  <si>
    <t xml:space="preserve">CHIBIS * 7 </t>
  </si>
  <si>
    <t>CHIBI MINATO</t>
  </si>
  <si>
    <t>LUNA DE MACETERO KIMETSU</t>
  </si>
  <si>
    <t>BRAYAM CALDERON</t>
  </si>
  <si>
    <t>NATURA</t>
  </si>
  <si>
    <t>DRAGON 3 CABEZAS</t>
  </si>
  <si>
    <t>MINATO CHIBI</t>
  </si>
  <si>
    <t>ICHIGO VIBRATION STARS</t>
  </si>
  <si>
    <t>ELIANA REBECA ESPINOZA</t>
  </si>
  <si>
    <t>TOKITO ICHIBAN KUJI MASTERLISTE</t>
  </si>
  <si>
    <t>DABI MY HERO</t>
  </si>
  <si>
    <t>SENTADA EVANGELION ROJA</t>
  </si>
  <si>
    <t>2 SETS PULSERAS KIMETSU</t>
  </si>
  <si>
    <t>SET PULSERA RENGOKU</t>
  </si>
  <si>
    <t>MIRIAM HUALPA</t>
  </si>
  <si>
    <t>GINTAMA QPOSKET</t>
  </si>
  <si>
    <t>SUPER HEROE CAPA MY HERO</t>
  </si>
  <si>
    <t>GENGAR IMAN</t>
  </si>
  <si>
    <t>PSYDUCK IMAN</t>
  </si>
  <si>
    <t>MEW IMAN</t>
  </si>
  <si>
    <t>OBI ONE KENOBI SH FIGUARTS</t>
  </si>
  <si>
    <t>Tōshirō Hitsugaya Vibration</t>
  </si>
  <si>
    <t>Tōshirō Hitsugaya acrilico</t>
  </si>
  <si>
    <t>WAIFU RUBIA</t>
  </si>
  <si>
    <t>HELLS PARADISE LUMINASTA</t>
  </si>
  <si>
    <t>OBITO VIBRATION STARS</t>
  </si>
  <si>
    <t>MAJIN BOO SOLID EDGE</t>
  </si>
  <si>
    <t>GUSTAVO APARCANA</t>
  </si>
  <si>
    <t>CHROLLO PARADO EX</t>
  </si>
  <si>
    <t>CLARK BOLIVIA</t>
  </si>
  <si>
    <t>CHROLLO SENTADO</t>
  </si>
  <si>
    <t>KURAPIKA SENTAO</t>
  </si>
  <si>
    <t>DUO FRIEREN</t>
  </si>
  <si>
    <t>CACHUDA FRIEREN</t>
  </si>
  <si>
    <t>劇場版BLEACH DVD 完全生産限定版　セット</t>
  </si>
  <si>
    <t>51) 未開封 ブリーチ・ビート・コレクション CD</t>
  </si>
  <si>
    <t>BLEACH BEAT COLLECTION THE BEST 2枚セット</t>
  </si>
  <si>
    <t>劇場版BLEACH NAVIGATE CD / 光のロック/キャラソン</t>
  </si>
  <si>
    <t>BLEACH "B" STATION SECOND SEASON VOL.6</t>
  </si>
  <si>
    <t>BLEACH B STATION 3rd season</t>
  </si>
  <si>
    <t>ブリーチ・ブレスレス・コレクション:04(日番谷冬獅郎 with 氷輪丸(CV</t>
  </si>
  <si>
    <t>no va . Revisar</t>
  </si>
  <si>
    <t>【フルコン①：全６種】BLEACH めじるしアクセサリー～尸魂界篇　ガチャ</t>
  </si>
  <si>
    <t>JIMBE BLISTER</t>
  </si>
  <si>
    <t>KIMETSU NO YAIBA DXF*4 TAMAYO,GENYA, AYUDANTE,RENGOKU</t>
  </si>
  <si>
    <t>SET MODEL KITX5 SUPER CHOPPER</t>
  </si>
  <si>
    <t>BREAK TIME *4 VOL 1,3,5,7</t>
  </si>
  <si>
    <t>YURA YURA AIZAWA</t>
  </si>
  <si>
    <t>2 PARANTES TRANSPARENTES</t>
  </si>
  <si>
    <t>MIKU ESTUDIANTE</t>
  </si>
  <si>
    <t>VEGITO BLOOD OF SAYANS SS1</t>
  </si>
  <si>
    <t>ENRIQUE ROJAS</t>
  </si>
  <si>
    <t>SASUKE AKATSUKI VIBRATION STARS</t>
  </si>
  <si>
    <t>GENOS ONE PIECE</t>
  </si>
  <si>
    <t>JOSE CARLOS RODAS</t>
  </si>
  <si>
    <t>CHOSO LUMINASTA RE EDITION</t>
  </si>
  <si>
    <t>BAKUGO PARADO POSTURA</t>
  </si>
  <si>
    <t>LUANA NIZAMA</t>
  </si>
  <si>
    <t>ICHIGO BLANCO ICHIBAN KUJI A</t>
  </si>
  <si>
    <t>CARD ID BAKUGO + PIN</t>
  </si>
  <si>
    <t>PONDA BABA STAR WARS</t>
  </si>
  <si>
    <t>JIGLYPUFF</t>
  </si>
  <si>
    <t>MUJER TRAJE BLANCO EVANGELION</t>
  </si>
  <si>
    <t>CARTUCHERA LENTES MHA</t>
  </si>
  <si>
    <t>MARIETTA VALVERDE D</t>
  </si>
  <si>
    <t>BOLITA KIMETSU</t>
  </si>
  <si>
    <t>SOPORTE ROCHI</t>
  </si>
  <si>
    <t>TANJITO PEQUEÑO</t>
  </si>
  <si>
    <t xml:space="preserve">BOLITA SHOTO </t>
  </si>
  <si>
    <t>MARYORI ELISA ORTIZ</t>
  </si>
  <si>
    <t xml:space="preserve">BOLITA ALLMIGTH </t>
  </si>
  <si>
    <t>KYLIE AZPILCUETA</t>
  </si>
  <si>
    <t>INOSUKE CHOKONOKO</t>
  </si>
  <si>
    <t>GERSON ALEFKI ARICA</t>
  </si>
  <si>
    <t>JUAN CESAR SANCHEZ</t>
  </si>
  <si>
    <t>JOEL OCMIN</t>
  </si>
  <si>
    <t>ALBEDO BI CUTE ROPA NEGRA</t>
  </si>
  <si>
    <t>XIOMINA LAMA</t>
  </si>
  <si>
    <t>SANJI BATTLE RECORD</t>
  </si>
  <si>
    <t>JAMERLI CHAVEZ MARIN</t>
  </si>
  <si>
    <t>2 BASES</t>
  </si>
  <si>
    <t>JHORDAN CUBA</t>
  </si>
  <si>
    <t>YUTA PELUCHE</t>
  </si>
  <si>
    <t>SASUKE VIBRATION BRAZOS CRUZADOS</t>
  </si>
  <si>
    <t>PIERO SABARIAN</t>
  </si>
  <si>
    <t>NEZUKU GLITTER SPECIAL COLOR</t>
  </si>
  <si>
    <t>KATHERINE ACUÑA</t>
  </si>
  <si>
    <t>SHINSO MHA</t>
  </si>
  <si>
    <t>AIZAWA MHA</t>
  </si>
  <si>
    <t>GOKU ICHIBAN PEQUEÑO SSJ</t>
  </si>
  <si>
    <t>DRAGON JAPAN SK</t>
  </si>
  <si>
    <t>MAGA OSCURA</t>
  </si>
  <si>
    <t>HINATA</t>
  </si>
  <si>
    <t>KAGEYAMA</t>
  </si>
  <si>
    <t>YOICHI ISAGI QPOSKET</t>
  </si>
  <si>
    <t>MAGA OSCURO YU GI OH</t>
  </si>
  <si>
    <t>BLEACH MAYURI KUROTSUCHI</t>
  </si>
  <si>
    <t>KENPACHI VIBRATION STARS</t>
  </si>
  <si>
    <t>MARIN PARADA</t>
  </si>
  <si>
    <t>KENYI ALDAIR ACHAHUI CURO</t>
  </si>
  <si>
    <t>EMILIA CONEJA</t>
  </si>
  <si>
    <t>BOA GLITTER GLAMOUR</t>
  </si>
  <si>
    <t>JONATHAN JOESTAR</t>
  </si>
  <si>
    <t xml:space="preserve">DIO BRANDO </t>
  </si>
  <si>
    <t>GARRA LUPUS REX</t>
  </si>
  <si>
    <t>UZAKI TSUKI GLITTER GLAMOUR</t>
  </si>
  <si>
    <t xml:space="preserve">OKARUN VERSION 1 </t>
  </si>
  <si>
    <t>OKARUN VERSION 2</t>
  </si>
  <si>
    <t>TOGEPI DURMIENDO</t>
  </si>
  <si>
    <t>1 BOLA TOJI GDE</t>
  </si>
  <si>
    <t>PREVENTA SETIEMBRE</t>
  </si>
  <si>
    <t>BAKUGO ICHIBAN LAST ONE</t>
  </si>
  <si>
    <t>SET WCF KIMETSU</t>
  </si>
  <si>
    <t>MODEL KIT NAVE BOBA FET</t>
  </si>
  <si>
    <t>BROLY SSJ BLOOD</t>
  </si>
  <si>
    <t>MINATO VIBRATION STARS CAJA AMARILLA</t>
  </si>
  <si>
    <t>JHONNY ALANYA S</t>
  </si>
  <si>
    <t>NARUTO VIBRATION STARS CAJA AMARILLA</t>
  </si>
  <si>
    <t>TOBI MASCARA MANO VIBRATION STARS NEW V</t>
  </si>
  <si>
    <t>LLEGO PERU OCT III</t>
  </si>
  <si>
    <t>RONALD SANCHEZ M</t>
  </si>
  <si>
    <t>FRIEREN SENTADA</t>
  </si>
  <si>
    <t>JHOSEPH CAJALEON D</t>
  </si>
  <si>
    <t>SHANKS BANPRESTO</t>
  </si>
  <si>
    <t>HENRY CRUZ P</t>
  </si>
  <si>
    <t>PELO BLANCO BANPRESTO</t>
  </si>
  <si>
    <t>CHOPPER RED</t>
  </si>
  <si>
    <t>ZORO KOA NEGRO</t>
  </si>
  <si>
    <t>ITACHI CHIBI</t>
  </si>
  <si>
    <t>SHOTO COLEGIAL</t>
  </si>
  <si>
    <t>DANIELA VALVERDE V</t>
  </si>
  <si>
    <t>DEKU COLEGIAL</t>
  </si>
  <si>
    <t>BAKUGO COLEGIAL</t>
  </si>
  <si>
    <t>DEKU PELUCHIN</t>
  </si>
  <si>
    <t>CLAUDIA CASAS V</t>
  </si>
  <si>
    <t>DESKTOP CUTE KURUMI SENTADA</t>
  </si>
  <si>
    <t>ALBEDO ALAS COSTADO VESTIDO BLANCO</t>
  </si>
  <si>
    <t>KURUMI MASTER STAR PIECE</t>
  </si>
  <si>
    <t>BLEACH 中国 上海 限定アクリルスタンド 冬獅郎</t>
  </si>
  <si>
    <t>【新品】日番谷冬獅郎 アクリルキーホルダー 中国限定 ポップアップショップ</t>
  </si>
  <si>
    <t>BLEACH 中国POPUP SHOP オーロラチケット 冬獅郎</t>
  </si>
  <si>
    <t>ブリーチ　BLEACH　日番谷冬獅郎　原画セット</t>
  </si>
  <si>
    <t>SHIGARAKI MHA</t>
  </si>
  <si>
    <t>EULER TEJADA V</t>
  </si>
  <si>
    <t>TWICE MHA</t>
  </si>
  <si>
    <t>SHOTO COLEGIAL OPEN</t>
  </si>
  <si>
    <t>YIRAH LLAMCCAYA</t>
  </si>
  <si>
    <t>GOJO KOA LENTES</t>
  </si>
  <si>
    <t>DABI Y TOGA PANEL</t>
  </si>
  <si>
    <t>KURAMA OSCURO VERSION ANTIGUA</t>
  </si>
  <si>
    <t>KURAMA CLARO VERSION ANTIGUA</t>
  </si>
  <si>
    <t>MODEL KIT DRAGON BALL GOKU + POSTER</t>
  </si>
  <si>
    <t>10 BASES GUNDAM</t>
  </si>
  <si>
    <t>RELAX TIME SILLA EMILIA</t>
  </si>
  <si>
    <t>TOJI POSTURA ATAQUE LUMINASTA</t>
  </si>
  <si>
    <t>ACRILICOS DAN DA DAN</t>
  </si>
  <si>
    <t>TRIO SHAMAN KING</t>
  </si>
  <si>
    <t>MARGARET XIOAMARA DIAZ M</t>
  </si>
  <si>
    <t>BAKUGO PELON</t>
  </si>
  <si>
    <t>ANTUANET COLQUI</t>
  </si>
  <si>
    <t>MARCO BWFC</t>
  </si>
  <si>
    <t>LUFFY PLO BLANCO</t>
  </si>
  <si>
    <t>PEGASO SEIYA ICHIBAN</t>
  </si>
  <si>
    <t>YUUUUU</t>
  </si>
  <si>
    <t>MAKIMA POP UP</t>
  </si>
  <si>
    <t>MIKU VESTIDO CELESTE CORONA DORADA</t>
  </si>
  <si>
    <t>DEKU PIEDRA POSE</t>
  </si>
  <si>
    <t>EEVEE MODEL KIT</t>
  </si>
  <si>
    <t>BU GORDO SOLID</t>
  </si>
  <si>
    <t>GIANMARCO BERROCAL</t>
  </si>
  <si>
    <t>DENYS JOHANN RICAPA CERVANTES</t>
  </si>
  <si>
    <t>ENTREGADO STOCK</t>
  </si>
  <si>
    <t>4 CHIBIS NARUTO</t>
  </si>
  <si>
    <t>GOJO QPOSKET 1</t>
  </si>
  <si>
    <t>GOJO QPOSKET 2</t>
  </si>
  <si>
    <t>GOJO SENTADO LENTES</t>
  </si>
  <si>
    <t>MAKIMA LUMINASTA</t>
  </si>
  <si>
    <t>HENRY S BELTRAN</t>
  </si>
  <si>
    <t>DENJI POCHITA VIBRATION STARS</t>
  </si>
  <si>
    <t>SUKUNA LUMINASTA</t>
  </si>
  <si>
    <t>RODOLFO A FRANCO</t>
  </si>
  <si>
    <t>SHINOBU VOLANDO</t>
  </si>
  <si>
    <t>MINI SASUKE ESCENA</t>
  </si>
  <si>
    <t>DUO RATONES UZUI PLUFFY</t>
  </si>
  <si>
    <t>UZAKI TSUKI GLITTER GLAMOUR VAQUITA</t>
  </si>
  <si>
    <t>WCF ESCENA BARCO LUFFY</t>
  </si>
  <si>
    <t>WCF X6 EGGHEAD</t>
  </si>
  <si>
    <t>WCF ESCENAS X10</t>
  </si>
  <si>
    <t>BOCCHI THE ROCK CELESTE</t>
  </si>
  <si>
    <t>GUSTAVO ACUÑA</t>
  </si>
  <si>
    <t>BOCCHI THE ROCK ROJA</t>
  </si>
  <si>
    <t>SASUKE MEMORABLE SAGA</t>
  </si>
  <si>
    <t>MACETERO DXF KIMETSU</t>
  </si>
  <si>
    <t>VENTA ANULADAS POR FALTA DE PAGO</t>
  </si>
  <si>
    <t>BLEACH 日番谷冬獅郎 原画クリアファイル anime exhibition</t>
  </si>
  <si>
    <t>NENDOROID HANGE SNK</t>
  </si>
  <si>
    <t>NARUTO PUÑO ICHIBAN KUJI MASTERLISE</t>
  </si>
  <si>
    <t>MINATO PUÑO ICHIBAN KUJI MASTERLISE</t>
  </si>
  <si>
    <t>PELUCHE MIDORIYA</t>
  </si>
  <si>
    <t>ELISSA WHO IS YOR BAE</t>
  </si>
  <si>
    <t>Byakuya ICHIBAN KUJI</t>
  </si>
  <si>
    <t>MINI GUNDAM</t>
  </si>
  <si>
    <t>NINJA ONE PIECE KOA</t>
  </si>
  <si>
    <t>SHOTO NENDOROID</t>
  </si>
  <si>
    <t>SAKAMOTO DAYS OSA</t>
  </si>
  <si>
    <t>HOKAGE PARADO ICHIBAN</t>
  </si>
  <si>
    <t>GARP DFX ONE PIECE</t>
  </si>
  <si>
    <t>EUSTAKID DXF</t>
  </si>
  <si>
    <t xml:space="preserve">SHIKI DXF </t>
  </si>
  <si>
    <t xml:space="preserve">RIN / SHIDOU ICHIBAN </t>
  </si>
  <si>
    <t>SHIGARAKI OPEN</t>
  </si>
  <si>
    <t>GEORGE VILLEGAS</t>
  </si>
  <si>
    <t>HOKAGE ICHIBAN SENTADO</t>
  </si>
  <si>
    <t>SAKAMOTO DAYS*3</t>
  </si>
  <si>
    <t>CHOPPER X 3</t>
  </si>
  <si>
    <t>ANYA PIJAMA</t>
  </si>
  <si>
    <t>3 PORTA GUNDAM</t>
  </si>
  <si>
    <t>SHOTO ICHIBAN</t>
  </si>
  <si>
    <t>DUO BARBA NEGRA / BLANCA</t>
  </si>
  <si>
    <t>SUKUNA CHOKONOKO</t>
  </si>
  <si>
    <t>NARUTO MEMORABLE SAGA</t>
  </si>
  <si>
    <t>ANYA LUMINASTA</t>
  </si>
  <si>
    <t>KYKIO POP UP</t>
  </si>
  <si>
    <t>ITADORI BANPRESTO</t>
  </si>
  <si>
    <t>LAW DXF</t>
  </si>
  <si>
    <t>DUO NIKKE WAIFU</t>
  </si>
  <si>
    <t>ZENITSU VIBRATION OPEN</t>
  </si>
  <si>
    <t>DAN PARRA S</t>
  </si>
  <si>
    <t>RELAX TIME QUINTILLIZA</t>
  </si>
  <si>
    <t>GOJO FIGURIZMA ROJO</t>
  </si>
  <si>
    <t>UZUI LAST ONE</t>
  </si>
  <si>
    <t>NOW MILDRA SASUKE</t>
  </si>
  <si>
    <t>SANTIAGO DIEZ QUIÑONES</t>
  </si>
  <si>
    <t>NAGI BLUELOCK</t>
  </si>
  <si>
    <t>MISHELLE ANTOINNET VALLE LAMADRID MIMI</t>
  </si>
  <si>
    <t>TOKITO FIGURIZMA</t>
  </si>
  <si>
    <t>MARCOS TORRES M</t>
  </si>
  <si>
    <t>SE ENTREGO</t>
  </si>
  <si>
    <t>4 BLOCKEES POKEMON</t>
  </si>
  <si>
    <t>PIKACHU BLOKEE</t>
  </si>
  <si>
    <t>PSYDUCK BLOCKEE</t>
  </si>
  <si>
    <t>NANACHI FIGURA</t>
  </si>
  <si>
    <t>KURUMI DATE A LIVE ARTIST MASTERPIECE</t>
  </si>
  <si>
    <t>GOKU ULTRA INSTINTO CAJA BLANCA</t>
  </si>
  <si>
    <t>MISHELL J LINO F</t>
  </si>
  <si>
    <t>SASUKE TRANSFORMADO VIBRATION</t>
  </si>
  <si>
    <t>MAGA OSCURA YU GI OH</t>
  </si>
  <si>
    <t>GOGETA SSJ4 BLOOD</t>
  </si>
  <si>
    <t>BANG BRAVE BANG BREAK TIME</t>
  </si>
  <si>
    <t>BLOCKEE PSYDUCK</t>
  </si>
  <si>
    <t>LUCARIO BLOCKEE</t>
  </si>
  <si>
    <t>LOKI PEQUEÑO JAPON</t>
  </si>
  <si>
    <t>MICHELLE ZAPATA PALMA</t>
  </si>
  <si>
    <t>GOLD ROGER KOA</t>
  </si>
  <si>
    <t>JOSE LUIS CHOQUE DAVILA</t>
  </si>
  <si>
    <t>GOKU ALAS HISTORY BOX</t>
  </si>
  <si>
    <t>VEGETA SOLID EDGE</t>
  </si>
  <si>
    <t>DUO GOKU ANDROIDE MATCH MAKER</t>
  </si>
  <si>
    <t>CHARMANDER BLOCKES</t>
  </si>
  <si>
    <t>RIFA</t>
  </si>
  <si>
    <t>SET X10 FOLDER YUGIOH</t>
  </si>
  <si>
    <t>NESTOR HUGO PASTRANA</t>
  </si>
  <si>
    <t>JORGE E QUISPE BETOCOQUETO</t>
  </si>
  <si>
    <t>TOKHA DATE A LIVE</t>
  </si>
  <si>
    <t>NARUTO SASUKE COMBINATION BATTLE</t>
  </si>
  <si>
    <t>DIEGO A QUISPE E</t>
  </si>
  <si>
    <t>ENEMIGO YU YU HAKUSHO</t>
  </si>
  <si>
    <t>JOSE G PARI C</t>
  </si>
  <si>
    <t>TSUKAZA LUMINASTA</t>
  </si>
  <si>
    <t>DIEGO E FIGUEROA C</t>
  </si>
  <si>
    <t>SANEMI PODER XROSS LINKS</t>
  </si>
  <si>
    <t>RIN QPOSKET</t>
  </si>
  <si>
    <t>CARRO F1</t>
  </si>
  <si>
    <t>STOCK LLEGO</t>
  </si>
  <si>
    <t>no cobrar</t>
  </si>
  <si>
    <t>TSUKISHIMA HAYKIU</t>
  </si>
  <si>
    <t>FRANK YUCRA</t>
  </si>
  <si>
    <t>TSUKISHIMA HAYKIU V2</t>
  </si>
  <si>
    <t>ORIANNA C SANDOVAL M</t>
  </si>
  <si>
    <t>ALYA ICHIBAN A</t>
  </si>
  <si>
    <t>REM PINGUINA</t>
  </si>
  <si>
    <t>CRISTO R</t>
  </si>
  <si>
    <t>MIKAZA NENDOROID</t>
  </si>
  <si>
    <t>CRISTOPHER R DEZA</t>
  </si>
  <si>
    <t>EREN NENDOROID</t>
  </si>
  <si>
    <t>VICTOR A MORALES</t>
  </si>
  <si>
    <t>JORGE R MORENO P</t>
  </si>
  <si>
    <t>LUFFY KOA</t>
  </si>
  <si>
    <t>LLAVERO AIZEN</t>
  </si>
  <si>
    <t>TOKHA NENDOROID</t>
  </si>
  <si>
    <t>EXO WAIFU BLANCA</t>
  </si>
  <si>
    <t>REM Y ECHIDNA SILLA</t>
  </si>
  <si>
    <t>SUELTA NAMI X2</t>
  </si>
  <si>
    <t>GRECIA M CORDERO</t>
  </si>
  <si>
    <t>ERICK GARCIA M</t>
  </si>
  <si>
    <t>BOONEY DXF</t>
  </si>
  <si>
    <t>BOA NIÑA</t>
  </si>
  <si>
    <t>ZORO GRANDISTA SPECIAL EDITION</t>
  </si>
  <si>
    <t>WAIFU ECHADA NEGRA</t>
  </si>
  <si>
    <t>MISTURI VIBRATION STARS LIMITED</t>
  </si>
  <si>
    <t>CHRISTIAN J VERA C</t>
  </si>
  <si>
    <t>FATIMA PATRIA LUZ SANCHEZ</t>
  </si>
  <si>
    <t>DAKI DXF</t>
  </si>
  <si>
    <t>MITSURI ICHIBAN</t>
  </si>
  <si>
    <t>SLIME MUJER BLANCO</t>
  </si>
  <si>
    <t>SET ACRILICOS</t>
  </si>
  <si>
    <t>QPOSKET RIN</t>
  </si>
  <si>
    <t>ALBEDO SENTADA DESKTOP</t>
  </si>
  <si>
    <t>HIMIKO TOGA SUELTA</t>
  </si>
  <si>
    <t>ROCIO DEL CARMEN CRUZADO SOTELO - FATIMON</t>
  </si>
  <si>
    <t>ITACHI EFFEXTREME</t>
  </si>
  <si>
    <t>SAKURA PANEL SPECTACLE</t>
  </si>
  <si>
    <t>KOALA ONE PIECE</t>
  </si>
  <si>
    <t>GOKU SS4 SUELTO</t>
  </si>
  <si>
    <t>BROLY SCULPTURE SUELTO</t>
  </si>
  <si>
    <t>SANJI MASCARA WCF</t>
  </si>
  <si>
    <t>DUO GUNDAM PEQUEÑOS</t>
  </si>
  <si>
    <t>GOHAN SOLID ROPA NARANJA</t>
  </si>
  <si>
    <t>DUO POSTER SUMIKO</t>
  </si>
  <si>
    <t>KANNA OCHINOKO STOCK</t>
  </si>
  <si>
    <t xml:space="preserve">SONICO ROPA BLANCA </t>
  </si>
  <si>
    <t>MUJER KIMONO CABELLO CELESTE</t>
  </si>
  <si>
    <t>BAKUGO ICHIBAN SUELTO</t>
  </si>
  <si>
    <t>MIKU ROSADA SENTADA</t>
  </si>
  <si>
    <t>SET 4 HOKAGES</t>
  </si>
  <si>
    <t>SHINOBU LUMINASTA</t>
  </si>
  <si>
    <t>AIZA DAN DA DAN</t>
  </si>
  <si>
    <t>DUO ESCENA TOMIOKA SABITO</t>
  </si>
  <si>
    <t>MARIN ECHADA MASTERPICE</t>
  </si>
  <si>
    <t>HIMMEL FRIEREN</t>
  </si>
  <si>
    <t>FRIEREN VESTIDO</t>
  </si>
  <si>
    <t>FRIEREN EN TESORO</t>
  </si>
  <si>
    <t>RIN OKUMURA</t>
  </si>
  <si>
    <t>RANMA LUMINASTA X4</t>
  </si>
  <si>
    <t>ZORO DRAMATIC SHOWCASE</t>
  </si>
  <si>
    <t>VIVI VESTIDO BLANCO</t>
  </si>
  <si>
    <t>ITACHI EFFEXTREME SOPLO</t>
  </si>
  <si>
    <t>FRIEREN AGARRANDO RAMO V1</t>
  </si>
  <si>
    <t>FRIEREN AGARRANDO RAMO V2</t>
  </si>
  <si>
    <t>FRIEREN MANO ROSTO</t>
  </si>
  <si>
    <t>FERN MANO ROSTO</t>
  </si>
  <si>
    <t>FERN SENTADA</t>
  </si>
  <si>
    <t>RENGOKU MAXIMATIC</t>
  </si>
  <si>
    <t>KAIJU MOUSNTRUO GRANDISTA</t>
  </si>
  <si>
    <t>NARUTO KURAMA PANEL SPECTACLE</t>
  </si>
  <si>
    <t>SHAMPOO LUMINASTA</t>
  </si>
  <si>
    <t>TANJIRO SENTADO</t>
  </si>
  <si>
    <t>DONNA S CANO M</t>
  </si>
  <si>
    <t>GENYA SENTADO</t>
  </si>
  <si>
    <t>PEDRO VELASQUEZ C</t>
  </si>
  <si>
    <t>JEFE DEMON DXF</t>
  </si>
  <si>
    <t>RONALD QUISPE H</t>
  </si>
  <si>
    <t>GOHAN BESTIA DXF</t>
  </si>
  <si>
    <t>CARLOS D RODRIGUEZ</t>
  </si>
  <si>
    <t>CLEARISE GOTENKS</t>
  </si>
  <si>
    <t>ANDROIDE 18 MATCH MAKER</t>
  </si>
  <si>
    <t>FREEZER SOLID EDGE WORKS</t>
  </si>
  <si>
    <t>CHIBI MASTER *4</t>
  </si>
  <si>
    <t>SUELTA NAMI X1</t>
  </si>
  <si>
    <t>DENILSON A MERCEDES</t>
  </si>
  <si>
    <t>NINO SENTADA</t>
  </si>
  <si>
    <t>CRISTIAN ELVIS RAMOS CHAINA</t>
  </si>
  <si>
    <t>VICTORIA MAMANI</t>
  </si>
  <si>
    <t>LUFFY ICHIBAN SUELTO CON CAJA</t>
  </si>
  <si>
    <t>JOSE LUIS TUESTA NOLE</t>
  </si>
  <si>
    <t>URARAKA SUELTA CON CAJA</t>
  </si>
  <si>
    <t>DIEGO QUILLE MENDIVES - JENNY MENDIVES</t>
  </si>
  <si>
    <t>SASUKE GRANDISTA CLASICO</t>
  </si>
  <si>
    <t>MAO MAO BRILLIANT KIMONO</t>
  </si>
  <si>
    <t>WCF BOA HANCKOOK</t>
  </si>
  <si>
    <t>ICHIKA NAKANO ROPA BAÑO</t>
  </si>
  <si>
    <t>BOCCHI</t>
  </si>
  <si>
    <t xml:space="preserve">NIJIKA </t>
  </si>
  <si>
    <t xml:space="preserve">RYO </t>
  </si>
  <si>
    <t>BAKUGO MAXIMATIC</t>
  </si>
  <si>
    <t>MAO MAO SENTADA</t>
  </si>
  <si>
    <t>MODEL KIT GUNDAM ORPHANS</t>
  </si>
  <si>
    <t>OROCHIMARU QPOSKET</t>
  </si>
  <si>
    <t>ESCENA SANJI WCF</t>
  </si>
  <si>
    <t>Q POSKET GUNDAM X2</t>
  </si>
  <si>
    <t>DUO QPOSKET DBZ</t>
  </si>
  <si>
    <t>LAMPARA NEGRA ONE PIECE</t>
  </si>
  <si>
    <t>RYUSUI DR STONE</t>
  </si>
  <si>
    <t>JUAN B YUCRA</t>
  </si>
  <si>
    <t>TRIO SACERDOTIZAS</t>
  </si>
  <si>
    <t>LUIS ESPARROFI</t>
  </si>
  <si>
    <t>DUO QPOSKET HIMIKO TOGA</t>
  </si>
  <si>
    <t>NOBARA</t>
  </si>
  <si>
    <t>ELIEZER QUISPE A</t>
  </si>
  <si>
    <t>MAKIMA GLITTER</t>
  </si>
  <si>
    <t>DUO GOGETAS OPEN</t>
  </si>
  <si>
    <t>MP</t>
  </si>
  <si>
    <t>GUNDAM TRANSPARENTE</t>
  </si>
  <si>
    <t xml:space="preserve">MARIN DIABLA ECHADA </t>
  </si>
  <si>
    <t>MAMI NANAMI NENDOROID</t>
  </si>
  <si>
    <t>KAORI MIYAZONO</t>
  </si>
  <si>
    <t>AANG NENDOROID</t>
  </si>
  <si>
    <t>LUFFY PUÑO FUEGO ICHIBAN</t>
  </si>
  <si>
    <t>TERESA CULQUICONDOR</t>
  </si>
  <si>
    <t>HOLOLIVE RELAX TIME</t>
  </si>
  <si>
    <t>EDSON PILLACA G</t>
  </si>
  <si>
    <t>GOKU BLUE CAJA NARANJA</t>
  </si>
  <si>
    <t>DEKU ICHIBAN MASTERLISE</t>
  </si>
  <si>
    <t>RICARDO G CAMPOS</t>
  </si>
  <si>
    <t>HATSUNE MIKU FIGURIZMA</t>
  </si>
  <si>
    <t>DUO WCF LUCCY LUFFY</t>
  </si>
  <si>
    <t>DUO MIDORIYA SUELTO</t>
  </si>
  <si>
    <t>BRUNO PALOMINO</t>
  </si>
  <si>
    <t>TRIO DIOSES EGIPCIOS</t>
  </si>
  <si>
    <t>BOA HANCOCK BATTLE RECORD</t>
  </si>
  <si>
    <t>ALEXANDER MACO - DINA ACUÑA</t>
  </si>
  <si>
    <t>TRIO ICHIBAN BLUE LOCK</t>
  </si>
  <si>
    <t>MIHAWK DX ONE PIECE</t>
  </si>
  <si>
    <t>FLAVIA SALINAS M</t>
  </si>
  <si>
    <t>ZORO EGGHEAD ICHIBAN MASTERLISE</t>
  </si>
  <si>
    <t>SANJI ICHIBAN MASTERLISE</t>
  </si>
  <si>
    <t>ZORO Y SANJI ICHIBAN MASTERLISE</t>
  </si>
  <si>
    <t>YERALDINE C ARANGUEZ V</t>
  </si>
  <si>
    <t>SIRENA ONE PIECE</t>
  </si>
  <si>
    <t>INOSUKE SUELTO</t>
  </si>
  <si>
    <t>JONATAN CHAPILLIQUEN</t>
  </si>
  <si>
    <t>ADELA GALLARDO - LLANI ANTICONA</t>
  </si>
  <si>
    <t>HOMBRE MOTOSIERRA</t>
  </si>
  <si>
    <t>MUZAN DXF</t>
  </si>
  <si>
    <t>CHAOS SOLDIER YU GI OH</t>
  </si>
  <si>
    <t>stock</t>
  </si>
  <si>
    <t>MOTO KAWASAKI</t>
  </si>
  <si>
    <t>EVA NEGRO</t>
  </si>
  <si>
    <t>KUMA ICHIBAN KUJI</t>
  </si>
  <si>
    <t>CAJA TESORO YU GI OH</t>
  </si>
  <si>
    <t>SLIFER MONSTER LEGION</t>
  </si>
  <si>
    <t>PELUCHES YU GI OH * 5</t>
  </si>
  <si>
    <t>GON MINI FURYU</t>
  </si>
  <si>
    <t>KILLUA MINI FURYU</t>
  </si>
  <si>
    <t xml:space="preserve">UBEL VESTIDO NEGRO FRIEREN </t>
  </si>
  <si>
    <t>FERN MAID LUMINASTA</t>
  </si>
  <si>
    <t>FRIEREN MAID LUMINASTA</t>
  </si>
  <si>
    <t>MAGA OSCURA VOLANDO SENSUAL</t>
  </si>
  <si>
    <t>PIKACHU AMIIBO</t>
  </si>
  <si>
    <t>ENTRENADOR AMIIBO</t>
  </si>
  <si>
    <t>PICHU AMIIBO</t>
  </si>
  <si>
    <t>GIGLYPUFF AMIIBO</t>
  </si>
  <si>
    <t>ARALE Q POSKET</t>
  </si>
  <si>
    <t>RAPHAEL EFFEXTREME</t>
  </si>
  <si>
    <t>RAGA LOBO EFFEXTREME</t>
  </si>
  <si>
    <t>SLIME MUJER PELO GRIS MAID</t>
  </si>
  <si>
    <t>VEGITO 2025 PODER</t>
  </si>
  <si>
    <t>GOGETA 2025 PODER</t>
  </si>
  <si>
    <t>BROLY MATCH MAKER</t>
  </si>
  <si>
    <t>YU GI POSTURA ESCENA</t>
  </si>
  <si>
    <t>ALL MIGHT FLACO AMAZING HEROES</t>
  </si>
  <si>
    <t>NEFERPITOU VIBRATION STARS</t>
  </si>
  <si>
    <t>HINATA VIBRATION STARS</t>
  </si>
  <si>
    <t>ACE GRANDISTA</t>
  </si>
  <si>
    <t>DOFLAMINGO WCF</t>
  </si>
  <si>
    <t>CORAZON WCF</t>
  </si>
  <si>
    <t>SLIME MUJER PELO ROSA MAID</t>
  </si>
  <si>
    <t>RENGOKU GRANDISTA</t>
  </si>
  <si>
    <t>GRENINJA AMIIBO</t>
  </si>
  <si>
    <t>SAKURA PUÑO SIN MANGAS</t>
  </si>
  <si>
    <t>URYU ISHIDA BLEACH</t>
  </si>
  <si>
    <t>HATSUNE MIKU EMPTY SEKAI PLOMA</t>
  </si>
  <si>
    <t>YOICHI ISAGI SENTADO</t>
  </si>
  <si>
    <t>ICHIGO BLEACH CAJA BLANCA</t>
  </si>
  <si>
    <t>RENGOKU DXF</t>
  </si>
  <si>
    <t>HERMANO RENGOKU DXF</t>
  </si>
  <si>
    <t>ZETSU TRANSFORMADO VIBRATION</t>
  </si>
  <si>
    <t>KEVIN MARQUEZ</t>
  </si>
  <si>
    <t>ENTREGADOS</t>
  </si>
  <si>
    <t>OBITO TRANSFORMACION VIBRATION MASCARA</t>
  </si>
  <si>
    <t>E HERO SHINING FLARE WINGMAN</t>
  </si>
  <si>
    <t>BOCCHI SENTADA ROSADA</t>
  </si>
  <si>
    <t>GAMABUNTA SENTADO</t>
  </si>
  <si>
    <t>SHUKAKU SENTADO</t>
  </si>
  <si>
    <t>MAGA OSCURA POSTURA ESCENA</t>
  </si>
  <si>
    <t>KEMPACHI ICHIBAN KUJI C</t>
  </si>
  <si>
    <t>SHINOBU ICHIBAN C</t>
  </si>
  <si>
    <t>GOKU ROPA AZUL LAST ONE</t>
  </si>
  <si>
    <t>CHARIZARD AMIIBO</t>
  </si>
  <si>
    <t>UBEL JAJA FRIEREN</t>
  </si>
  <si>
    <t>UMAMUSUME RELAX TIME</t>
  </si>
  <si>
    <t>PELO NARANJA YUYU HAKUSHO</t>
  </si>
  <si>
    <t>LEONEL ALTAMIRANO - VERONICA ALTAMIRANO</t>
  </si>
  <si>
    <t>FRANKY MODEL KIT</t>
  </si>
  <si>
    <t>KIARA CUSTODIO - NAYLA</t>
  </si>
  <si>
    <t>ASUKA SUELTA EVANGELION</t>
  </si>
  <si>
    <t>BARDOCK SS3 SUELTO</t>
  </si>
  <si>
    <t>BAN NANATSU NO TAIZAI</t>
  </si>
  <si>
    <t>MARIN MAID ENCADENADA</t>
  </si>
  <si>
    <t>FRIEREN SENTADA ADORNO CABEZA</t>
  </si>
  <si>
    <t>HIMMEL SENTADO ADORNO CABEZA</t>
  </si>
  <si>
    <t>TRUNKS CHALECO SS1 SOLID EDGE</t>
  </si>
  <si>
    <t>MERUEM HUNTER X HUNTER VIBRATION STARS</t>
  </si>
  <si>
    <t>NETERO HUNTER X HUNTER VIBRATION STARS</t>
  </si>
  <si>
    <t>RIMURU PODER ESPRESTO</t>
  </si>
  <si>
    <t>RANMA PELO ROJO LUMINASTA</t>
  </si>
  <si>
    <t>KITE VIBRATION STARS</t>
  </si>
  <si>
    <t>CR</t>
  </si>
  <si>
    <t>RIN ITOSHI SENTADO</t>
  </si>
  <si>
    <t>ROCKLEE VIBRATION STARS</t>
  </si>
  <si>
    <t>MARIN SENTADA BIKINI</t>
  </si>
  <si>
    <t>FOLDER ONE PIECE</t>
  </si>
  <si>
    <t>PIKMIN SMASH AMIIBO</t>
  </si>
  <si>
    <t>MARSHALL</t>
  </si>
  <si>
    <t>WAIFU BIKINI SUELTA</t>
  </si>
  <si>
    <t>JOSE L MORALES G</t>
  </si>
  <si>
    <t>RADITZ SCULPTURE</t>
  </si>
  <si>
    <t>VEGITO SSJ BLOOD</t>
  </si>
  <si>
    <t>WCF LUFFY G5</t>
  </si>
  <si>
    <t>HIDAN CLASICO VIBRATION STARS NUEVA</t>
  </si>
  <si>
    <t>KAKUZU VIBRATION STARS NUEVA</t>
  </si>
  <si>
    <t>ZETSU VIBRATION STARS NUEVA</t>
  </si>
  <si>
    <t>SASORI EFFEXTREME</t>
  </si>
  <si>
    <t>KONAN VIBRATION STAR NEW V</t>
  </si>
  <si>
    <t>PREVENTA NOVIEMBRE</t>
  </si>
  <si>
    <t>PAIN VIBRATION STAR NEW V</t>
  </si>
  <si>
    <t>KAKUZU VIBRATION STARS NEW V</t>
  </si>
  <si>
    <t>HIDAN CLASICO VIBRATION STARS NEW V</t>
  </si>
  <si>
    <t>NSJ</t>
  </si>
  <si>
    <t>ZETSU VIBRATION STARS NEW V</t>
  </si>
  <si>
    <t>REM ROSADA</t>
  </si>
  <si>
    <t>ROBERTO G YAKI P</t>
  </si>
  <si>
    <t>REG NENDOROID</t>
  </si>
  <si>
    <t>RAQUEL LAURA A</t>
  </si>
  <si>
    <t>SANJI BANPRESTO</t>
  </si>
  <si>
    <t>BAKI ARTICULABLE</t>
  </si>
  <si>
    <t>YUJIRO ARTICULABLE</t>
  </si>
  <si>
    <t>FRANCHESCO SANDOVAL</t>
  </si>
  <si>
    <t>HIDAN CALAVERA VIBRATION STARS NEW V</t>
  </si>
  <si>
    <t>ALYA BI CUTE BUNNIES</t>
  </si>
  <si>
    <t>KURUMI HAPPY BIRTHDAY PRESENT</t>
  </si>
  <si>
    <t>SUGAR SLEEPY BUNNY RURUDO</t>
  </si>
  <si>
    <t>GRIMJOW VIBRATION STARS</t>
  </si>
  <si>
    <t>ALEJANDRO M YEP H</t>
  </si>
  <si>
    <t>JENNY ASHLEY VARGAS M</t>
  </si>
  <si>
    <t>DEKU ICHIBAN MASTERLISE CARA</t>
  </si>
  <si>
    <t>RENZO JAUREGUI</t>
  </si>
  <si>
    <t>DUO SERAFINES DXF</t>
  </si>
  <si>
    <t>ADOLFO L MAMANI H</t>
  </si>
  <si>
    <t>GOGETA XENO SS4 SBDH</t>
  </si>
  <si>
    <t>URARAKA BANPRESTO</t>
  </si>
  <si>
    <t>GLENY MIREYA HANCCO PATINO</t>
  </si>
  <si>
    <t>HAWK BANPRESTO</t>
  </si>
  <si>
    <t>MUJER PORTA LAPICERO X2</t>
  </si>
  <si>
    <t>MUJER CACHOS FRIEREN</t>
  </si>
  <si>
    <t>DIEGO A VIDAL D</t>
  </si>
  <si>
    <t>MOISES CRUZ MEDINA</t>
  </si>
  <si>
    <t>CESAR A GAMARRA P</t>
  </si>
  <si>
    <t>FRUTA ONE PIECE</t>
  </si>
  <si>
    <t>WING GUNDAM ZERO MG</t>
  </si>
  <si>
    <t>BASE GRANDE X3</t>
  </si>
  <si>
    <t>MUJER GUNDAM</t>
  </si>
  <si>
    <t>RENGOKU VIBRATION STARS</t>
  </si>
  <si>
    <t>LUFFY BATTLE RECORD COLECTION SPECIAL</t>
  </si>
  <si>
    <t>KATHERINE G AHUMADA C</t>
  </si>
  <si>
    <t>LUFFY BRAZO LARGO</t>
  </si>
  <si>
    <t>RUBIA BI CUTE BUNNIES</t>
  </si>
  <si>
    <t>KURUMI BI CUTE BUNNIES</t>
  </si>
  <si>
    <t>ALBEDO VESTIDO</t>
  </si>
  <si>
    <t>DUO GOJO GETO LUMINATA</t>
  </si>
  <si>
    <t>ASTRIT A COÑES E</t>
  </si>
  <si>
    <t>GAARA CHIBI MASTER</t>
  </si>
  <si>
    <t>CELENI YASMIN IDROGO R</t>
  </si>
  <si>
    <t>BEN 10</t>
  </si>
  <si>
    <t>SET CHIN CHAN</t>
  </si>
  <si>
    <t>CHACHAMARU PELUCHE DORMIDO</t>
  </si>
  <si>
    <t>MINATO VIBRATION STARS ROPA VERDE</t>
  </si>
  <si>
    <t>ITACHI EFFEXTREME SOPLO X 2</t>
  </si>
  <si>
    <t>ITACHI GRANDISTA</t>
  </si>
  <si>
    <t>PAIN AKATSUKI VIBRATION STARS NUEVA VERSION</t>
  </si>
  <si>
    <t>HOLOLIVE DUO</t>
  </si>
  <si>
    <t>PERCY STEVE HUAMANI C</t>
  </si>
  <si>
    <t>MODEL KIT SQUIRTLE</t>
  </si>
  <si>
    <t>URYU ISHIDA BLEACH FIGUARTS ZERO</t>
  </si>
  <si>
    <t>DEKU GRANDISTA BLANCO Y NEGRO</t>
  </si>
  <si>
    <t>CARLOS ACOSTA</t>
  </si>
  <si>
    <t>YUE NENDOROID</t>
  </si>
  <si>
    <t>KIKYO POP UP</t>
  </si>
  <si>
    <t>AMIGO BOLIVIA 2</t>
  </si>
  <si>
    <t>ICHIKA NAKANO LUMINASTA</t>
  </si>
  <si>
    <t>GYUTARO DXF</t>
  </si>
  <si>
    <t>JOSE LUIS VILCHEZ RIVERA</t>
  </si>
  <si>
    <t>PERSONAJE CHUPON YU YU HAKUSHO</t>
  </si>
  <si>
    <t>MARIA F MAMANI T</t>
  </si>
  <si>
    <t>JUAN ALVARO ROJAS R</t>
  </si>
  <si>
    <t>JEAN PAUL ERAS FRANCIA</t>
  </si>
  <si>
    <t>KAGUYA CHIBI MASTER</t>
  </si>
  <si>
    <t>YOH ASAKURA</t>
  </si>
  <si>
    <t>TOJI ESCENA BATALLA</t>
  </si>
  <si>
    <t>Shisui Uchiha TOP 99</t>
  </si>
  <si>
    <t>ANULADO LIBERACION</t>
  </si>
  <si>
    <t>LUFFY SCULPTURE SUELTO</t>
  </si>
  <si>
    <t>CARLOS ANTONIO AZABACHE</t>
  </si>
  <si>
    <t>GOLD ROGER DXF</t>
  </si>
  <si>
    <t>ALBEDO MORADA VESTIDO</t>
  </si>
  <si>
    <t>VICTOR J ROBLES Z</t>
  </si>
  <si>
    <t>KURUMI DESKTOP</t>
  </si>
  <si>
    <t>MAKIMA TAITO</t>
  </si>
  <si>
    <t>MIKU CELESTE SENTADA</t>
  </si>
  <si>
    <t>REM ARABE</t>
  </si>
  <si>
    <t>IRVING A VIGO B</t>
  </si>
  <si>
    <t>INOSUKE SUELTO V2</t>
  </si>
  <si>
    <t>TRIO HUNTER X HUNTER</t>
  </si>
  <si>
    <t>CYCLOPS MARVEL</t>
  </si>
  <si>
    <t>SPIDERMAN MARVEL</t>
  </si>
  <si>
    <t>DEKU OVEJITA</t>
  </si>
  <si>
    <t>BAKUGO ICHIBAN CARTA</t>
  </si>
  <si>
    <t>ALESSANDRA Y MINCIA R</t>
  </si>
  <si>
    <t>RAPHAEL BATA BLANCA</t>
  </si>
  <si>
    <t>FRANK E CRISOLES S</t>
  </si>
  <si>
    <t>SASUKE GRANDISTA</t>
  </si>
  <si>
    <t>DIABLO CAJA NEGRA</t>
  </si>
  <si>
    <t>CAJA ALIEN STAGE</t>
  </si>
  <si>
    <t>MISTURI DXF</t>
  </si>
  <si>
    <t>ALESANDRO W LOLI R</t>
  </si>
  <si>
    <t>KOTETSU DXF</t>
  </si>
  <si>
    <t>ARMIN QPOSKET</t>
  </si>
  <si>
    <t>KURUMI SPECIAL VESTIDO CHINO ROJO</t>
  </si>
  <si>
    <t>MARLYN URBANO</t>
  </si>
  <si>
    <t>LUFFY SHANKS MINI ESCENA SUELTA</t>
  </si>
  <si>
    <t>SANJI CHEF ESCENA MINI</t>
  </si>
  <si>
    <t>LUFFY DRAGON MANO LARGA MINI</t>
  </si>
  <si>
    <t>NARUTO PANEL SPECTACLE</t>
  </si>
  <si>
    <t>NAMI GLITTER &amp; GLAMOURS</t>
  </si>
  <si>
    <t>HATSUNE MIKU ETOILE VESTIDO ROJO</t>
  </si>
  <si>
    <t>XIOMARA J CRISANTO M</t>
  </si>
  <si>
    <t>LOKI ALMOHADA</t>
  </si>
  <si>
    <t>SE PAGO PESO</t>
  </si>
  <si>
    <t>SAKURA SIN MANGAS VIBRATION STARS</t>
  </si>
  <si>
    <t>SUELTA MUJER PELO ROSADO</t>
  </si>
  <si>
    <t>RENATO ALEXANDER DE LA TORRE SILVESTRE</t>
  </si>
  <si>
    <t>IRON MAN METALICO</t>
  </si>
  <si>
    <t>MG GUNDAM ALAS</t>
  </si>
  <si>
    <t>GUNDAM MINI</t>
  </si>
  <si>
    <t>TANJIRO NENDOROID DOLL</t>
  </si>
  <si>
    <t>RX 93 V GUNDAM GUNPLA</t>
  </si>
  <si>
    <t>SASUKE MODEL KIT</t>
  </si>
  <si>
    <t>LLEGO PERU OCT II</t>
  </si>
  <si>
    <t>SABO SH FIGUARTS</t>
  </si>
  <si>
    <t>ANYA NENDOROID 1902</t>
  </si>
  <si>
    <t>NENDOROID MECHA ROJO</t>
  </si>
  <si>
    <t>SET X 4 GUNDAM MINI</t>
  </si>
  <si>
    <t>MAJIN BUU GORDO SOLID EDGE</t>
  </si>
  <si>
    <t>GOKU BACULO ICHIBANSHO</t>
  </si>
  <si>
    <t>ERIKA AMANO POP UP</t>
  </si>
  <si>
    <t>TOJI LUMINASTA RE EDITION</t>
  </si>
  <si>
    <t>MAYCOL E CASTILLO S</t>
  </si>
  <si>
    <t>VEGITO SSJ BLUE BLOOD</t>
  </si>
  <si>
    <t>ALVARO G MOLERO F</t>
  </si>
  <si>
    <t>NENDOROID SWACHAO BAKUGO</t>
  </si>
  <si>
    <t>DESKTOP VERSION MHA</t>
  </si>
  <si>
    <t>LARREN LAGAN NENDOROID</t>
  </si>
  <si>
    <t>BAKUGO YURA YURA</t>
  </si>
  <si>
    <t>DAKI GLITTER &amp; GLAMOURS</t>
  </si>
  <si>
    <t>FAPUTA NENDOROID</t>
  </si>
  <si>
    <t>SUMI SAKURASAWA NENDOROID</t>
  </si>
  <si>
    <t>BLACK BIRD MODEL KIT</t>
  </si>
  <si>
    <t>LLEGO PERU ENE</t>
  </si>
  <si>
    <t>ASTA BLACK CLOVER NENDOROID</t>
  </si>
  <si>
    <t>ASUNA SAO NENDOROID</t>
  </si>
  <si>
    <t>MODEL KIT TRIO POKEMON</t>
  </si>
  <si>
    <t>LUFFY SUELTO CON CAJA</t>
  </si>
  <si>
    <t>DANIEL A ROCHA M</t>
  </si>
  <si>
    <t>SET X 4 SUELTOS ONE PIECE</t>
  </si>
  <si>
    <t>BON CLAY DXF</t>
  </si>
  <si>
    <t>IVANKOV DXF</t>
  </si>
  <si>
    <t>GOJO NENDOROID</t>
  </si>
  <si>
    <t>ZERO TWO NENDOROID</t>
  </si>
  <si>
    <t>ENDEAVOR DESKTOP VERSION</t>
  </si>
  <si>
    <t>BEYBLADE</t>
  </si>
  <si>
    <t>ESCENA DEKU CARGANDO HERMANA</t>
  </si>
  <si>
    <t xml:space="preserve">NOBARA SPM </t>
  </si>
  <si>
    <t>KONAN VIBRATION STAR ANTIGUO</t>
  </si>
  <si>
    <t>TWICE ESCENA PEQUEÑA</t>
  </si>
  <si>
    <t>CRIS M ESPINO Z</t>
  </si>
  <si>
    <t>MAKEINE POP UP</t>
  </si>
  <si>
    <t>ANNA YANAMI FURYU</t>
  </si>
  <si>
    <t>MINI GETO PELUCHE</t>
  </si>
  <si>
    <t>VEGITO DOKHAN BATTLE</t>
  </si>
  <si>
    <t>PELUCHE ROSADA</t>
  </si>
  <si>
    <t>POSTER SASORI</t>
  </si>
  <si>
    <t>OBANAI PEQUEÑO PELUCHE</t>
  </si>
  <si>
    <t>MUJER VOLADORA SLIME</t>
  </si>
  <si>
    <t>PENDIENTE</t>
  </si>
  <si>
    <t>UZAKI VAQUITA</t>
  </si>
  <si>
    <t>UZAKI MAID</t>
  </si>
  <si>
    <t>GUNDAM ALAS</t>
  </si>
  <si>
    <t>RENGOKU QPOSKET</t>
  </si>
  <si>
    <t>BORUTO FIGUARTS ZERO</t>
  </si>
  <si>
    <t>NARUTO FIGUARTS ZERO</t>
  </si>
  <si>
    <t>QPOSKET DUO SHINGEKI</t>
  </si>
  <si>
    <t>JORGE LARICO</t>
  </si>
  <si>
    <t>TRIO SHINGEKI FIGURAS</t>
  </si>
  <si>
    <t>PIKACHU MODEL KIT</t>
  </si>
  <si>
    <t>GETO POSEIDO CAJA BLANCA</t>
  </si>
  <si>
    <t>SERGIO M FLORES C</t>
  </si>
  <si>
    <t>VIEJITO BARBON BLEACH</t>
  </si>
  <si>
    <t>POR RECOLECTAR</t>
  </si>
  <si>
    <t>CUCHIKI BLEACH</t>
  </si>
  <si>
    <t>KEMPACHI BLEACH</t>
  </si>
  <si>
    <t>HAROLD ALEX MEDINA M</t>
  </si>
  <si>
    <t>HIEI YU YU HAKUSHO</t>
  </si>
  <si>
    <t>TOGURO YU YU HAKUSHO</t>
  </si>
  <si>
    <t>ICHIGO CAJA BLANCA BLEACH</t>
  </si>
  <si>
    <t>DENJI POCHITA VERSION NIÑO</t>
  </si>
  <si>
    <t>TOKITO VIBRATION STARS</t>
  </si>
  <si>
    <t>OROCHIMARU VIBRATION STARS</t>
  </si>
  <si>
    <t>SANDRA E CABANA R</t>
  </si>
  <si>
    <t>SHOTO NENDOROID SWACHAO</t>
  </si>
  <si>
    <t>MARLON A MOSTACERO M</t>
  </si>
  <si>
    <t>TIM BURTON MINI</t>
  </si>
  <si>
    <t>NICO ROBIN GLITTER</t>
  </si>
  <si>
    <t>PAGO LINK 04112025</t>
  </si>
  <si>
    <t>NEZUKO TRANSFORMADA DXF</t>
  </si>
  <si>
    <t>TOKHA MASTER STAR PIECE</t>
  </si>
  <si>
    <t>MUJER CABELLO CELESTE</t>
  </si>
  <si>
    <t>TANJIRO CAJA DXF</t>
  </si>
  <si>
    <t>INOSUKE DXF MASCARA</t>
  </si>
  <si>
    <t>NENDOROID DOLL REM</t>
  </si>
  <si>
    <t>SHINOBU QPOSKET</t>
  </si>
  <si>
    <t>3 QPOSKET</t>
  </si>
  <si>
    <t>FRANCO D PUJAY M</t>
  </si>
  <si>
    <t>HOLOLIVE NUEVA PELO ROSA</t>
  </si>
  <si>
    <t>GOJO GETO KOA</t>
  </si>
  <si>
    <t>TETERA ALICIA</t>
  </si>
  <si>
    <t>REM NENDOROID DOLL</t>
  </si>
  <si>
    <t>POSTER ONE PIECE</t>
  </si>
  <si>
    <t>PERSONAJE MOB PSYCHO POP UP</t>
  </si>
  <si>
    <t>GOKU BLUE ICHIBAN SUELTO</t>
  </si>
  <si>
    <t xml:space="preserve">LOTE SAO </t>
  </si>
  <si>
    <t>GABRIEL PALOMINO</t>
  </si>
  <si>
    <t xml:space="preserve">BAKUGO TRY POSE </t>
  </si>
  <si>
    <t>TOJI POSTURA 1RA EDICION</t>
  </si>
  <si>
    <t>GOJO POSTURA 1RA EDICION</t>
  </si>
  <si>
    <t>LUFFY MILITAR A</t>
  </si>
  <si>
    <t>PERONA JEAN</t>
  </si>
  <si>
    <t>ALEQUEX ROMY ROMAN A</t>
  </si>
  <si>
    <t>GOKU SSJ SOLID EDGE</t>
  </si>
  <si>
    <t>PABLO A ECHEGARAY P</t>
  </si>
  <si>
    <t>GYOMEI DXF FULL COLOR</t>
  </si>
  <si>
    <t>NAMI BATTTLE RECORD COLECTION</t>
  </si>
  <si>
    <t>AKAZA SEGA</t>
  </si>
  <si>
    <t>EMILETH N RODRIGUEZ T</t>
  </si>
  <si>
    <t>CHRISTIAN J AYALA M</t>
  </si>
  <si>
    <t>Nendoroid Alisa Mikhailovna Kujo</t>
  </si>
  <si>
    <t>LLEGO SET</t>
  </si>
  <si>
    <t>CLAUDE ROY L</t>
  </si>
  <si>
    <t>OBANAI METE DEDO</t>
  </si>
  <si>
    <t>ANDREA ROJAS MOSQUERA</t>
  </si>
  <si>
    <t>YUTA LUMINASTA</t>
  </si>
  <si>
    <t>CARLOS J BACA H</t>
  </si>
  <si>
    <t>HELLS PARADISE GABIMARU DXF</t>
  </si>
  <si>
    <t>HELLS PARADISE GABIMARU LUMINASTA</t>
  </si>
  <si>
    <t>MUJER BIKINI BLANCO GLITTER RUBIA</t>
  </si>
  <si>
    <t>GOJO LUMINASTA NUEVA EDICION CAJA AZUL</t>
  </si>
  <si>
    <t>KAKASHI GRANDISTA SIN CAJA</t>
  </si>
  <si>
    <t>METAL COOLER SOLID EDGE</t>
  </si>
  <si>
    <t>JHON BRUNO ATOCHE CARRASCO</t>
  </si>
  <si>
    <t>MIDORIYA GRANDE</t>
  </si>
  <si>
    <t>KAROL NAYELI HUACHES L</t>
  </si>
  <si>
    <t>GOJO KOA</t>
  </si>
  <si>
    <t>POCHITA SOFVIMATE SUELTO</t>
  </si>
  <si>
    <t>UNOHANA CAJA BLANCA</t>
  </si>
  <si>
    <t>KARLA FABIANA VARGAS</t>
  </si>
  <si>
    <t>GOKU DIOS SUELTO</t>
  </si>
  <si>
    <t>SAKURA SUELTA TOP 99</t>
  </si>
  <si>
    <t>SHUKAKU SUELTO</t>
  </si>
  <si>
    <t>LUFFY EGGHEAD DXF</t>
  </si>
  <si>
    <t>YHOSELYN S ECHE V</t>
  </si>
  <si>
    <t>SASUKE SPECIAL VERSION VS</t>
  </si>
  <si>
    <t>HASHIRAMA PANEL SPECTACLE</t>
  </si>
  <si>
    <t>SHAMPOO RANMA</t>
  </si>
  <si>
    <t>QPOSKET 4 SHINGEKI</t>
  </si>
  <si>
    <t>MITSURI QPOSKET</t>
  </si>
  <si>
    <t>HOMBRE MOTOSIERRA V2</t>
  </si>
  <si>
    <t>HOMBRE MOTOSIERRA V3</t>
  </si>
  <si>
    <t>AKI GRANDE</t>
  </si>
  <si>
    <t>POWER CON GATO</t>
  </si>
  <si>
    <t>DENJI SENTADO</t>
  </si>
  <si>
    <t>POWER GRANDE</t>
  </si>
  <si>
    <t>DENJI BANPRESTO</t>
  </si>
  <si>
    <t>AKI DXF</t>
  </si>
  <si>
    <t>POWER DXF</t>
  </si>
  <si>
    <t>HAYKIU PELO PLOMO</t>
  </si>
  <si>
    <t>KURO SENTADO</t>
  </si>
  <si>
    <t>POWER AERIAL</t>
  </si>
  <si>
    <t>POWER VIBRATION STARS</t>
  </si>
  <si>
    <t>REO BLUE LOCK FIGURA</t>
  </si>
  <si>
    <t xml:space="preserve">CHOPPER ROBOT </t>
  </si>
  <si>
    <t>RELAX TIME BLEACH</t>
  </si>
  <si>
    <t>KAGURA RELAX TIME</t>
  </si>
  <si>
    <t>INOSUKE DX SIN MASCARA</t>
  </si>
  <si>
    <t>YANINA D VASQUEZ G</t>
  </si>
  <si>
    <t>NIER AUTOMATA NENDOROID DOLL</t>
  </si>
  <si>
    <t>BRAYAN A LLERENA A</t>
  </si>
  <si>
    <t>MOCHILA SNOWBALL</t>
  </si>
  <si>
    <t>DUO ICHIBAN BLEACH</t>
  </si>
  <si>
    <t>DEKU BRILLANTE</t>
  </si>
  <si>
    <t>LUFFY PODER PUÑOS</t>
  </si>
  <si>
    <t>ALCANCIA NARUTO HOKAGES</t>
  </si>
  <si>
    <t>GRINJOW BLEACH ICHIBAN</t>
  </si>
  <si>
    <t>MARCELO TORRES VERASTEGUI</t>
  </si>
  <si>
    <t>LLAVERO ACRILICO PERHONA</t>
  </si>
  <si>
    <t>ERWIN NENDOROID</t>
  </si>
  <si>
    <t>ANGELA S MIRANDA C</t>
  </si>
  <si>
    <t>QPOSKET POWER SUELTA</t>
  </si>
  <si>
    <t>EREN TITAN</t>
  </si>
  <si>
    <t>JHON MAMANI S</t>
  </si>
  <si>
    <t>BROLY SSJ OPEN ICHIBAN</t>
  </si>
  <si>
    <t>DIEGO JUVENAL CALCINA</t>
  </si>
  <si>
    <t>RANGA EFFEXTREME</t>
  </si>
  <si>
    <t>SIRENA GLITTER</t>
  </si>
  <si>
    <t>BARBA BLANCA GRANDISTA</t>
  </si>
  <si>
    <t>CARLOS A VENTURA Y</t>
  </si>
  <si>
    <t>SEBASTIAN M GUZMAN O</t>
  </si>
  <si>
    <t>ESCENA LUFFY BARCO QUEMADO</t>
  </si>
  <si>
    <t>EEVEE PELUCHE</t>
  </si>
  <si>
    <t>EDIBELTON JHONAYKE ACOSTA P</t>
  </si>
  <si>
    <t>MINI RENGOKU PELUCHE</t>
  </si>
  <si>
    <t>TANJIRO PELUCHE</t>
  </si>
  <si>
    <t>NEZUKO PELUCHE</t>
  </si>
  <si>
    <t>PANDA PELUCHE</t>
  </si>
  <si>
    <t>MITSURI DXF</t>
  </si>
  <si>
    <t>BRAND FRANCO GUANILO GUZMAN</t>
  </si>
  <si>
    <t>CHOSO LUMINASTA NEW</t>
  </si>
  <si>
    <t>MATHIAS FABIAN TAMAYO</t>
  </si>
  <si>
    <t>TSUKISHIMA CUBRIENDO MATE</t>
  </si>
  <si>
    <t>ITADORI PODER FLASH</t>
  </si>
  <si>
    <t>BYAKUYA KUCHIKI LAST ONE</t>
  </si>
  <si>
    <t>ALBEDO BI CUTE BUNNIES NEGRA</t>
  </si>
  <si>
    <t>PATRICK G CONDEMARIN</t>
  </si>
  <si>
    <t>SANEMI DXF FULL COLOR</t>
  </si>
  <si>
    <t>OBANAI DXF FULL COLOR</t>
  </si>
  <si>
    <t>GOJO MAXIMATIC OPEN</t>
  </si>
  <si>
    <t>SHALTER BI CUTE BUNNIES</t>
  </si>
  <si>
    <t>GOKU MAXIMATIC</t>
  </si>
  <si>
    <t>LUIS G CARMONA E</t>
  </si>
  <si>
    <t>GOKU SS1 GX MATERIA</t>
  </si>
  <si>
    <t>SATURNIX UNIX MODEL KIT</t>
  </si>
  <si>
    <t>YURUCAMP PELO MORADO</t>
  </si>
  <si>
    <t>PITOHUI SAO</t>
  </si>
  <si>
    <t>ARMABLE LEGO DRAGON BALL</t>
  </si>
  <si>
    <t>INOSUKE SIN MASCARA</t>
  </si>
  <si>
    <t>MAESTRO ROCHI GX MATERIA</t>
  </si>
  <si>
    <t>COOLER MATCH MAKER</t>
  </si>
  <si>
    <t>ASUKA CAJA ECHADA</t>
  </si>
  <si>
    <t>TRIO HORMIGAS HXH</t>
  </si>
  <si>
    <t>TODO OK</t>
  </si>
  <si>
    <t>CHOPPER ARMABLE 2</t>
  </si>
  <si>
    <t>PERSONAJE BACULO HXH</t>
  </si>
  <si>
    <t>ARELY N RAVENNA M</t>
  </si>
  <si>
    <t>NOBARA DXF</t>
  </si>
  <si>
    <t>BAKUGO DX</t>
  </si>
  <si>
    <t>ALEJANDRO TUCTO</t>
  </si>
  <si>
    <t>PELUCHE GOJO</t>
  </si>
  <si>
    <t>JHONATAN SMITH - NELVA ARELLANO</t>
  </si>
  <si>
    <t>GYOMEI DXF SEPIA</t>
  </si>
  <si>
    <t>ROY P INGA V</t>
  </si>
  <si>
    <t>VEGETA GRANDISTA</t>
  </si>
  <si>
    <t>SE DIO DE KEVIN PEREZ</t>
  </si>
  <si>
    <t>HARLEY QUEEN</t>
  </si>
  <si>
    <t>RODRIGO J GARCIA M</t>
  </si>
  <si>
    <t>CLAUDIA S MEDINA Y</t>
  </si>
  <si>
    <t>URARAKA ICHIBAN</t>
  </si>
  <si>
    <t>YAMIL A QUISPE Y</t>
  </si>
  <si>
    <t>TOGA BANPRESTO</t>
  </si>
  <si>
    <t>BROLY ICHIBAN Y GOKU SS3 ICHIBAN</t>
  </si>
  <si>
    <t>LEONARDO V ESPINAL A</t>
  </si>
  <si>
    <t>PATRON KIMETSU DXF</t>
  </si>
  <si>
    <t>JAIME J MATTA C</t>
  </si>
  <si>
    <t>SHINOBU KIMETSU DXF</t>
  </si>
  <si>
    <t>DIEGO F YSLA Y</t>
  </si>
  <si>
    <t>ANNA YANAMI SENTADA</t>
  </si>
  <si>
    <t>POWER SUELTA CON CAJA</t>
  </si>
  <si>
    <t>METAL COOLER SUELTO</t>
  </si>
  <si>
    <t>DUO NARUTO VIBRATION STAR</t>
  </si>
  <si>
    <t>PABLO P BARZOLA U</t>
  </si>
  <si>
    <t>COLLAR PERONA</t>
  </si>
  <si>
    <t>FIGMA LEVI</t>
  </si>
  <si>
    <t>FERNANDO E TRUJILLO L</t>
  </si>
  <si>
    <t>GATITO SAILOR</t>
  </si>
  <si>
    <t>GETO LUMINASTA MANO</t>
  </si>
  <si>
    <t>ABRAHAM R TAPIA C</t>
  </si>
  <si>
    <t>GYOKO OPEN</t>
  </si>
  <si>
    <t>JEANPIERO I DELGADO G</t>
  </si>
  <si>
    <t>COLBERT M SOTO R</t>
  </si>
  <si>
    <t>RANMA MUJER RELAX TIME</t>
  </si>
  <si>
    <t>DIANA ANGIE CHALLA HUAYHUA</t>
  </si>
  <si>
    <t>NARUTO GRANDISTA</t>
  </si>
  <si>
    <t xml:space="preserve">KAKASHI GRANDISTA  </t>
  </si>
  <si>
    <t>HIMIKO TOGA POP UP PARADE</t>
  </si>
  <si>
    <t>KAORI MIYAZONO NENDOROID</t>
  </si>
  <si>
    <t>REM SILLA</t>
  </si>
  <si>
    <t>DRUSO RODOLFO CHAVEZ MORENO</t>
  </si>
  <si>
    <t>KAKASHI SCULTURE</t>
  </si>
  <si>
    <t>TSUNADE SCULTURE</t>
  </si>
  <si>
    <t>LUFFY ICHIBAN SUELTO ESPADA</t>
  </si>
  <si>
    <t>PAJARITO KIMETSU</t>
  </si>
  <si>
    <t>MUJER SOMBRILLA</t>
  </si>
  <si>
    <t>TOGA GLITTER GLAMOUR</t>
  </si>
  <si>
    <t>GOKU BLACK CLEARISE</t>
  </si>
  <si>
    <t>SHUKAKU NARUTO</t>
  </si>
  <si>
    <t>RENJI CAJA BLANCA</t>
  </si>
  <si>
    <t>GETO FIGURIZMA POSTURA</t>
  </si>
  <si>
    <t>OVERLORD ALBEDO</t>
  </si>
  <si>
    <t>TOJI LUMINASTA PARADO</t>
  </si>
  <si>
    <t>DEKU FURYU GRANDE</t>
  </si>
  <si>
    <t>BOA HANCKOK GLITTER GLAMOUR</t>
  </si>
  <si>
    <t>KIRITO NENDOROID</t>
  </si>
  <si>
    <t>TANJIRO MC FARLANE</t>
  </si>
  <si>
    <t>DOS WAIFUS</t>
  </si>
  <si>
    <t>DUO RELAX TIME RANMA</t>
  </si>
  <si>
    <t>MIGUEL A CARRERA C</t>
  </si>
  <si>
    <t>QPOSKET CHIBI MOON ROSADA</t>
  </si>
  <si>
    <t>MAMI PARADA</t>
  </si>
  <si>
    <t>CONEJA ROJA BI CUTE</t>
  </si>
  <si>
    <t>CHUN LI ICHIBAN</t>
  </si>
  <si>
    <t>*</t>
  </si>
  <si>
    <t>MUJER RAYO</t>
  </si>
  <si>
    <t>NARUTO VIBRATION NARANJA</t>
  </si>
  <si>
    <t>TANJIRO GRANDISTA X2</t>
  </si>
  <si>
    <t>NARUTO AMARILLO</t>
  </si>
  <si>
    <t>GAARA VIBRATION PLUS</t>
  </si>
  <si>
    <t>NAMI LOOK UP</t>
  </si>
  <si>
    <t>GAARP ROPA BLANCA DXF</t>
  </si>
  <si>
    <t>2 SETS ADVERGE KNY</t>
  </si>
  <si>
    <t>GOLD ROGER SOLID</t>
  </si>
  <si>
    <t>RELAX TIME PELO MARRON</t>
  </si>
  <si>
    <t>BLANCA NIEVES LUMINASTA</t>
  </si>
  <si>
    <t>MUJER SOMBRERO RUBIA</t>
  </si>
  <si>
    <t>ELAINA MANO EN BOCA VESTIDO MARRON</t>
  </si>
  <si>
    <t>INUI SAJUNA MAID ESPRESTO</t>
  </si>
  <si>
    <t>MARIN KITAGAWA MAID ESPRESTO</t>
  </si>
  <si>
    <t>MAHITO ICHIBAN TRANSFORMADO LAST ONE</t>
  </si>
  <si>
    <t>TODO ICHIBAN JJK</t>
  </si>
  <si>
    <t>ITADORI ICHIBAN JJK</t>
  </si>
  <si>
    <t>BAKUGO ICHIBAN PREMIO C PARADO</t>
  </si>
  <si>
    <t>SABO KOA PODER</t>
  </si>
  <si>
    <t xml:space="preserve">MAKIMA BI CUTE BUNNIES </t>
  </si>
  <si>
    <t>MADOKA ALAS ROSADA</t>
  </si>
  <si>
    <t>HIMIKO TOGA ROPA NEGRA</t>
  </si>
  <si>
    <t>FRIEREN SENTADA CARA CHINA</t>
  </si>
  <si>
    <t>NEJIRE GLITTER GLAMOURS</t>
  </si>
  <si>
    <t>GOGETA GRANDISTA PODER</t>
  </si>
  <si>
    <t>NARUTO VIBRATION CAPA BORUTO</t>
  </si>
  <si>
    <t>PAGO LINK 24/12</t>
  </si>
  <si>
    <t>SASUKE VIBRATION CAPA BORUTO</t>
  </si>
  <si>
    <t>ASUNA SUELTA EFECTO ESPADA</t>
  </si>
  <si>
    <t>CHROLLO NUEVO EFECTO</t>
  </si>
  <si>
    <t>GAMAKICHI</t>
  </si>
  <si>
    <t>NARUTO SABIO MEMORABLE SAGA</t>
  </si>
  <si>
    <t>SAKURA CARD CAPTORS BLANCA ROSA</t>
  </si>
  <si>
    <t>8 ACRILICOS ONE PIECE</t>
  </si>
  <si>
    <t>2 POSTER/FOLDER BLEACH</t>
  </si>
  <si>
    <t>SHINOBU GLITTER &amp; GLAMOURS</t>
  </si>
  <si>
    <t>RANMA ROJA NUEVA</t>
  </si>
  <si>
    <t>MARIN KITAGAWA MAID AMP</t>
  </si>
  <si>
    <t>ASUNA SEGA LPM</t>
  </si>
  <si>
    <t>MARIN DIABLA ROJA POSE NUEVA</t>
  </si>
  <si>
    <t>FOLDER POSTER ICHIGO</t>
  </si>
  <si>
    <t>ASUNA ESCALERA</t>
  </si>
  <si>
    <t>GOTENKS SOLID EDGE WORKS</t>
  </si>
  <si>
    <t>MINATO GRANDISTA</t>
  </si>
  <si>
    <t>BOLSO HERMOSO NEGRO OP</t>
  </si>
  <si>
    <t>KIZARU ONE P BATTLE RC</t>
  </si>
  <si>
    <t>LLAVERO LUFFY</t>
  </si>
  <si>
    <t>ACRILICO ROGER</t>
  </si>
  <si>
    <t>MIDORIYA AMAZING HEROES PLUS</t>
  </si>
  <si>
    <t>ACRILICO VIOLETA BLEACH</t>
  </si>
  <si>
    <t>DEYVI ALEXANDER ANGULO S</t>
  </si>
  <si>
    <t>LLEGO PERU MAR</t>
  </si>
  <si>
    <t>ROCK LEE ICHIBAN</t>
  </si>
  <si>
    <t>LLAVERO ICHIGO</t>
  </si>
  <si>
    <t>ACRILICO PERONA</t>
  </si>
  <si>
    <t>ZORO NEGRO KOA</t>
  </si>
  <si>
    <t>RAFTALIA BI CUTE BUNNIE</t>
  </si>
  <si>
    <t>MAI BI CUTE BUNNIE</t>
  </si>
  <si>
    <t>GAROU ONE PUNCH</t>
  </si>
  <si>
    <t>MUJER CON CASCO</t>
  </si>
  <si>
    <t>RUBIA MACROSS</t>
  </si>
  <si>
    <t>MARIA JOSE GONZALES R</t>
  </si>
  <si>
    <t>VEGETA BLOOD BLUE</t>
  </si>
  <si>
    <t>JAIR ALONSO HUACHACA V</t>
  </si>
  <si>
    <t>KAKASHI VIBRATION STARS</t>
  </si>
  <si>
    <t>RODRIGO MOZO - ANA C HERNANDEZ</t>
  </si>
  <si>
    <t>MINATO NARUTO ITACHI TOP 99</t>
  </si>
  <si>
    <t>ICHIBAN SCULTURE SABO</t>
  </si>
  <si>
    <t>PAUL VILA</t>
  </si>
  <si>
    <t>NAMI VESTIDO VERDE</t>
  </si>
  <si>
    <t>ERNESTO RODRIGUEZ K</t>
  </si>
  <si>
    <t>TOBIRAMA PANEL</t>
  </si>
  <si>
    <t>HOMBRE CAJA NEGRA ESPADA</t>
  </si>
  <si>
    <t>GOGETA POSTURA</t>
  </si>
  <si>
    <t>RONNY D POMA B</t>
  </si>
  <si>
    <t>DUO GRANDISTA NERO SANJI ZORO</t>
  </si>
  <si>
    <t>LUFFY BLISTER ICHIBAN</t>
  </si>
  <si>
    <t>NAMI BLISTER ICHIBAN</t>
  </si>
  <si>
    <t>USSOP CHOPPER ICHIBAN</t>
  </si>
  <si>
    <t>NICO ROBIN BLISTER ICHIBAN</t>
  </si>
  <si>
    <t>GOKU BLUE BLOOD OF SAYANS</t>
  </si>
  <si>
    <t>RANMA HOMBRE LUMINASTA</t>
  </si>
  <si>
    <t>AKANE LUMINASTA</t>
  </si>
  <si>
    <t>GOKU GX MATERIA</t>
  </si>
  <si>
    <t>ECHIDNA SILLA RE ZERO</t>
  </si>
  <si>
    <t>HOLOLIVE PELO GRIS MANO EN BOCA</t>
  </si>
  <si>
    <t>OSHINOKO ESPRESTO</t>
  </si>
  <si>
    <t>JEAN CARLOS RUBEN RAMIREZ</t>
  </si>
  <si>
    <t>LUIS ANGEL CARRION MELO</t>
  </si>
  <si>
    <t>Byakuya ICHIBAN KUJI LSAT ONE</t>
  </si>
  <si>
    <t>DUO ICHIBAN JOJOS</t>
  </si>
  <si>
    <t>SAITAMA DELUXE EDITION</t>
  </si>
  <si>
    <t>DUO RELAX TIME ONE PUNCH MAN</t>
  </si>
  <si>
    <t>STICKERS BLEACH</t>
  </si>
  <si>
    <t>JOSE ALONSO JAIR PEREZ  AMPUERO</t>
  </si>
  <si>
    <t>SET ADVERGE KIMETSU</t>
  </si>
  <si>
    <t>DRAGON YU GI OH PECHO MORADO</t>
  </si>
  <si>
    <t>RODRIGO A MORILLO C</t>
  </si>
  <si>
    <t>SET DESKTOP</t>
  </si>
  <si>
    <t>MUJER ROSADA SENTADA</t>
  </si>
  <si>
    <t>KOTOBUKIYA FALL GUYS</t>
  </si>
  <si>
    <t>CELL BWFC</t>
  </si>
  <si>
    <t>NAYELI ALEJANDRA VINCES C</t>
  </si>
  <si>
    <t>BAKUGO SUELTO CON CAJA</t>
  </si>
  <si>
    <t>QPOSKET EDICION ESPECIAL HOMBRE SAILOR</t>
  </si>
  <si>
    <t>TOMIOKA ICHIBAN SIN PALO</t>
  </si>
  <si>
    <t>POP UP PERSONA 5</t>
  </si>
  <si>
    <t>MUJER PELO CELESTE GLITTER GLAMOUR</t>
  </si>
  <si>
    <t>QPOSKET SLEEP MUJER ROPA AMARILLA</t>
  </si>
  <si>
    <t>SASUKE MALO VIBRATION STARS</t>
  </si>
  <si>
    <t xml:space="preserve">GAMABUNTA </t>
  </si>
  <si>
    <t>SHIGARAKI ICHIBAN</t>
  </si>
  <si>
    <t>MAURICIO A MAMANI H</t>
  </si>
  <si>
    <t>LEVI LIMPIADOR</t>
  </si>
  <si>
    <t>OZARU BABY</t>
  </si>
  <si>
    <t>MIGUEL G MANRIQUE C</t>
  </si>
  <si>
    <t>TANJIRO MAXIMATIC</t>
  </si>
  <si>
    <t>PIKACHU TOMY TAKARA</t>
  </si>
  <si>
    <t>BULMA GLITTER II</t>
  </si>
  <si>
    <t>MAO SUELTA</t>
  </si>
  <si>
    <t>SET MINIONS</t>
  </si>
  <si>
    <t>SHIKAMARU PEQUEÑOS</t>
  </si>
  <si>
    <t>SASUKE FIGUARTS ZERO</t>
  </si>
  <si>
    <t>PAGO LINK 251225</t>
  </si>
  <si>
    <t>MASHLE SUELTO</t>
  </si>
  <si>
    <t>MASHLE CABEZA ROJA</t>
  </si>
  <si>
    <t>SET HOKAGES X4</t>
  </si>
  <si>
    <t>PAGO LINK 290925</t>
  </si>
  <si>
    <t>GOKU GRANDISTA SSJ CARGANDO PODER</t>
  </si>
  <si>
    <t>JHONATAN R DAVILA T</t>
  </si>
  <si>
    <t>DRAKE NIKKE</t>
  </si>
  <si>
    <t>YOTSUBA OREJA GATO</t>
  </si>
  <si>
    <t>ROCK LEE SCULTURE</t>
  </si>
  <si>
    <t>NARUTO KURAMA AMARILLO ABRIENDO BOCA</t>
  </si>
  <si>
    <t>LUFFY CON SU PALO</t>
  </si>
  <si>
    <t>MINATO KURAMA VIBRATION STARS</t>
  </si>
  <si>
    <t>ESCENA LUFFY LLORANDO</t>
  </si>
  <si>
    <t>KANAO GLITTER &amp; GLAMOURS</t>
  </si>
  <si>
    <t>LEVI NENDOROID</t>
  </si>
  <si>
    <t>MINATO ESPECIAL EDITION</t>
  </si>
  <si>
    <t>GOJO LUMINASTA PURPURA</t>
  </si>
  <si>
    <t>JOHAN A OSORIO M</t>
  </si>
  <si>
    <t>MARIA D PILARES P</t>
  </si>
  <si>
    <t>PELUCHE POCHITA</t>
  </si>
  <si>
    <t>KAIUJU GRANDISTA MOUSNTRUO</t>
  </si>
  <si>
    <t>DENJI CHIBI</t>
  </si>
  <si>
    <t>AKI ADVERFE</t>
  </si>
  <si>
    <t>MOTOSIERRA+DENJI</t>
  </si>
  <si>
    <t>HOMBRE ROJO SLIME</t>
  </si>
  <si>
    <t>POPCONERA KIMETSU</t>
  </si>
  <si>
    <t>GRENINJA TOMY</t>
  </si>
  <si>
    <t>GRENINJA TOMY V2</t>
  </si>
  <si>
    <t>LUCARIO AMIIBO</t>
  </si>
  <si>
    <t>2 NANAMIS DORMIDOS</t>
  </si>
  <si>
    <t>PASACABLE NANAMI</t>
  </si>
  <si>
    <t>6 DORMILONES JJK</t>
  </si>
  <si>
    <t>GOJO - NANAMI ACRILICOS GRANDES</t>
  </si>
  <si>
    <t>TARJETA MAKI ZENIN</t>
  </si>
  <si>
    <t>POSTER GOJO</t>
  </si>
  <si>
    <t>CUADRADITO MAKI</t>
  </si>
  <si>
    <t>6 POSTERS JJK</t>
  </si>
  <si>
    <t>TOALLITA JJK</t>
  </si>
  <si>
    <t>ESCENA X 4 KIMETSU MEGAHOUSE</t>
  </si>
  <si>
    <t>WCF X2</t>
  </si>
  <si>
    <t>VASO NARANJA BOKU NO HERO</t>
  </si>
  <si>
    <t>ALBEDO ARTIST MASTERPIECE</t>
  </si>
  <si>
    <t>KON SOFVIMATE</t>
  </si>
  <si>
    <t>MERUEM ICHIBAN KUJI</t>
  </si>
  <si>
    <t>BAKUGO TEXTURE</t>
  </si>
  <si>
    <t>MORGANA PERSONA 5</t>
  </si>
  <si>
    <t>GATITO BLANCO SOFVIMATE URUSEI</t>
  </si>
  <si>
    <t>POSTER GRIMJOW</t>
  </si>
  <si>
    <t>ISABEL BOLAÑOS LOPEZ/ ALEXANDER ANGULO</t>
  </si>
  <si>
    <t>YU YU HAKUSHO VERDE</t>
  </si>
  <si>
    <t>YU YU HAKUSHO ROJO</t>
  </si>
  <si>
    <t>YU YU HAKUSHO PELO NEGRO</t>
  </si>
  <si>
    <t>KILLUA ICHIBAN KUJI</t>
  </si>
  <si>
    <t>HISOKA MEMORABLE SAGA</t>
  </si>
  <si>
    <t>MERCH A VALIDAR CUANDO LLEGUE</t>
  </si>
  <si>
    <t>PASACABLE GETO</t>
  </si>
  <si>
    <t>ADQUIRIR LOTE MIXTO</t>
  </si>
  <si>
    <t>CUADRITO BAKUGO V1</t>
  </si>
  <si>
    <t>CUADRITO BAKUGO V2</t>
  </si>
  <si>
    <t>2 WCF BROOK ACE</t>
  </si>
  <si>
    <t>KENPACHI SH FIGUARTS</t>
  </si>
  <si>
    <t>REM ADA</t>
  </si>
  <si>
    <t>RAM ADA</t>
  </si>
  <si>
    <t>BOB ESPONJA SOFVIMATE</t>
  </si>
  <si>
    <t>GOKU NUBE GX MATERIA</t>
  </si>
  <si>
    <t>DUO BORUTO SASUKE NARUTO VS</t>
  </si>
  <si>
    <t>BAKUGO CABEZON</t>
  </si>
  <si>
    <t>HAWKS CABEZON</t>
  </si>
  <si>
    <t>TENYA LIDA</t>
  </si>
  <si>
    <t>MARVEL X 3</t>
  </si>
  <si>
    <t>ALMOHADA LEVI</t>
  </si>
  <si>
    <t>BLADE LIGER ZOIDS</t>
  </si>
  <si>
    <t>GENO SAURER ZOIDS</t>
  </si>
  <si>
    <t>2 DUOS MATCH MAKER</t>
  </si>
  <si>
    <t>PORTA CELULAR LUFFY G5</t>
  </si>
  <si>
    <t>ESCENA HAYKIU</t>
  </si>
  <si>
    <t>RIMURU ESPRESTO</t>
  </si>
  <si>
    <t>2 DORMILONES JJK</t>
  </si>
  <si>
    <t>KURAMA MAXIMATIC YU YU HAKUSHO</t>
  </si>
  <si>
    <t>YU YU HAKUSHO CHUPON</t>
  </si>
  <si>
    <t>YU YU HAKUSHO PELO PARADO</t>
  </si>
  <si>
    <t>DUO SANJI MINI Y POSTER</t>
  </si>
  <si>
    <t>DUO NARUTO SASUKE BORUTO</t>
  </si>
  <si>
    <t>7 POKEMON AVION</t>
  </si>
  <si>
    <t>MITSURI POSE SENTADAD</t>
  </si>
  <si>
    <t>NENDOROID SHIZURU PERRITO</t>
  </si>
  <si>
    <t>MEGUMI SENTADITO</t>
  </si>
  <si>
    <t>MAKIMA SENTADITA</t>
  </si>
  <si>
    <t>MANUEL MARINO DIAZ PEREZ</t>
  </si>
  <si>
    <t>MINI GRIMJOW BLEACH</t>
  </si>
  <si>
    <t>GOJO SPM</t>
  </si>
  <si>
    <t>SHIKAMARU VIBRATION STARS</t>
  </si>
  <si>
    <t>DUO COMIENDO</t>
  </si>
  <si>
    <t>ESCENAS MEGAHOUSE KIMETSU</t>
  </si>
  <si>
    <t>PERONA ICHIBAN</t>
  </si>
  <si>
    <t>GOKU KAIOKEN MATCH MAKER</t>
  </si>
  <si>
    <t>VEGETA ESCENA MATCH MAKER</t>
  </si>
  <si>
    <t>DIEGO A ZEVALLOS T</t>
  </si>
  <si>
    <t>JOSE A PRINCIPE P</t>
  </si>
  <si>
    <t>SET QPOSKET</t>
  </si>
  <si>
    <t>SET X 5 CABALLEROS MYTH CLOTH</t>
  </si>
  <si>
    <t>SHANKS ICHIBAN SCULTURE</t>
  </si>
  <si>
    <t>MIKU PELUCHIN</t>
  </si>
  <si>
    <t>BALLENA ONE PIECE</t>
  </si>
  <si>
    <t>ITACHI MEMORABLE SAGA</t>
  </si>
  <si>
    <t>LAMPARA ONE PIECE MUJER ROSADA</t>
  </si>
  <si>
    <t>BERSERK ICHIBAN A GUTS</t>
  </si>
  <si>
    <t>DOUMA VIBRATION STARS</t>
  </si>
  <si>
    <t>SCULTURE MANJIRO SANO</t>
  </si>
  <si>
    <t>SET PLATOS ONE PIECE</t>
  </si>
  <si>
    <t>ICHIGO POSTER</t>
  </si>
  <si>
    <t>REZE GRANDISTA</t>
  </si>
  <si>
    <t>DUO SASUKE NARUTO ADULTOS VIBRATION S</t>
  </si>
  <si>
    <t>PASACABLES ITADORI</t>
  </si>
  <si>
    <t>OCHI NO KO CELESTE</t>
  </si>
  <si>
    <t>OCHI NO KO ROJO</t>
  </si>
  <si>
    <t>GOGETA ICHIBAN MASTERLISE EXTRA</t>
  </si>
  <si>
    <t>COMELONES NARUTO DUO</t>
  </si>
  <si>
    <t>PAGO LINK 300925</t>
  </si>
  <si>
    <t>JIRAIYA SCULTURE</t>
  </si>
  <si>
    <t>GAARA LAST ONE + BONUS</t>
  </si>
  <si>
    <t>MUJER BATA BLANCA SLIME</t>
  </si>
  <si>
    <t>HOLOLIVE CUERNOS</t>
  </si>
  <si>
    <t>HOLOLIVE BATA BLANCA RAYOS ROJOS</t>
  </si>
  <si>
    <t>RIMURU KUJI SENTADO</t>
  </si>
  <si>
    <t>DIABLO CON ENVASE</t>
  </si>
  <si>
    <t>ACRILICO PIKORO</t>
  </si>
  <si>
    <t>DOS ENVASES DBZ</t>
  </si>
  <si>
    <t>DUO ICHIBAN NARUTO MINATO PUÑO</t>
  </si>
  <si>
    <t>ITACHI FIGUARTS ZERO</t>
  </si>
  <si>
    <t>LAMPARA COSA ROJA</t>
  </si>
  <si>
    <t>KANEKI GRANDISTA</t>
  </si>
  <si>
    <t>MUJER RUBIA SENTADA</t>
  </si>
  <si>
    <t>BOWSER MARIO</t>
  </si>
  <si>
    <t>ICHIKA NAKANO POP UP</t>
  </si>
  <si>
    <t>LUIS A FLORES I</t>
  </si>
  <si>
    <t>GAARA VS PLUS *2</t>
  </si>
  <si>
    <t>DUO EXORCISTAS</t>
  </si>
  <si>
    <t>AXEL D ORTIZ KNOX</t>
  </si>
  <si>
    <t>DEKU Y SHOTO CABEZONES</t>
  </si>
  <si>
    <t>LUFFY SHANKS</t>
  </si>
  <si>
    <t xml:space="preserve">JUAN C PEREYRA A </t>
  </si>
  <si>
    <t>KURAMA B</t>
  </si>
  <si>
    <t>SUELTO MY HERO</t>
  </si>
  <si>
    <t>GABRIELA E BAZAN R</t>
  </si>
  <si>
    <t>ICHIBAN LAST ONE EVANGELION</t>
  </si>
  <si>
    <t>ANTONY TERRY SANCHEZ ALVA</t>
  </si>
  <si>
    <t>ALINA C BENITO B</t>
  </si>
  <si>
    <t>POWER BI CUTE BUNNIES</t>
  </si>
  <si>
    <t xml:space="preserve">DUO MAI </t>
  </si>
  <si>
    <t>MAI GRANDOTA</t>
  </si>
  <si>
    <t>DUO SENTADOS MY HERO</t>
  </si>
  <si>
    <t>PERSONA PERSONAJE MUJER</t>
  </si>
  <si>
    <t>HOGWARTS ARMABLE</t>
  </si>
  <si>
    <t>4 MINI KIUBY</t>
  </si>
  <si>
    <t>MODEL KIT PEQUEÑO</t>
  </si>
  <si>
    <t>MODEL KIT AZUL</t>
  </si>
  <si>
    <t>MUJER AZUL MY HERO</t>
  </si>
  <si>
    <t>ERICK ALEJANDRO BRENIS GONZALES</t>
  </si>
  <si>
    <t>GOKU NAMEK HISTORY BOX</t>
  </si>
  <si>
    <t>ALBEDO MAID</t>
  </si>
  <si>
    <t>GOKU SSJ GX MATERIA</t>
  </si>
  <si>
    <t>DANIA Y RODRIGUEZ M</t>
  </si>
  <si>
    <t>GENO BREAKER KOTOBUKIYA</t>
  </si>
  <si>
    <t>CARRO FORMULA 1 ARMABLE</t>
  </si>
  <si>
    <t>SET GINYU SOLID EDGE</t>
  </si>
  <si>
    <t>GOKU PODER SUELTO</t>
  </si>
  <si>
    <t>GOKU VEGETA PELEA ICHIBAN</t>
  </si>
  <si>
    <t>ITADORI KOA</t>
  </si>
  <si>
    <t>XIO PATRICIA GAMBOA</t>
  </si>
  <si>
    <t>ITADORI LUMINASTA</t>
  </si>
  <si>
    <t>TOMIOKA Q POSKET</t>
  </si>
  <si>
    <t>GOJO LUMINASTA MANO</t>
  </si>
  <si>
    <t>ALMIRANTE GASHA</t>
  </si>
  <si>
    <t>ENDEAVOR ICHIBAN SUELTO</t>
  </si>
  <si>
    <t>2 LLAVEROS MY HERO</t>
  </si>
  <si>
    <t>GOKU ICHIBAN OPEN VOLANDO</t>
  </si>
  <si>
    <t>ACRILICO DEKU BAKUGO SHOTO</t>
  </si>
  <si>
    <t>BRYAN ONIL MEZA ASENCIO</t>
  </si>
  <si>
    <t>GOJO CAJA NEGRA</t>
  </si>
  <si>
    <t>DUO WCF NARUTO SASUKE</t>
  </si>
  <si>
    <t>MATCH MAKER BUU GOHAN</t>
  </si>
  <si>
    <t>TRIO Q POSKETS</t>
  </si>
  <si>
    <t>CUADRITO TOGA</t>
  </si>
  <si>
    <t>5 LLAVEROS MY HERO</t>
  </si>
  <si>
    <t>SABITO SENTADITO</t>
  </si>
  <si>
    <t>ELSA CARDENAS</t>
  </si>
  <si>
    <t>PATRON KIMETSU</t>
  </si>
  <si>
    <t>RANGER AMARILLA</t>
  </si>
  <si>
    <t>KIKYO POP UP PARADE</t>
  </si>
  <si>
    <t>JHORDAN E TORIBIO L</t>
  </si>
  <si>
    <t>PICOLO ICHIBAN</t>
  </si>
  <si>
    <t>DOS ESCENAS SHINGEKI</t>
  </si>
  <si>
    <t>SUSANA NAVARRO</t>
  </si>
  <si>
    <t>SACERDOTIZA PECHUGONA</t>
  </si>
  <si>
    <t>CHOPPER SOFTVIMATES</t>
  </si>
  <si>
    <t>LLAVERO BOA</t>
  </si>
  <si>
    <t>SHOTO ICHIBAN SUELTO</t>
  </si>
  <si>
    <t>JULIO E RAMOS R</t>
  </si>
  <si>
    <t>OSITO TED</t>
  </si>
  <si>
    <t>NO LLEGARA</t>
  </si>
  <si>
    <t>INOSUKE DORMILON</t>
  </si>
  <si>
    <t>PREVENTA</t>
  </si>
  <si>
    <t>GYOMEI DORMILON</t>
  </si>
  <si>
    <t>SET TOALLAS MY HERO</t>
  </si>
  <si>
    <t>POSAVASOS DEKU</t>
  </si>
  <si>
    <t>GASHAPON CABALLA</t>
  </si>
  <si>
    <t>NEZUKO EN ENVASE GASHA</t>
  </si>
  <si>
    <t>PARECE Q NO LLEGARA</t>
  </si>
  <si>
    <t>GUNDAM BLANCO MORADO</t>
  </si>
  <si>
    <t>VEGETA BASE SOLID EDGE</t>
  </si>
  <si>
    <t xml:space="preserve">KAKASHI TOP 99 </t>
  </si>
  <si>
    <t>CHUNTARO</t>
  </si>
  <si>
    <t>SET KIMETSU ADVERGE</t>
  </si>
  <si>
    <t>EEVVE BLOKEES</t>
  </si>
  <si>
    <t>TERRY JEANPIER</t>
  </si>
  <si>
    <t>NEL COURIER</t>
  </si>
  <si>
    <t>GABIMARU LUMINASTA</t>
  </si>
  <si>
    <t>MARI MAKINAMI EVANGELION LUMINASTA</t>
  </si>
  <si>
    <t xml:space="preserve">JESSICA MAMANI P </t>
  </si>
  <si>
    <t>MOMO DAN DA DAN</t>
  </si>
  <si>
    <t>RIMURU SALTANDO</t>
  </si>
  <si>
    <t>ROSADA VESTIDO SLIME</t>
  </si>
  <si>
    <t>MORADA VESTIDO SLIME</t>
  </si>
  <si>
    <t>RIRISA LILIEL SH FIGUARTS</t>
  </si>
  <si>
    <t>JORGE P AGUEDO E</t>
  </si>
  <si>
    <t>KEVIN A ASMAT C</t>
  </si>
  <si>
    <t>CHOPPER PELON SOFVIMATE</t>
  </si>
  <si>
    <t>NICO / ALESSANDRA ARANGO</t>
  </si>
  <si>
    <t>DEKU ICHIBAN LAST ONE</t>
  </si>
  <si>
    <t>NARUTO GRANDISTA SPECIAL EDITION</t>
  </si>
  <si>
    <t>MUJER PELO MORADO ECHADA</t>
  </si>
  <si>
    <t>GOJO KOA ROPA BLANCA</t>
  </si>
  <si>
    <t>ASUKA SOMBRERO</t>
  </si>
  <si>
    <t>SHAARON B ALTAMIRANO F</t>
  </si>
  <si>
    <t>MIKU MASTERPIECE</t>
  </si>
  <si>
    <t>DRAKEN NENDOROID</t>
  </si>
  <si>
    <t>DIO JOJOS</t>
  </si>
  <si>
    <t>KAIJU 8 GRANDISTA</t>
  </si>
  <si>
    <t>FATE ALAS</t>
  </si>
  <si>
    <t>POWER CON GATITO</t>
  </si>
  <si>
    <t>ABEL</t>
  </si>
  <si>
    <t>REECUM SOLID EDGE</t>
  </si>
  <si>
    <t>CAPITAN GIN YU SOLID EDFE</t>
  </si>
  <si>
    <t>LEO BLOKEES</t>
  </si>
  <si>
    <t>CABALLITA SENTADA</t>
  </si>
  <si>
    <t>MU BLOKEES</t>
  </si>
  <si>
    <t>CABALLA RELAX TIME PIJAMA VERDE</t>
  </si>
  <si>
    <t>DUO GOJO GETO LUMINASTA</t>
  </si>
  <si>
    <t>GIULIANA I VERGARA U</t>
  </si>
  <si>
    <t>RAQUEL A ALARCON B</t>
  </si>
  <si>
    <t>TRIO PEQUEÑOS RANMA</t>
  </si>
  <si>
    <t>DIABLO DXF</t>
  </si>
  <si>
    <t>RAPHTALIA CHELERA</t>
  </si>
  <si>
    <t>SCORPIO BLOKEES</t>
  </si>
  <si>
    <t>FRIEREN LUMINASTA</t>
  </si>
  <si>
    <t>KEYSI P AGUILAR E</t>
  </si>
  <si>
    <t>MAI VESTIDO</t>
  </si>
  <si>
    <t>MARCO RIOS</t>
  </si>
  <si>
    <t>DUO BLOKEES CABALLEROS ZODIACO</t>
  </si>
  <si>
    <t>USAKI MAID</t>
  </si>
  <si>
    <t>OSHINOKO MASTERPIECE</t>
  </si>
  <si>
    <t>MAID MUJER PELO NEGRO</t>
  </si>
  <si>
    <t>DAKI GLITTER</t>
  </si>
  <si>
    <t>SET POSTER</t>
  </si>
  <si>
    <t>TOKHA DESKTOP BUNNIE</t>
  </si>
  <si>
    <t>JOSE A CHUQUICHAICO S</t>
  </si>
  <si>
    <t>3 GATOS SPY FAMILY</t>
  </si>
  <si>
    <t>MAKI SENTADA</t>
  </si>
  <si>
    <t>BARBA BLANCA MEGA WCF</t>
  </si>
  <si>
    <t>MAKIMA CAJA BLANCA</t>
  </si>
  <si>
    <t>ARTURO F SOLANO Y</t>
  </si>
  <si>
    <t>JONATHAN JOESTAR JOJOS</t>
  </si>
  <si>
    <t>DEKU ICHIBAN CLASICO</t>
  </si>
  <si>
    <t>MONO Y LEVI ICHIBAN</t>
  </si>
  <si>
    <t>ESCENA ITACHI SASUKE ICHIBAN</t>
  </si>
  <si>
    <t>DUO MEGUMI TOJI ESCENA</t>
  </si>
  <si>
    <t>4 DORMILONES KIMETSU</t>
  </si>
  <si>
    <t>3 REMS PEQUEÑAS</t>
  </si>
  <si>
    <t>KURUMI DESKTOP CUTE</t>
  </si>
  <si>
    <t>JUAN A LANAZCA L</t>
  </si>
  <si>
    <t>HAWKS ICHIBAN</t>
  </si>
  <si>
    <t>7 DORMILONES KIMETSU</t>
  </si>
  <si>
    <t>PECHUGONA DE ROJO FATE</t>
  </si>
  <si>
    <t>DATE A LIVE MUJER ROJO PELO</t>
  </si>
  <si>
    <t>LAMPARA SOMBRERO CHOPPER</t>
  </si>
  <si>
    <t>BANDERA ONE PIECE</t>
  </si>
  <si>
    <t>MARIN ROPA POLICIA PELO GRIS</t>
  </si>
  <si>
    <t>6 MADE IN ABBYS</t>
  </si>
  <si>
    <t>JOAQUIN SOBRINO CHRISTIAN</t>
  </si>
  <si>
    <t>MEGUMI MONEDERO + DENJI</t>
  </si>
  <si>
    <t>MUJER PELIRROJA BATA BLANCA</t>
  </si>
  <si>
    <t>LUFFY VINTAGE</t>
  </si>
  <si>
    <t>PELUCHE ROSA</t>
  </si>
  <si>
    <t>LEVI ICHIBAN MASTERLISE</t>
  </si>
  <si>
    <t>TAMASHI GUNDAM</t>
  </si>
  <si>
    <t>BROLY BLOOD</t>
  </si>
  <si>
    <t>AKAZA GRANDISTA</t>
  </si>
  <si>
    <t>REM PATAS ARRIBA RELAX TIME</t>
  </si>
  <si>
    <t xml:space="preserve">MUJER ONE PIECE </t>
  </si>
  <si>
    <t>3 PEQUEÑOS Y TOJI</t>
  </si>
  <si>
    <t xml:space="preserve">SAMURAI X </t>
  </si>
  <si>
    <t>PAGO LINK 11/11</t>
  </si>
  <si>
    <t>CELL ICHIBAN LAST ONE FASE 2</t>
  </si>
  <si>
    <t>CHOSO LUMINASTA ULTIMO</t>
  </si>
  <si>
    <t>TOALLA KIMETSU</t>
  </si>
  <si>
    <t>LLAVERO SHINGEKI</t>
  </si>
  <si>
    <t>LAMPARA GOJO ENCERRADO</t>
  </si>
  <si>
    <t>6 ACRILICOS SHINGEKI</t>
  </si>
  <si>
    <t>CABEZON SHINGEKI</t>
  </si>
  <si>
    <t>RYZA MOÑO NEGRO</t>
  </si>
  <si>
    <t>POTES HONGUITOS MARIO BROSS</t>
  </si>
  <si>
    <t>YUTA NENDOROID</t>
  </si>
  <si>
    <t>3 QPOSKET DISNEY</t>
  </si>
  <si>
    <t>GUNDAM BLANCO VERSION 2</t>
  </si>
  <si>
    <t>DUO SOPORTE LIBROS HOKAGES</t>
  </si>
  <si>
    <t>HASHIRAMA VIBRATION STARS</t>
  </si>
  <si>
    <t>TOBIRAMA VIBRATION STARS</t>
  </si>
  <si>
    <t>MARIN CON LENTES ROSADOS</t>
  </si>
  <si>
    <t>ALYA GATITA</t>
  </si>
  <si>
    <t>ALBEDO GITANA VESTIDO NARANJA</t>
  </si>
  <si>
    <t>DUO SOFVIMATE DIGIMON</t>
  </si>
  <si>
    <t>FRIEREN VESTIDO VERDE</t>
  </si>
  <si>
    <t>LEORIO SENTADO</t>
  </si>
  <si>
    <t>SHAMPOO GLITTER &amp; GLAMOURS</t>
  </si>
  <si>
    <t>GOJO SENTADO</t>
  </si>
  <si>
    <t>GOJO ESTIRANDO BRAZO</t>
  </si>
  <si>
    <t>MOMO LUMINASTA DAN DA DAN</t>
  </si>
  <si>
    <t>SE PASO LOS 30 DE LA FRIEREN MAID</t>
  </si>
  <si>
    <t>CABALLA MARRON PARADA</t>
  </si>
  <si>
    <t>REM VESTIDO MAID CELESTE</t>
  </si>
  <si>
    <t>REM PELUCHON</t>
  </si>
  <si>
    <t>ALBEDO ALAS NEGRAS BIKINI</t>
  </si>
  <si>
    <t xml:space="preserve">NARUTO GRANDISTA  </t>
  </si>
  <si>
    <t>POSTER EREN</t>
  </si>
  <si>
    <t>POSTER PLAYA</t>
  </si>
  <si>
    <t>POSTER EREN LEVI ARMIN ERWIN</t>
  </si>
  <si>
    <t>KAIJU 8 VIBRATION STARS</t>
  </si>
  <si>
    <t xml:space="preserve">LLAVERO LUFFY GEAR 5 </t>
  </si>
  <si>
    <t>CHOJI EFECTO</t>
  </si>
  <si>
    <t>ZORO ATRAPADO</t>
  </si>
  <si>
    <t>DUO RELAX TIME FAPUTA Y AMIGA</t>
  </si>
  <si>
    <t>NEZUKO GLITTER GLAMOUR SUELTA</t>
  </si>
  <si>
    <t>NEZUKO PELUCHON</t>
  </si>
  <si>
    <t>ESPADA SHINOBU</t>
  </si>
  <si>
    <t>3 FOLDERS KIMETSU</t>
  </si>
  <si>
    <t>GOHAN MATCH MAKERS</t>
  </si>
  <si>
    <t>VEGETA PODER MATCH MAKERS</t>
  </si>
  <si>
    <t>HANAKO SENTADO</t>
  </si>
  <si>
    <t>POSTER LEVI</t>
  </si>
  <si>
    <t>ACRILICO LEVI Y MANCO</t>
  </si>
  <si>
    <t>va llegando levi</t>
  </si>
  <si>
    <t>SHINOBU MAXIMATIC</t>
  </si>
  <si>
    <t>KOBENI</t>
  </si>
  <si>
    <t>QPOSKET BELLA</t>
  </si>
  <si>
    <t>RUBIA VAMPIRA VESTIDO NEGRO</t>
  </si>
  <si>
    <t>QPOSKET MULAN</t>
  </si>
  <si>
    <t>QPOSKET ALICIA</t>
  </si>
  <si>
    <t>QPOSKET MUJER PELO NEGRO</t>
  </si>
  <si>
    <t>RADAR DRAGON BALL</t>
  </si>
  <si>
    <t>2 LLAVEROS</t>
  </si>
  <si>
    <t>JORGE KEVIN BALBIN CHAVEZ TANAKA</t>
  </si>
  <si>
    <t>CHANCHITO NEGRO SOFVIMATE</t>
  </si>
  <si>
    <t>GOGETA SS4 SOLID EDGE WORKS</t>
  </si>
  <si>
    <t>DUO NENDOROID MADE IN ABBYS</t>
  </si>
  <si>
    <t>OBANAI SENTADO</t>
  </si>
  <si>
    <t>QPOSKET ASUKA</t>
  </si>
  <si>
    <t>WALTER M CHUNGA V</t>
  </si>
  <si>
    <t xml:space="preserve">MAKIMA </t>
  </si>
  <si>
    <t>ITACHI EFFEXTREME VERSION 2</t>
  </si>
  <si>
    <t>RIRISA NEGRA</t>
  </si>
  <si>
    <t>MATIAS D CARDENAS V</t>
  </si>
  <si>
    <t>GOJO LUMINASTA MANO ESTIRADA</t>
  </si>
  <si>
    <t>LESLIE M CABRERA C</t>
  </si>
  <si>
    <t>EDWARD RAUL GUTIERREZ CRUZ</t>
  </si>
  <si>
    <t>GOJO CLASICO</t>
  </si>
  <si>
    <t>VALKYRIA YU GI OH</t>
  </si>
  <si>
    <t>DATE A LIVE X5</t>
  </si>
  <si>
    <t>JUAN D CASTRO P</t>
  </si>
  <si>
    <t>DIABLO ICHIBAN</t>
  </si>
  <si>
    <t>ANFERNY H TERRONES A</t>
  </si>
  <si>
    <t>JESUS M CHAVEZ PORTUGAL</t>
  </si>
  <si>
    <t>SE PAGO 20 DE REPARTO 24-01 + REPARTO 31/01 + reparto 07-02</t>
  </si>
  <si>
    <t>AZUL POSTURA GINYU SOLID EDGE</t>
  </si>
  <si>
    <t>GON VIBATION EFECTO</t>
  </si>
  <si>
    <t>NEZUKO TOONIZE</t>
  </si>
  <si>
    <t>MARIANA MORALES</t>
  </si>
  <si>
    <t>TRIO BLEACH CAJA BLANCA</t>
  </si>
  <si>
    <t>CHOCONOKO + LLAVERO</t>
  </si>
  <si>
    <t>DUO GOKUS BWFC MONOCROMATICO</t>
  </si>
  <si>
    <t>DOS GASHAS</t>
  </si>
  <si>
    <t>GOMAH</t>
  </si>
  <si>
    <t>DENJI DXF</t>
  </si>
  <si>
    <t>ALCANCIA BORUTO</t>
  </si>
  <si>
    <t>TSUNADE RELAX TIME</t>
  </si>
  <si>
    <t>SENJU HASHIRAMA VIBRATION STARS</t>
  </si>
  <si>
    <t>SENJU TOBIRAMA VIBRATION STARS</t>
  </si>
  <si>
    <t>TOMIOKA MAXIMATIC</t>
  </si>
  <si>
    <t>MOUNSTRUO JACK</t>
  </si>
  <si>
    <t>ARNOLD A CAMPOS R</t>
  </si>
  <si>
    <t>REM SOMBRERO</t>
  </si>
  <si>
    <t>UZAKI GLITTER</t>
  </si>
  <si>
    <t>DANIEL E GARCIA R</t>
  </si>
  <si>
    <t>TOBI MASCARA VIBRATION STARS</t>
  </si>
  <si>
    <t>NEZUKO CHOKONOCO</t>
  </si>
  <si>
    <t>WALTER M CHAFLOQUE B</t>
  </si>
  <si>
    <t>NANAMI SUELTO</t>
  </si>
  <si>
    <t>NOBARA SUELTA</t>
  </si>
  <si>
    <t xml:space="preserve">CHIBIS </t>
  </si>
  <si>
    <t>SP POP UP MARIONETA</t>
  </si>
  <si>
    <t>MIDORIYA MAXIMATIC</t>
  </si>
  <si>
    <t>TOGA MISIL</t>
  </si>
  <si>
    <t>BAKUGO AMAZING HEROES PLUS</t>
  </si>
  <si>
    <t>GOJO LUMINASTA BASE</t>
  </si>
  <si>
    <t>LUIS A LUCAS R</t>
  </si>
  <si>
    <t>SHUKAKU</t>
  </si>
  <si>
    <t>JOSEPH JOJOS</t>
  </si>
  <si>
    <t>stocl</t>
  </si>
  <si>
    <t>GOJO SPM SEGA</t>
  </si>
  <si>
    <t>GETO SPM</t>
  </si>
  <si>
    <t>SANJI REVERENCIA ESCENA</t>
  </si>
  <si>
    <t>SHANKS PONIENDO SOMBRERO LUFFY</t>
  </si>
  <si>
    <t xml:space="preserve">GLITTER MUJER PELO MARRON </t>
  </si>
  <si>
    <t>DUO BARCOS PREMIUM</t>
  </si>
  <si>
    <t>SET ACRILICO</t>
  </si>
  <si>
    <t>CHOSO MAXIMATIC</t>
  </si>
  <si>
    <t>BRETSY H BAJONERO L</t>
  </si>
  <si>
    <t>MIDORIYA COMBINATION BATTLE</t>
  </si>
  <si>
    <t>JOSE A OSCCO M</t>
  </si>
  <si>
    <t>JORDI MARLON CAHUA SAENZ</t>
  </si>
  <si>
    <t>GRITON RUBIO MINI</t>
  </si>
  <si>
    <t>SESSHOMARU MINI</t>
  </si>
  <si>
    <t>LIAM TIFFANY JIBAJA</t>
  </si>
  <si>
    <t>DOS TOALLAS BLEACH</t>
  </si>
  <si>
    <t>SOLO LEVELING PERSONAJE</t>
  </si>
  <si>
    <t>SHOTO TODOROKI MINI</t>
  </si>
  <si>
    <t>KANAO SPM SEGA</t>
  </si>
  <si>
    <t>PEQUEÑO PELO NEGRO BASE VERDE</t>
  </si>
  <si>
    <t>CHINATSU KANO</t>
  </si>
  <si>
    <t>PEQUEÑO PELO PLOMO NEGRO</t>
  </si>
  <si>
    <t>CACHUDO NEGRO OP MINI</t>
  </si>
  <si>
    <t>PELOS PARADOS ONE PIECE</t>
  </si>
  <si>
    <t>RUBIO DORMIDO TOKYO REVENGERS</t>
  </si>
  <si>
    <t>NEW BAKUGO AMAZING HEROES PLUS</t>
  </si>
  <si>
    <t>SE DIO DE STOK</t>
  </si>
  <si>
    <t>OKARUM FIGURIZMA</t>
  </si>
  <si>
    <t>FRIEREN SEGA YUMERMIRIZE</t>
  </si>
  <si>
    <t>FERN SEGA YUMERMIRIZE</t>
  </si>
  <si>
    <t>JOTARO JOJOS</t>
  </si>
  <si>
    <t xml:space="preserve">AOME </t>
  </si>
  <si>
    <t>INUYASHA</t>
  </si>
  <si>
    <t>DOUMA GRANDISTA</t>
  </si>
  <si>
    <t>HOMBRE MOTOSIERRA GRANDISTA</t>
  </si>
  <si>
    <t>FRIEREN LUMINASTA MAID X2</t>
  </si>
  <si>
    <t>FERN LUMINASTA X1</t>
  </si>
  <si>
    <t>SHOTO TODOROKI MAXIMATIC</t>
  </si>
  <si>
    <t>BARBA BLANCA MINI</t>
  </si>
  <si>
    <t>FARAON MINI OP</t>
  </si>
  <si>
    <t>KISAME VIBRATION STARS</t>
  </si>
  <si>
    <t>MINI SAILOR RUBIA</t>
  </si>
  <si>
    <t>WIUUUU</t>
  </si>
  <si>
    <t>KIKYO MINI</t>
  </si>
  <si>
    <t>GOJO GRANDISTA</t>
  </si>
  <si>
    <t>GOJO KOA 1ST EDITION</t>
  </si>
  <si>
    <t>CHOPPER BASE CELESTE</t>
  </si>
  <si>
    <t>3 MINIS TOKYO REVENGERS</t>
  </si>
  <si>
    <t>CAVENDISH MINI</t>
  </si>
  <si>
    <t>TAMAGOTCHI</t>
  </si>
  <si>
    <t>LOTE NUEVO</t>
  </si>
  <si>
    <t>GINTAMA SENTADO</t>
  </si>
  <si>
    <t>CHIBI MOON ROSADA LLAVERO</t>
  </si>
  <si>
    <t xml:space="preserve">K ON MINI </t>
  </si>
  <si>
    <t>GOHAN BESTIA SOLID EDGE</t>
  </si>
  <si>
    <t>MUELA FANTASMA MINI</t>
  </si>
  <si>
    <t>MIKASA MINI</t>
  </si>
  <si>
    <t>GOJO MINI DURMIENDO COMO PENDEJO</t>
  </si>
  <si>
    <t>ALBEDO ECHADA</t>
  </si>
  <si>
    <t>LUFFY G5 GRANDISTA</t>
  </si>
  <si>
    <t>DIABLO CAJA BLANCA</t>
  </si>
  <si>
    <t>DEKU CHICAWA</t>
  </si>
  <si>
    <t>PELO ROJO SLIME</t>
  </si>
  <si>
    <t>AGUMON LOOK UP</t>
  </si>
  <si>
    <t>ITADORI MEGUMI NOBARA SPM</t>
  </si>
  <si>
    <t>SET VINTAGE</t>
  </si>
  <si>
    <t>DUO EXORCISTA</t>
  </si>
  <si>
    <t>RIN OKAMURA</t>
  </si>
  <si>
    <t>YAMILE F SANTOS F</t>
  </si>
  <si>
    <t>GOJO SENTADO FACHERO</t>
  </si>
  <si>
    <t>SOMBRERO AMARILLO</t>
  </si>
  <si>
    <t>KIMBERLY MINAYA S</t>
  </si>
  <si>
    <t>ANDROIDE 16</t>
  </si>
  <si>
    <t>JOSE F HINOJOSA M</t>
  </si>
  <si>
    <t>ANDROIDE 18</t>
  </si>
  <si>
    <t>YU YU HAKUSHO MAXIMATIC</t>
  </si>
  <si>
    <t>REM CONEJA</t>
  </si>
  <si>
    <t>JHAN F TORRES T</t>
  </si>
  <si>
    <t>MINATO AMARILLO TRANSFORMER</t>
  </si>
  <si>
    <t>NINO NAKANO</t>
  </si>
  <si>
    <t>4 QPOSKETS</t>
  </si>
  <si>
    <t>KARLO F FARFAN V</t>
  </si>
  <si>
    <t>BAKUGO ICHIBAN B</t>
  </si>
  <si>
    <t>ROMINA R RAMIREZ D</t>
  </si>
  <si>
    <t>NAMI PELUCHE</t>
  </si>
  <si>
    <t>DUO REDONDOS KNY</t>
  </si>
  <si>
    <t>TOMIOKA SENTAO</t>
  </si>
  <si>
    <t>STOCK OK</t>
  </si>
  <si>
    <t>PELUCHE AZUL</t>
  </si>
  <si>
    <t>2 PELUCHES MINI</t>
  </si>
  <si>
    <t>JENNY C VARGAS M</t>
  </si>
  <si>
    <t>DUO NARUTO SASUKE ADULTOS VIBRATION STARS</t>
  </si>
  <si>
    <t>SHIKAMARU ICHIBAN</t>
  </si>
  <si>
    <t>NEJI ICHIBAN</t>
  </si>
  <si>
    <t>TANJIRO GRANDISTA</t>
  </si>
  <si>
    <t>WCF LUFFY GEAR 5 EFECTO</t>
  </si>
  <si>
    <t>STOCK ENVIADO</t>
  </si>
  <si>
    <t>LUIS A HERRERA L</t>
  </si>
  <si>
    <t>TENGEN UZUI DXF</t>
  </si>
  <si>
    <t>ROSA E NUÑEZ S</t>
  </si>
  <si>
    <t>MINI DABI</t>
  </si>
  <si>
    <t>TOGA GLITTER GLAMOURS</t>
  </si>
  <si>
    <t>JOSE MIGUEL HUAMAN VILLANUEVA</t>
  </si>
  <si>
    <t>KAKASHI GRANDSITA</t>
  </si>
  <si>
    <t>LEGNY QUINTERO</t>
  </si>
  <si>
    <t>MINI TOMIOKA</t>
  </si>
  <si>
    <t>MARIBEL ROXANA VERA CARDENAS</t>
  </si>
  <si>
    <t>ZENITSU QPOSKET</t>
  </si>
  <si>
    <t>ANGELLO DULANTO ARDU</t>
  </si>
  <si>
    <t>DUO GATOS KIMETSU</t>
  </si>
  <si>
    <t>BILLS GOKU MATCH MAKER</t>
  </si>
  <si>
    <t>DUO DIMESIONAL 2.5</t>
  </si>
  <si>
    <t>NIKKE CONEJA SENTADA</t>
  </si>
  <si>
    <t>PELIROJA CON ALAS</t>
  </si>
  <si>
    <t>PELIROJA ECHADA MATRIMONIO</t>
  </si>
  <si>
    <t>TSUNOMAKI WATAME</t>
  </si>
  <si>
    <t>3 MINIS MY HERO</t>
  </si>
  <si>
    <t>NENDOROID SWACHAO MIDORIYA</t>
  </si>
  <si>
    <t>LUM PELO MORADO</t>
  </si>
  <si>
    <t>DUO GOJO GETO NENDOROID</t>
  </si>
  <si>
    <t>DIABLO QPOSKET</t>
  </si>
  <si>
    <t>ELAINE DESKTOP VERSION</t>
  </si>
  <si>
    <t>CARLOS A VILLANUEVA C</t>
  </si>
  <si>
    <t>ANDROIDE 16 SOLID EDGE</t>
  </si>
  <si>
    <t>PEDRO J TORRES R</t>
  </si>
  <si>
    <t>COOLER</t>
  </si>
  <si>
    <t>TEN SHIN GX MATERIA</t>
  </si>
  <si>
    <t>MARIN DESKTOP ARTIST MASTERPIECE</t>
  </si>
  <si>
    <t>ANTONY G AYALA O</t>
  </si>
  <si>
    <t>Akane Shinjo: Chaos New Order </t>
  </si>
  <si>
    <t>PREVENTA NOVIEMBRE 2026</t>
  </si>
  <si>
    <t>KURUMI + TOKHA + GATA RELAX</t>
  </si>
  <si>
    <t>KAORI NENDOROID</t>
  </si>
  <si>
    <t>DUO LUMINASTA UMA MUSUME</t>
  </si>
  <si>
    <t>DUO YOR</t>
  </si>
  <si>
    <t>SHOTO COLOSEUM</t>
  </si>
  <si>
    <t>JUAN DANIEL VALDIVIA SALINAS</t>
  </si>
  <si>
    <t>UZAKI MAID GLITTER</t>
  </si>
  <si>
    <t>DIEGO M MAMANI M</t>
  </si>
  <si>
    <t>HATSUNE MIKU VERSION SAKURA</t>
  </si>
  <si>
    <t>NATALIE CRISTINA GUTIERREZ ALVA</t>
  </si>
  <si>
    <t>RUBIO SAKAMOTO DAYS</t>
  </si>
  <si>
    <t>MUJER KAIJU 8</t>
  </si>
  <si>
    <t>SEIYA ICHIBAN</t>
  </si>
  <si>
    <t>DIANA M TRISTAN M</t>
  </si>
  <si>
    <t>LUCCY ICHIBAN</t>
  </si>
  <si>
    <t>3 ZOROS</t>
  </si>
  <si>
    <t>SET CARDS NARUTO</t>
  </si>
  <si>
    <t>ESCENA ABIERTA LUFFY</t>
  </si>
  <si>
    <t>MINI ESCENA SABO</t>
  </si>
  <si>
    <t>SUELTO ICHIBAN CON CAJA</t>
  </si>
  <si>
    <t>KAMILA LUCERO ONOFRE RUIZ</t>
  </si>
  <si>
    <t>2 PELUCHINES DEKU</t>
  </si>
  <si>
    <t>ESFERAS DRAGON</t>
  </si>
  <si>
    <t>MUJER BARCO</t>
  </si>
  <si>
    <t>SUELTA FLOTADOR</t>
  </si>
  <si>
    <t>CHARMANDER SUELTO</t>
  </si>
  <si>
    <t>DUO SUELTOS</t>
  </si>
  <si>
    <t>TRIO ONE PIECE OPEN</t>
  </si>
  <si>
    <t>PELUCHE + CABALA ICHIBAN</t>
  </si>
  <si>
    <t>ITADORI ICHIBAN</t>
  </si>
  <si>
    <t>20 se pudo del sabado 27 entrego +20 DEL OTRO DIA</t>
  </si>
  <si>
    <t>ECHIDNA SUELTA</t>
  </si>
  <si>
    <t>FRIEREN DEFORM</t>
  </si>
  <si>
    <t>FRANCO GOYAS</t>
  </si>
  <si>
    <t>DUO ZORO KERUBIN</t>
  </si>
  <si>
    <t>GOGETA DOKHAM</t>
  </si>
  <si>
    <t>SET X 4 RANMA</t>
  </si>
  <si>
    <t>DUO SUELTO KIRISHIMA Y DEKU</t>
  </si>
  <si>
    <t>DUO MERCH</t>
  </si>
  <si>
    <t>DUO QUINTILLIZA</t>
  </si>
  <si>
    <t>ESCENA SANJI</t>
  </si>
  <si>
    <t>KATAKURI</t>
  </si>
  <si>
    <t>GOKU HISTORY ALAS</t>
  </si>
  <si>
    <t>MINI AKI</t>
  </si>
  <si>
    <t>ROCK LEE</t>
  </si>
  <si>
    <t>DEIDARA</t>
  </si>
  <si>
    <t>SHIDOU ICHIBAN MUY BARATO</t>
  </si>
  <si>
    <t>LAW GRANDISTA SPECIAL EDITION</t>
  </si>
  <si>
    <t>CHANGE X BAKUGO</t>
  </si>
  <si>
    <t>ATSUSHI SENTADO</t>
  </si>
  <si>
    <t>WAIFU SUELTA</t>
  </si>
  <si>
    <t>RAM ROSADA SENTADA</t>
  </si>
  <si>
    <t>SUELTAS MINI EVANGELION</t>
  </si>
  <si>
    <t>EVER H GUTIERREZ G</t>
  </si>
  <si>
    <t>MAGO OSCURO</t>
  </si>
  <si>
    <t>BRUNO BRUNO DIKSON JOSEPH</t>
  </si>
  <si>
    <t>SUELTOS OP USSOP + SEIYA</t>
  </si>
  <si>
    <t>FERN DFORM</t>
  </si>
  <si>
    <t xml:space="preserve">MUJER LISTON DURMIENDO DE JJK </t>
  </si>
  <si>
    <t>SHANKS GRANDISTA</t>
  </si>
  <si>
    <t>DEKU AMAZING HEROES PLUS</t>
  </si>
  <si>
    <t>ALANIS ROJAS P</t>
  </si>
  <si>
    <t>JOSE A CABALLERO T</t>
  </si>
  <si>
    <t>BRYAN A ZUÑIGA H</t>
  </si>
  <si>
    <t>LLEGO PERU OK</t>
  </si>
  <si>
    <t>PERRO JOJOS</t>
  </si>
  <si>
    <t>KARS MOMETRIA</t>
  </si>
  <si>
    <t>ERICK Y QUIÑONEZ M</t>
  </si>
  <si>
    <t>RENGOKU DX</t>
  </si>
  <si>
    <t>GREMLIN ALEATORIO</t>
  </si>
  <si>
    <t>GOJO DORMILON</t>
  </si>
  <si>
    <t>ZENITSU ICHIBANSHO EFECTO</t>
  </si>
  <si>
    <t>TOMATODO HARRY POTTER</t>
  </si>
  <si>
    <t xml:space="preserve">MARIN RUBIA DESKTOP </t>
  </si>
  <si>
    <t>EREN POP UP PARADE</t>
  </si>
  <si>
    <t>LUCY HEARTIFLIA NENDOROID</t>
  </si>
  <si>
    <t>JANE MINICO</t>
  </si>
  <si>
    <t>STORM MINICO</t>
  </si>
  <si>
    <t>ROGUE MINICO</t>
  </si>
  <si>
    <t>THOR MINICO</t>
  </si>
  <si>
    <t>CRASH BANDICOT</t>
  </si>
  <si>
    <t>ENZO LUIS</t>
  </si>
  <si>
    <t>MODEL KIT BLANCO</t>
  </si>
  <si>
    <t>HIMENO POP UP</t>
  </si>
  <si>
    <t>5 DENJI SENTADO</t>
  </si>
  <si>
    <t xml:space="preserve">GOTENKS SS3 </t>
  </si>
  <si>
    <t>KANAO QPOSKET</t>
  </si>
  <si>
    <t>MALY S CALSINA R</t>
  </si>
  <si>
    <t>HERBERT J ZEGARRA R</t>
  </si>
  <si>
    <t>SET CARDS POKEMON</t>
  </si>
  <si>
    <t>STOCK PERU NOV</t>
  </si>
  <si>
    <t>ICHIBAN TRIO</t>
  </si>
  <si>
    <t>FRIEREN RULOS</t>
  </si>
  <si>
    <t>GATA FRIEREN</t>
  </si>
  <si>
    <t>OSHINO T MOST</t>
  </si>
  <si>
    <t>JEAN GREY MINICO</t>
  </si>
  <si>
    <t>RESCUE PEPER MINICO</t>
  </si>
  <si>
    <t>BELLE POP UP</t>
  </si>
  <si>
    <t>REM LUMINASTA</t>
  </si>
  <si>
    <t>CONEJASO POP UPP</t>
  </si>
  <si>
    <t>TACHO ORIGINAL ONE PIECE</t>
  </si>
  <si>
    <t>STOCK NOV</t>
  </si>
  <si>
    <t>MATCH MAKER BUU GORDO GOKU</t>
  </si>
  <si>
    <t>MEWTWO AMIIBO</t>
  </si>
  <si>
    <t>VIDRIO GUNDAM</t>
  </si>
  <si>
    <t>ZORO DX</t>
  </si>
  <si>
    <t>DUO AKATSUKIS</t>
  </si>
  <si>
    <t>KONAN</t>
  </si>
  <si>
    <t>RANMA MUJER</t>
  </si>
  <si>
    <t>GETO KOA BLANCO</t>
  </si>
  <si>
    <t>CAMI - DINA A FUJIU</t>
  </si>
  <si>
    <t>AMIIBO HOMBRE NEGRO</t>
  </si>
  <si>
    <t>2 LLAVEROS SANJI ZORO RENDONDOS</t>
  </si>
  <si>
    <t>1 LLAVERO METALICO SANJI</t>
  </si>
  <si>
    <t>VEGITO DOKHAM</t>
  </si>
  <si>
    <t>AMIIBO CHARIZARD + EVESOR</t>
  </si>
  <si>
    <t>ALBEDO VESTIDO NEGRO</t>
  </si>
  <si>
    <t>DUO LAPICEROS WAIFUS</t>
  </si>
  <si>
    <t>KURUMI MAID</t>
  </si>
  <si>
    <t>HATSUNE MIKU SENTADA</t>
  </si>
  <si>
    <t>NIKKE ROSADA</t>
  </si>
  <si>
    <t>MAKIMA DXF</t>
  </si>
  <si>
    <t>MAKIMA GRANDE</t>
  </si>
  <si>
    <t>RAFTALIA BI CUTE</t>
  </si>
  <si>
    <t>SONIDO BI CUTE ROJA</t>
  </si>
  <si>
    <t>BOA BIKINI</t>
  </si>
  <si>
    <t>LOOK UP CHOSO</t>
  </si>
  <si>
    <t>MAGALY HUACCHA</t>
  </si>
  <si>
    <t>YOR ROSADA</t>
  </si>
  <si>
    <t>FRANCISCO W CASTRO G</t>
  </si>
  <si>
    <t>SET NEZUKO</t>
  </si>
  <si>
    <t xml:space="preserve">ITADORI </t>
  </si>
  <si>
    <t>HANYI SIGOURNEY GOMEZ</t>
  </si>
  <si>
    <t>4 TOALLAS DBZ</t>
  </si>
  <si>
    <t xml:space="preserve">KAIJU GIGO </t>
  </si>
  <si>
    <t>TOJI ICHIBAN SUELTO</t>
  </si>
  <si>
    <t>JAVIER BALAREZO</t>
  </si>
  <si>
    <t>DIO Y JONATHAN</t>
  </si>
  <si>
    <t>ERICK J CUETO M</t>
  </si>
  <si>
    <t>SET HUNTER X HUNTER</t>
  </si>
  <si>
    <t>RUBIO DIGIMON</t>
  </si>
  <si>
    <t>CHOKONOKO URARAKA</t>
  </si>
  <si>
    <t>SHIKAMARU EFECTO</t>
  </si>
  <si>
    <t>VACA ALBEDO</t>
  </si>
  <si>
    <t xml:space="preserve">VALKIRIA </t>
  </si>
  <si>
    <t>3 QUINTILLIZAS</t>
  </si>
  <si>
    <t>FABRIZZIO M VASQUEZ G</t>
  </si>
  <si>
    <t>HATSUNE MY HERO</t>
  </si>
  <si>
    <t>QUINTILLIZA MATRIMONIO</t>
  </si>
  <si>
    <t>ALEJANDRO F JIMENEZ</t>
  </si>
  <si>
    <t>SHUICHI DISPARANDO</t>
  </si>
  <si>
    <t>RODY E CORONADO S</t>
  </si>
  <si>
    <t>SHUICHI POSTURA</t>
  </si>
  <si>
    <t>TORU POSTURA</t>
  </si>
  <si>
    <t>QPOSKET POSTURA</t>
  </si>
  <si>
    <t>SQUARTLE AMIIBO</t>
  </si>
  <si>
    <t>AKANE RANMA</t>
  </si>
  <si>
    <t>NIURKA NURIA CRUZ</t>
  </si>
  <si>
    <t>OKARUM AGARRA LENTES</t>
  </si>
  <si>
    <t>BLANCO YU GI OH</t>
  </si>
  <si>
    <t>ITADORI PASACABLES</t>
  </si>
  <si>
    <t>PELUCHE BOCCHI GUITARRA</t>
  </si>
  <si>
    <t>NAVE FREEZER</t>
  </si>
  <si>
    <t>MUJER MUNDO JACK</t>
  </si>
  <si>
    <t>MUJER SLIME</t>
  </si>
  <si>
    <t>WAIFU PELO MARRON SENTADA</t>
  </si>
  <si>
    <t>GETO SEGA MALDICION</t>
  </si>
  <si>
    <t>SET 4 IMANES OP</t>
  </si>
  <si>
    <t>DUO SILENT HILL</t>
  </si>
  <si>
    <t>DUO INUYASHA Q POSKET</t>
  </si>
  <si>
    <t>LAMPARA GEAR 5</t>
  </si>
  <si>
    <t>ANGELITO CHAINSAW MAN</t>
  </si>
  <si>
    <t>SABO GRANDISTA</t>
  </si>
  <si>
    <t>NARUTO AMARILLO GRANDISTA</t>
  </si>
  <si>
    <t>SANJI SCULTURE</t>
  </si>
  <si>
    <t>EREN / LEVI GRANDISTA</t>
  </si>
  <si>
    <t>PELO MORADO OSHI NO KO</t>
  </si>
  <si>
    <t>DEMONIO CARA DE MONO KIMETSU</t>
  </si>
  <si>
    <t>ICHIGO GRANDISTA</t>
  </si>
  <si>
    <t>GATOMON Y PATAMOS SOFVIMATES</t>
  </si>
  <si>
    <t>12 MERCH JJK</t>
  </si>
  <si>
    <t>DUO QPOSKET SAILOR MOON</t>
  </si>
  <si>
    <t>DUO MAO MAO BRILLIANT</t>
  </si>
  <si>
    <t>SAITAMA GRANDISTA</t>
  </si>
  <si>
    <t>MOUNSTRUO ALADO ROJO YU GI OH</t>
  </si>
  <si>
    <t>DEKU AMAZING HEROES DX</t>
  </si>
  <si>
    <t xml:space="preserve">SHAMPOO GLITTER </t>
  </si>
  <si>
    <t>PANDA RANMA</t>
  </si>
  <si>
    <t>FERN / FRIEREN YUMERMIRIZE</t>
  </si>
  <si>
    <t>HOMBRE DE MAO MAO</t>
  </si>
  <si>
    <t>CABALLA SENTADA</t>
  </si>
  <si>
    <t>AMIIBO PELO MARRO</t>
  </si>
  <si>
    <t>OKITA SENTADO</t>
  </si>
  <si>
    <t>DUO CABALLAS EPICAS</t>
  </si>
  <si>
    <t>RANMA SENTADO</t>
  </si>
  <si>
    <t>RANMA MUJER SENTADA</t>
  </si>
  <si>
    <t>MAKI ZENIN</t>
  </si>
  <si>
    <t>CABEZA ABIERTA</t>
  </si>
  <si>
    <t>DUO CABALLAS VESTIDOS</t>
  </si>
  <si>
    <t>ALBEDO BABYDOLL BLANCO GLITTER</t>
  </si>
  <si>
    <t>GLITTER MUJER CABELLO BLANQUINEGRO</t>
  </si>
  <si>
    <t>VEGETA SS4 SOLID EDGE WORKS</t>
  </si>
  <si>
    <t>NANAMI REDONDITO</t>
  </si>
  <si>
    <t>GETO Y TOJI REDONDITOS</t>
  </si>
  <si>
    <t>GOGETA BLUE BLOOD OF SAYANS</t>
  </si>
  <si>
    <t>SASUKE MEMORABLE CUCHILLA PIRAÑA</t>
  </si>
  <si>
    <t>GOKU SS4 SOLID EDGE WORKS</t>
  </si>
  <si>
    <t>FRIEREN YUMERMIRIZE</t>
  </si>
  <si>
    <t>PARLANTE GUNDAM</t>
  </si>
  <si>
    <t>YUTA SENTADO</t>
  </si>
  <si>
    <t>EMILIA CHELERA</t>
  </si>
  <si>
    <t>BEATRICE RE ZERO</t>
  </si>
  <si>
    <t>KAKUZU AKATSUKI VIBRATION STARS</t>
  </si>
  <si>
    <t>NINO NAKANO ROPA COLEGIAL</t>
  </si>
  <si>
    <t>JONATHAN JOESTAR MOMETRIA</t>
  </si>
  <si>
    <t>JOSEPH JOESTAR MOMETRIA</t>
  </si>
  <si>
    <t>MARIN PELIRROJA TAITO PARADA</t>
  </si>
  <si>
    <t>FRIEREN RELAX TIME</t>
  </si>
  <si>
    <t>NARUTO PODER MEMORABLE SAGA</t>
  </si>
  <si>
    <t>MUJER BOINA BLANCA</t>
  </si>
  <si>
    <t>KAGEYAMA HAYKIU</t>
  </si>
  <si>
    <t>HINATA HAYKIU</t>
  </si>
  <si>
    <t>DUO GOJO GETO YUMERMIRIZE</t>
  </si>
  <si>
    <t>KAKASHI CHIBI MASTER</t>
  </si>
  <si>
    <t>DANITZA NOELIA RAMIREZ GARAY</t>
  </si>
  <si>
    <t>PERONA WCF</t>
  </si>
  <si>
    <t>LLAVERO BLEACH</t>
  </si>
  <si>
    <t>3 POSTER BLEACH</t>
  </si>
  <si>
    <t>1 POSTER SHINGEKI</t>
  </si>
  <si>
    <t>FIGURA KAIJU POSTURA</t>
  </si>
  <si>
    <t>KURUMI ARTIST MASTERPIECE</t>
  </si>
  <si>
    <t>BIG MOM WCF</t>
  </si>
  <si>
    <t>GON SENTADO ICHIBAN</t>
  </si>
  <si>
    <t>DUO ENDEAVOR</t>
  </si>
  <si>
    <t>ENDEAVOR</t>
  </si>
  <si>
    <t>HERMANA DE MAKI</t>
  </si>
  <si>
    <t>NANAMI ICHIBAN + CUADRADITO NANAMI</t>
  </si>
  <si>
    <t>NANAMI DORMILON</t>
  </si>
  <si>
    <t>TOGA SALTANDO EVIL DX</t>
  </si>
  <si>
    <t>OKARUM LUMINASTA</t>
  </si>
  <si>
    <t>MOMO LUMINASTA</t>
  </si>
  <si>
    <t>PELUCHE ECHIDNA</t>
  </si>
  <si>
    <t>MIGUEL ANGEL YENI HUAMAN</t>
  </si>
  <si>
    <t>BAJI PELUCHE</t>
  </si>
  <si>
    <t>IRON MAN SH FIGUARTS</t>
  </si>
  <si>
    <t>MOMO RELAX TIME</t>
  </si>
  <si>
    <t>SE DIO STOCK</t>
  </si>
  <si>
    <t>ASUNA PARADA</t>
  </si>
  <si>
    <t>DUO NIÑOS SABO ACE</t>
  </si>
  <si>
    <t>SASUKE PANEL SPECTACLE MANO LEVANTADA</t>
  </si>
  <si>
    <t>NEJIRE GLITTER &amp; GLAMOURS</t>
  </si>
  <si>
    <t>FRIEREN VIENDO AL VACIO</t>
  </si>
  <si>
    <t>MARIN COSPLAY DIABLA ROJA</t>
  </si>
  <si>
    <t>MARIN CUCLILLAS</t>
  </si>
  <si>
    <t>MAXIMATICA CHOSO / SUKUNA</t>
  </si>
  <si>
    <t>MUJER PELO CELESTE</t>
  </si>
  <si>
    <t>ALBEDO EN 2+2 DESKTOP</t>
  </si>
  <si>
    <t>MUJERTOKYO REVENGERS PELO MARRON</t>
  </si>
  <si>
    <t>EREN GRANDISTA</t>
  </si>
  <si>
    <t>3 RIMURUS GRANDES</t>
  </si>
  <si>
    <t>DUO SLIME HOMBRE MUJER</t>
  </si>
  <si>
    <t>RELAX TIME SLIME</t>
  </si>
  <si>
    <t>DUO HUNTER X HUNTER</t>
  </si>
  <si>
    <t>VASOS METALICOS UMA MUSUME</t>
  </si>
  <si>
    <t>ELAINE AMP</t>
  </si>
  <si>
    <t>RADITZ ICHIBAN</t>
  </si>
  <si>
    <t>PERSONAJE AZUL DAIMA</t>
  </si>
  <si>
    <t>3 PASACABLES JJK</t>
  </si>
  <si>
    <t>CHOSO FIGURIZMA</t>
  </si>
  <si>
    <t>BELEN ESPERANZA ANTEZANA VELASQUEZ</t>
  </si>
  <si>
    <t>MARIN CON SU POLO BLANCO EN MANO</t>
  </si>
  <si>
    <t>DEKU GRANDE PARADO SOBRE ROCA</t>
  </si>
  <si>
    <t>VOCALOID</t>
  </si>
  <si>
    <t>DENJI SENTADITO</t>
  </si>
  <si>
    <t>LUFFY NIÑO OPEN</t>
  </si>
  <si>
    <t>JHONATAN JOJOS</t>
  </si>
  <si>
    <t>DUO MINIS DORADOS</t>
  </si>
  <si>
    <t>WCF KAIJU</t>
  </si>
  <si>
    <t>JULIO L QUISPE M</t>
  </si>
  <si>
    <t>POWER REDONDITO</t>
  </si>
  <si>
    <t>CABALLA ROPA BLANCA EFECTO EPICO</t>
  </si>
  <si>
    <t>JAVIER G SANCHEZ P</t>
  </si>
  <si>
    <t>BAKUGO TAITO</t>
  </si>
  <si>
    <t>ALVINA B RUIZ A</t>
  </si>
  <si>
    <t>LILIANA M SUANA M</t>
  </si>
  <si>
    <t>DUO SENTADAS</t>
  </si>
  <si>
    <t>ALBEDO VAQUITA</t>
  </si>
  <si>
    <t>ANDRE JAIR PALMA QUINTANA</t>
  </si>
  <si>
    <t>TOBI AKATSUKI</t>
  </si>
  <si>
    <t>DUO SPECIAL EDITION NARUTO SASUKE</t>
  </si>
  <si>
    <t>DUO HAYKIU</t>
  </si>
  <si>
    <t>CLARMAR SALAZAR / JORGE I MORI S</t>
  </si>
  <si>
    <t>MAKOMO NENDOROID</t>
  </si>
  <si>
    <t>RONALD EGOAVIL</t>
  </si>
  <si>
    <t>TOGURO MENOR</t>
  </si>
  <si>
    <t>KURAMA TERNO ROSA 30 ANIVERSARIO</t>
  </si>
  <si>
    <t>RENZO ARTURO PEREZ</t>
  </si>
  <si>
    <t>NEJIRE MUJER DX</t>
  </si>
  <si>
    <t>BOLITA TOJI</t>
  </si>
  <si>
    <t>GUNDAM STOCK</t>
  </si>
  <si>
    <t>DUO MATCH GOHAN MAJIN BOO</t>
  </si>
  <si>
    <t>MARIN CON ROPA SENTADA</t>
  </si>
  <si>
    <t>NENDOROID RENGOKU</t>
  </si>
  <si>
    <t>MADRE NIURKA</t>
  </si>
  <si>
    <t>HATSUNE MIKU ROSADA BLOKEES</t>
  </si>
  <si>
    <t>GOLD ROGER SPECIAL</t>
  </si>
  <si>
    <t>SANTOS G ANTEZANA S / GENIFEER</t>
  </si>
  <si>
    <t>ICHIBAN ASUNA</t>
  </si>
  <si>
    <t>SOFVIMATE PRIMERA EDICION AGUMON</t>
  </si>
  <si>
    <t>ROSHI KRILIN GOKU SOFVIMATES</t>
  </si>
  <si>
    <t>MONSTER LEGION DEMONIO</t>
  </si>
  <si>
    <t>GOJO LUMINASTA 1ST EDITION</t>
  </si>
  <si>
    <t>FERN YUMERMIRIZE</t>
  </si>
  <si>
    <t>FERN STELLAR</t>
  </si>
  <si>
    <t>FRIEREN STELLAR</t>
  </si>
  <si>
    <t>NIKKE RUBIA</t>
  </si>
  <si>
    <t>FERN SENTADA CON CHALINA</t>
  </si>
  <si>
    <t>DUO CABEZONAS</t>
  </si>
  <si>
    <t>ANGIE N CASTRO C</t>
  </si>
  <si>
    <t>AGUMON GABUMON SOFVIMATES</t>
  </si>
  <si>
    <t>KEVIN EDUARDO ROMERO DEL CARPIO</t>
  </si>
  <si>
    <t>LUFFY EGGHEAD</t>
  </si>
  <si>
    <t>SANJI ICHJIBAN EGGHEAD</t>
  </si>
  <si>
    <t>LEVI GRANDISTA</t>
  </si>
  <si>
    <t>MOUNSTRUO SILENT HILL</t>
  </si>
  <si>
    <t>CUADRO ONE PIECE</t>
  </si>
  <si>
    <t>REZE GLITTER GLAMOURS</t>
  </si>
  <si>
    <t>ITADORIA CABEZON</t>
  </si>
  <si>
    <t>AKI VIBRATION STARS</t>
  </si>
  <si>
    <t xml:space="preserve">KITE </t>
  </si>
  <si>
    <t>HEINER J LEGUA M</t>
  </si>
  <si>
    <t>NETERO</t>
  </si>
  <si>
    <t>LUNAS</t>
  </si>
  <si>
    <t>MITSURI GLITTER SUELTA + CHOPPER SUELTO</t>
  </si>
  <si>
    <t>NICOLE M GASTELU H</t>
  </si>
  <si>
    <t>BEN BECKMAN + VIVI</t>
  </si>
  <si>
    <t>JOHN J BARJA O</t>
  </si>
  <si>
    <t>GOGETA DOKHAM BATTLE</t>
  </si>
  <si>
    <t>KEVIN J VASQUEZ B</t>
  </si>
  <si>
    <t>HAWKS DXF</t>
  </si>
  <si>
    <t>ISABEL MHA / GENARO A LOZADA</t>
  </si>
  <si>
    <t>NEJIRE DXF</t>
  </si>
  <si>
    <t>DUO BLOKEES MINIONS</t>
  </si>
  <si>
    <t>CHOPPER SOFVIMATE</t>
  </si>
  <si>
    <t>SEGUNDO ABRAHAM BALDERA</t>
  </si>
  <si>
    <t>GETO LUMINASTA</t>
  </si>
  <si>
    <t>TRIO YU GI OH MOUNSTRUOS Y MAGAS</t>
  </si>
  <si>
    <t>AIRA DAN DA DAN</t>
  </si>
  <si>
    <t>YENNY ISABEL VENTURA MENDOZA</t>
  </si>
  <si>
    <t>TANJIRO ICHIBAN</t>
  </si>
  <si>
    <t>FRANZ S ALBITRES N</t>
  </si>
  <si>
    <t>LUFFY MAXIMATIC</t>
  </si>
  <si>
    <t>JULI MACARENA FERNANDEZ A</t>
  </si>
  <si>
    <t>NAPA ICHIBAN</t>
  </si>
  <si>
    <t>IRMA VENTURA R</t>
  </si>
  <si>
    <t>YAMILE ELEINN MORI</t>
  </si>
  <si>
    <t>MUJER PELO BLANCO</t>
  </si>
  <si>
    <t>JONATHAN MOLINA Y</t>
  </si>
  <si>
    <t>JOKER LUMINASTA</t>
  </si>
  <si>
    <t>LEONARDO A ESTEVES M</t>
  </si>
  <si>
    <t>TRIO ALBEDOS</t>
  </si>
  <si>
    <t>ALVARO G CASTRO V</t>
  </si>
  <si>
    <t>ITADORI PELUCHIN</t>
  </si>
  <si>
    <t>GOJO LUMINASTA ROPA BLANCA</t>
  </si>
  <si>
    <t>POWER BANPRESTO</t>
  </si>
  <si>
    <t>SAHORY P ROJAS Q</t>
  </si>
  <si>
    <t>SHIN CHAN COCODRILO</t>
  </si>
  <si>
    <t>GERARDO M RIOS S</t>
  </si>
  <si>
    <t>GUY SENSEI VIBRATION STARS</t>
  </si>
  <si>
    <t>ESCENITA LUFFY OP</t>
  </si>
  <si>
    <t>BERENICE E VELASCO S</t>
  </si>
  <si>
    <t>CHAOS SOLDIER</t>
  </si>
  <si>
    <t>MATCH MAKER VEGETA SABON</t>
  </si>
  <si>
    <t>ICHIBAN AZUL SAMURAI</t>
  </si>
  <si>
    <t>GOJO LUMINASTA</t>
  </si>
  <si>
    <t>GLENDA F SALAZAR P</t>
  </si>
  <si>
    <t>QUINTILLIZA ECHADA</t>
  </si>
  <si>
    <t>RELAX TIME URUSEI</t>
  </si>
  <si>
    <t>FERN LUMINASTA</t>
  </si>
  <si>
    <t>ALEJANDRO DAZA C</t>
  </si>
  <si>
    <t>DEKU MAXIMATIC</t>
  </si>
  <si>
    <t>MELVA AKEMY SILVA YABAR</t>
  </si>
  <si>
    <t>BAKUGO AGE OF HEROES</t>
  </si>
  <si>
    <t>DUO MADOKA MAGICA</t>
  </si>
  <si>
    <t>MUJER LENTES PELO ROSA</t>
  </si>
  <si>
    <t>3 VASOS PLASTICO MHA</t>
  </si>
  <si>
    <t>1 VASO VIDRIO MHA</t>
  </si>
  <si>
    <t>DUO ALBEDOS</t>
  </si>
  <si>
    <t>BROOK WCF ESCENA LUFFY</t>
  </si>
  <si>
    <t>GARP</t>
  </si>
  <si>
    <t>BARBA NEGRA</t>
  </si>
  <si>
    <t>SET MERCH X4</t>
  </si>
  <si>
    <t>MUJER PELO CELESTE SAO</t>
  </si>
  <si>
    <t>ASUNA FURYU VESTIDO ROJO</t>
  </si>
  <si>
    <t>2 FERN MAID</t>
  </si>
  <si>
    <t>CAPITAN AMERICA</t>
  </si>
  <si>
    <t>DUO MUJERES YU GI OH</t>
  </si>
  <si>
    <t>DUO SHINCHAN</t>
  </si>
  <si>
    <t>ALEXANDRA S SUAREZ M</t>
  </si>
  <si>
    <t>SHIN CHAN CAJA AMARILLA</t>
  </si>
  <si>
    <t>GUNDAM ZERO</t>
  </si>
  <si>
    <t>DIEGO A VIZA L</t>
  </si>
  <si>
    <t>PERSONAJE MARRON</t>
  </si>
  <si>
    <t>ALL MIGTH MALO</t>
  </si>
  <si>
    <t>CARLA D GUTARRA G</t>
  </si>
  <si>
    <t>SMOKER ICHIBAN</t>
  </si>
  <si>
    <t>SILENT HILL DUO</t>
  </si>
  <si>
    <t>MARIA A COTRINA M</t>
  </si>
  <si>
    <t>MATCH MAKER GOKU BILLS</t>
  </si>
  <si>
    <t>WALTER RAUL HONORIO</t>
  </si>
  <si>
    <t>DUO SAMURAI X</t>
  </si>
  <si>
    <t>GOGETA GRANDISTA</t>
  </si>
  <si>
    <t>VEGETA SS3 ICHIBAN</t>
  </si>
  <si>
    <t>MAO MAO BRILLIANT</t>
  </si>
  <si>
    <t>ALBEDO ECHADA VESTIDO ROJO</t>
  </si>
  <si>
    <t>OVERLORD CARA DE SAPO</t>
  </si>
  <si>
    <t>ALBEDO VAQUITA PARADA</t>
  </si>
  <si>
    <t>ALBEDO VAQUITA SENTADA</t>
  </si>
  <si>
    <t>LUFFY KOA G5</t>
  </si>
  <si>
    <t>ASTA TOONIZE</t>
  </si>
  <si>
    <t>TSUKI UZAKI</t>
  </si>
  <si>
    <t>EINER F SANCHEZ G</t>
  </si>
  <si>
    <t>DUO FOLDER</t>
  </si>
  <si>
    <t>ANDRE A MAMANI M</t>
  </si>
  <si>
    <t>SENTADO CON FUEGO</t>
  </si>
  <si>
    <t>GOKU DAIMA</t>
  </si>
  <si>
    <t>SAID A CARPIO V</t>
  </si>
  <si>
    <t>ANDRES E CALERO C</t>
  </si>
  <si>
    <t>KELLY Y ROMAN G</t>
  </si>
  <si>
    <t>VOLEY PARADO</t>
  </si>
  <si>
    <t>DARWIN E SOSA R</t>
  </si>
  <si>
    <t>TANJIRO SPM</t>
  </si>
  <si>
    <t>MARIA D CHOQUE H</t>
  </si>
  <si>
    <t>LIME POP UP PARADE SP</t>
  </si>
  <si>
    <t>FAUSTO J GALVAN N</t>
  </si>
  <si>
    <t>GOJO LOOK UP</t>
  </si>
  <si>
    <t>KAMILA B SANCHEZ G</t>
  </si>
  <si>
    <t>ASUNA SEGA</t>
  </si>
  <si>
    <t>JEYNMY SARAHY BURGOS NUÑEZ</t>
  </si>
  <si>
    <t>CRASH ARTICULABLE</t>
  </si>
  <si>
    <t>JOSE ZAMORA CONTRERAS</t>
  </si>
  <si>
    <t>ROSADA BOCCHI</t>
  </si>
  <si>
    <t>ESPEJO JOJOS</t>
  </si>
  <si>
    <t>SEBASTIAN CUBAS</t>
  </si>
  <si>
    <t>GINTAMA FIGURA</t>
  </si>
  <si>
    <t>MARIA F VERDE M</t>
  </si>
  <si>
    <t>OKARUM LOOK UP</t>
  </si>
  <si>
    <t>PELUCHE TURBO ABUELA</t>
  </si>
  <si>
    <t>RODY MIKU</t>
  </si>
  <si>
    <t>CLAUDIA ANTONELLA ROMERO V</t>
  </si>
  <si>
    <t>FATE GRAND ORDER</t>
  </si>
  <si>
    <t>TRIO ESPRESTO SAO</t>
  </si>
  <si>
    <t>TRIO HAYKIU</t>
  </si>
  <si>
    <t>PAMELA CLEMENTE / TERRY CERRON H</t>
  </si>
  <si>
    <t>HOMBRE MAO MAO</t>
  </si>
  <si>
    <t>GOKU CON ALAS HISTORY BOX</t>
  </si>
  <si>
    <t>IVAN D AGUILAR M</t>
  </si>
  <si>
    <t>NENDOROID MIKASA FINAL SEASON</t>
  </si>
  <si>
    <t>CAMILA S FARIAS O</t>
  </si>
  <si>
    <t>POWER VIBRATION STARS CAJA ROJA</t>
  </si>
  <si>
    <t>SHINOBU GLITTER GLAMOURS</t>
  </si>
  <si>
    <t>MOMIYI</t>
  </si>
  <si>
    <t>MIKU WINTER LIVE</t>
  </si>
  <si>
    <t>GOKU MORDIENDO COLA</t>
  </si>
  <si>
    <t>VICTOR ISRAEL AGUILAR ESPINAL</t>
  </si>
  <si>
    <t>GOKU GRANDISTA PODER</t>
  </si>
  <si>
    <t>SASUKE SPECIAL EDITION</t>
  </si>
  <si>
    <t>STOCK DIC</t>
  </si>
  <si>
    <t xml:space="preserve">YUIII DESKTOP </t>
  </si>
  <si>
    <t>CHARMANDER</t>
  </si>
  <si>
    <t>MERUEM NETERO</t>
  </si>
  <si>
    <t>HANNY ALEXKXIA GARAVITO MARROU</t>
  </si>
  <si>
    <t>RIMURU SENTADO</t>
  </si>
  <si>
    <t>BAKUGO NUEVO CHIQUITIN</t>
  </si>
  <si>
    <t>TOKITO WCF</t>
  </si>
  <si>
    <t>LUFFY KOA SPECIAL</t>
  </si>
  <si>
    <t>JONATHAN JOJOS</t>
  </si>
  <si>
    <t>ITADORI GRANDISTA</t>
  </si>
  <si>
    <t>HOMBRE KAIJU 8</t>
  </si>
  <si>
    <t>MARIO SALTANDO</t>
  </si>
  <si>
    <t>SET FIGURAS</t>
  </si>
  <si>
    <t>SHOTO MAXIMATIC</t>
  </si>
  <si>
    <t>EDUARDO NUÑEZ</t>
  </si>
  <si>
    <t>SUPERMAN RUBIO</t>
  </si>
  <si>
    <t>GUNDAM NUEVO</t>
  </si>
  <si>
    <t>RIMURU CON TERNO</t>
  </si>
  <si>
    <t>MAI SAKURAJIMA TETERA</t>
  </si>
  <si>
    <t>RANMA ROSADO LUMINASTA</t>
  </si>
  <si>
    <t>RENGOKU + ZENITSU PEQUEÑOS</t>
  </si>
  <si>
    <t>ANDREA CORDOVA</t>
  </si>
  <si>
    <t>2 BOCCHI + 3 PELUCHES</t>
  </si>
  <si>
    <t>GIANFRANCO ANDRE JUNIOR CATALAN ORE/LUIS CAT</t>
  </si>
  <si>
    <t>RODRIGO BENEDIC BARRIENTOS PAJUELO</t>
  </si>
  <si>
    <t>OKARUM SEGA</t>
  </si>
  <si>
    <t>THEO ALONSO DOMINIK GUERRERO</t>
  </si>
  <si>
    <t>EXCESO DE PLACER DUO ITACHIS MEMORABLE</t>
  </si>
  <si>
    <t>3MERCH HXH</t>
  </si>
  <si>
    <t>DUO DEKU SHIGARAKI</t>
  </si>
  <si>
    <t>YOLANDA HUAMAN</t>
  </si>
  <si>
    <t>TRIO JOJOS</t>
  </si>
  <si>
    <t>TOGA DX FIGURA</t>
  </si>
  <si>
    <t>WAIFU PELO NEGRO</t>
  </si>
  <si>
    <t>LUIGUI MURILLO VEGA</t>
  </si>
  <si>
    <t>MALO BERSERK</t>
  </si>
  <si>
    <t>TRIO ESCENA JJK</t>
  </si>
  <si>
    <t>MUJER POLICIA</t>
  </si>
  <si>
    <t>BI CUTE KURUMI</t>
  </si>
  <si>
    <t>DIEGO LR BOLIVIA</t>
  </si>
  <si>
    <t>BI CUTE PELO MARRON</t>
  </si>
  <si>
    <t>BI CUTE ASUNA</t>
  </si>
  <si>
    <t>TRIO HADAS</t>
  </si>
  <si>
    <t>MARIN GORRO</t>
  </si>
  <si>
    <t>SONICO ROSADA X2</t>
  </si>
  <si>
    <t>ALBEDO DESKTOP VACA</t>
  </si>
  <si>
    <t>ALBEDO GRANDE RELAX TIME</t>
  </si>
  <si>
    <t>REM</t>
  </si>
  <si>
    <t>ANTHONY OSORIO</t>
  </si>
  <si>
    <t>DRAGON NEGRO</t>
  </si>
  <si>
    <t>ADO GRANDE</t>
  </si>
  <si>
    <t>DUO KUROKO NO BASKET QPOSKET</t>
  </si>
  <si>
    <t>RICARDO CESAR VARGAS</t>
  </si>
  <si>
    <t>PELUCHIN GOJO</t>
  </si>
  <si>
    <t>GALEA FLORES</t>
  </si>
  <si>
    <t>DUO REM + AKAZA</t>
  </si>
  <si>
    <t>PORTA LAPICERO LUFFY</t>
  </si>
  <si>
    <t>SUKUNA DORMILON</t>
  </si>
  <si>
    <t>HATSUNE MIKU AMP</t>
  </si>
  <si>
    <t>TRIO GUNDAM SET</t>
  </si>
  <si>
    <t>DUO GOD GUNDAM</t>
  </si>
  <si>
    <t>PG GUNDAM</t>
  </si>
  <si>
    <t>SET MEDABOTS</t>
  </si>
  <si>
    <t>DEDO SUKUNA</t>
  </si>
  <si>
    <t>RUBIO SAKAMOTO</t>
  </si>
  <si>
    <t>VALERIA MOYA CARDICH</t>
  </si>
  <si>
    <t>JOSE LUIS TALANCHI</t>
  </si>
  <si>
    <t>CUY</t>
  </si>
  <si>
    <t>REM CABEZONA</t>
  </si>
  <si>
    <t>BLACK ROSE MONSTER LEGION</t>
  </si>
  <si>
    <t>EXODIA TAITO</t>
  </si>
  <si>
    <t>SILVER SURFER</t>
  </si>
  <si>
    <t>FRIEREN LEYENDO</t>
  </si>
  <si>
    <t>LEVI Q POSKET</t>
  </si>
  <si>
    <t>ASUNA BI CUTE ANGEL</t>
  </si>
  <si>
    <t>PAGO LINK 30/12</t>
  </si>
  <si>
    <t>FAPUTA AMP</t>
  </si>
  <si>
    <t>MAJIN VEGETA GRANDISTA</t>
  </si>
  <si>
    <t>BORUTO JOVEN</t>
  </si>
  <si>
    <t>ZORO STYLING</t>
  </si>
  <si>
    <t>2 SANJI STYLING</t>
  </si>
  <si>
    <t>DUO GACHIAKUTA</t>
  </si>
  <si>
    <t>OBELISCO MONSTER LEGION</t>
  </si>
  <si>
    <t>CYBER END DRAGON</t>
  </si>
  <si>
    <t>GOJO YUMERMIRIZE</t>
  </si>
  <si>
    <t>ISAGI + NAGI SWEET FLAVOR</t>
  </si>
  <si>
    <t>UBEL LUMINASTA</t>
  </si>
  <si>
    <t>CALAVERA + LUFFY CASCO STYLING</t>
  </si>
  <si>
    <t>FERN + FRIEREN SENTADAS</t>
  </si>
  <si>
    <t>EN CAJA</t>
  </si>
  <si>
    <t xml:space="preserve">AURA DESKTOP </t>
  </si>
  <si>
    <t>UBEL PARADA</t>
  </si>
  <si>
    <t>MUJER CAPA PELO NEGRO</t>
  </si>
  <si>
    <t>FRIEREN Y FERN MIRANDO AL VACIO SENTADAS</t>
  </si>
  <si>
    <t>CHIGIRI CORRIENDO</t>
  </si>
  <si>
    <t>SHAMPOO COQUETA</t>
  </si>
  <si>
    <t>WITCH WATCH</t>
  </si>
  <si>
    <t>DUO SS4 GOKU VEGETA</t>
  </si>
  <si>
    <t>DUO ALBEDO + AINZ</t>
  </si>
  <si>
    <t>UZAKI HANNA BI CUTE</t>
  </si>
  <si>
    <t>NARUTO DUO COMIENDO RAMEN</t>
  </si>
  <si>
    <t>OKARUM SENTADO</t>
  </si>
  <si>
    <t>JOTARO MOMETRIA</t>
  </si>
  <si>
    <t>FRIEREN FIGURIZMA</t>
  </si>
  <si>
    <t>FRIEREN BUFANDA CELESTE</t>
  </si>
  <si>
    <t>FRIEREN SENTADA OJOS CHINOS</t>
  </si>
  <si>
    <t>KURAPIKA GRANDISTA</t>
  </si>
  <si>
    <t>PELUCHON AMARILLO</t>
  </si>
  <si>
    <t>MAGA OSCURA CORAZONES X2</t>
  </si>
  <si>
    <t>OKARUM SOPORTE LENTES</t>
  </si>
  <si>
    <t>STYLING ONE PIECE X7</t>
  </si>
  <si>
    <t>ITACHI SASUKE COMBINATION BATTLE</t>
  </si>
  <si>
    <t>DEKU GRANDISTA</t>
  </si>
  <si>
    <t xml:space="preserve">MADOKA ROSADA </t>
  </si>
  <si>
    <t>SHAMPOO GLITTER</t>
  </si>
  <si>
    <t>MASCOTA SOFVIMATE</t>
  </si>
  <si>
    <t>DUO CABALLAS EFECTO</t>
  </si>
  <si>
    <t>DUO FRIEREN FIGURIZMA</t>
  </si>
  <si>
    <t>YUJIRO HANMA GRANDISTA</t>
  </si>
  <si>
    <t>ALBEDO ALAS INMENSAS</t>
  </si>
  <si>
    <t>PECHUGONA ANGELITA</t>
  </si>
  <si>
    <t>MUJER PARCHE OJO RUBIA</t>
  </si>
  <si>
    <t>SENTADITO KAIJU</t>
  </si>
  <si>
    <t>UZAKI GLITTER PECHUGONA</t>
  </si>
  <si>
    <t>FRIEREN TESORO</t>
  </si>
  <si>
    <t>NARUTO 72 SERIES</t>
  </si>
  <si>
    <t>KAIJU MASCARA GRANDISTA</t>
  </si>
  <si>
    <t>FRIEREN AMP</t>
  </si>
  <si>
    <t>MINI MAQUINA GASHAPON KIMETSU</t>
  </si>
  <si>
    <t>CHUN LI</t>
  </si>
  <si>
    <t>DR STONE DUO</t>
  </si>
  <si>
    <t>MAXIMATIC SHINOBU</t>
  </si>
  <si>
    <t>3 STYLING ONE PIEEC</t>
  </si>
  <si>
    <t>TOJI RESUCITADO FIGURIZMA</t>
  </si>
  <si>
    <t>RYU SEGA</t>
  </si>
  <si>
    <t>GOJO CANTANTE</t>
  </si>
  <si>
    <t>DESTINY GUNDAM SPECIAL</t>
  </si>
  <si>
    <t>PREVENTA ABRIL</t>
  </si>
  <si>
    <t>LAMPARA OSHI NO KO</t>
  </si>
  <si>
    <t>MATHIAS ABEL VERTIZ</t>
  </si>
  <si>
    <t>HAYKIU + KUROKO</t>
  </si>
  <si>
    <t>REM MAID GLITTER</t>
  </si>
  <si>
    <t>REM POKER</t>
  </si>
  <si>
    <t>SH FIGUARTS ICHIGO</t>
  </si>
  <si>
    <t>BRAYAN EDWIN SOLORZANO</t>
  </si>
  <si>
    <t>MARIN GRANDE DIABLA ROPA NEGRA</t>
  </si>
  <si>
    <t>GAMAICHI NARUTO SAPO</t>
  </si>
  <si>
    <t xml:space="preserve">SASUKE EFECTO PANEL </t>
  </si>
  <si>
    <t>GRANDISTA SPECIAL EDITION</t>
  </si>
  <si>
    <t>ESCENA KURO Y CHICA</t>
  </si>
  <si>
    <t>CAMILA CHAVEZ KAMI</t>
  </si>
  <si>
    <t>ASUNA COLEGIALA</t>
  </si>
  <si>
    <t>PABLO DAVID VELIZ</t>
  </si>
  <si>
    <t>HERNAN RAYMUNDO JARA</t>
  </si>
  <si>
    <t>MEGUMI LUMINASTA PODER</t>
  </si>
  <si>
    <t>TOGE LUMINASTA PODER</t>
  </si>
  <si>
    <t>TODOU LUMINASTA</t>
  </si>
  <si>
    <t>STARDUST CRUSADERS JOJOS ICHIBAN</t>
  </si>
  <si>
    <t>MAGA OSCURA CORAZONES</t>
  </si>
  <si>
    <t>POMPURIN SOFVIMATES</t>
  </si>
  <si>
    <t>ZETSU VIBRATION STARS</t>
  </si>
  <si>
    <t>DUO POSTER ONE PIECE</t>
  </si>
  <si>
    <t>ITOSHI RIN NENDOROID</t>
  </si>
  <si>
    <t>SASORI EFFEXTREME x2</t>
  </si>
  <si>
    <t>NAMI + NICO ROBIN</t>
  </si>
  <si>
    <t>SERENA GLITTER</t>
  </si>
  <si>
    <t>CHIBI MOON GLITTER</t>
  </si>
  <si>
    <t>GETO CANTANTE</t>
  </si>
  <si>
    <t xml:space="preserve">SAKURA PANEL SPECTACLE </t>
  </si>
  <si>
    <t>ACCESORIOS CHOPPER</t>
  </si>
  <si>
    <t>TOMIOKA DORMILON</t>
  </si>
  <si>
    <t>JEAN PIERE SOLIGNAC PÉREZ</t>
  </si>
  <si>
    <t>SAKAMOTO GORDO VS</t>
  </si>
  <si>
    <t>ADRIANO JOSE DEPAZ BARRERA</t>
  </si>
  <si>
    <t>SASUKE POP UP PARADE</t>
  </si>
  <si>
    <t>VICTOR MANUEL CORONEL VERDEGUER</t>
  </si>
  <si>
    <t>MARIN LIZ DIABLA NEGRA</t>
  </si>
  <si>
    <t>JESUS ALEJANDRO MATTOS PANTA</t>
  </si>
  <si>
    <t>BROLY ICHIBAN SC + VEGETE BLUE</t>
  </si>
  <si>
    <t>MAICOL ACUÑA</t>
  </si>
  <si>
    <t>DUO SOPORTE CELULAR ONE PIECE</t>
  </si>
  <si>
    <t>FLOTADOR ALBEDO</t>
  </si>
  <si>
    <t>MAKIMA QPOSKET</t>
  </si>
  <si>
    <t>NIKKE PELO BLANCO</t>
  </si>
  <si>
    <t>KAWORU LUMINASTA</t>
  </si>
  <si>
    <t>MICKEY BACK TO THE FUTURE</t>
  </si>
  <si>
    <t>PELUCHE GOJO OJOS CELESTES</t>
  </si>
  <si>
    <t>LAMPARA GOJO</t>
  </si>
  <si>
    <t>PEQUEÑO CABEZON PELO MARRON</t>
  </si>
  <si>
    <t>TOBIRAMA X2</t>
  </si>
  <si>
    <t>VEGITO DOKHAM BATTLE</t>
  </si>
  <si>
    <t>YAMCHA HISTORY BOX</t>
  </si>
  <si>
    <t>DIO MOMETRIA V2</t>
  </si>
  <si>
    <t>ESCENA ACE WCF</t>
  </si>
  <si>
    <t>LUFFY KOA CAPA *2</t>
  </si>
  <si>
    <t>TRIO CABALLAS VESTIDO</t>
  </si>
  <si>
    <t>MASCOTA NEGRITA RANMA</t>
  </si>
  <si>
    <t>SHAMPOO SENTADA SEGA</t>
  </si>
  <si>
    <t>RANMA SENTDA MUJER BARRIL CABEZA</t>
  </si>
  <si>
    <t>MUJER CAPA RELALX TIME</t>
  </si>
  <si>
    <t>DUO EREN LEVI * 2</t>
  </si>
  <si>
    <t>GATA DAN DAN DAN</t>
  </si>
  <si>
    <t>BARTOLOMEO</t>
  </si>
  <si>
    <t>G5 MUJER Y HOMBRE X4</t>
  </si>
  <si>
    <t>DUOS CABALLAS X2</t>
  </si>
  <si>
    <t>MAXIMATIC PELO NEGRO CAJA MORADA/YU YU HAKUSHO</t>
  </si>
  <si>
    <t>GOTENKS SSJ SOLID</t>
  </si>
  <si>
    <t>GAARA COMBINATION BATTLE</t>
  </si>
  <si>
    <t>GOKU ALAS</t>
  </si>
  <si>
    <t>DUO ASUKA</t>
  </si>
  <si>
    <t>GOKU SS4 DAIMA</t>
  </si>
  <si>
    <t>GOKU BLUE ICHIBAN</t>
  </si>
  <si>
    <t>RUBY COREFUL</t>
  </si>
  <si>
    <t>MARCELO CORONEL</t>
  </si>
  <si>
    <t>SOFVIMATE PATO</t>
  </si>
  <si>
    <t>STOCK CAJA</t>
  </si>
  <si>
    <t>GENOS</t>
  </si>
  <si>
    <t>RIMURU PODER</t>
  </si>
  <si>
    <t>KOICHI HEROE</t>
  </si>
  <si>
    <t>KITE + PITOU</t>
  </si>
  <si>
    <t>JEYSON ALDAIR PRIMO JOAQUIN</t>
  </si>
  <si>
    <t>BETZABETH VAL ICHIGO SHOTO</t>
  </si>
  <si>
    <t>CALAVERON + ALBEDO ALAS</t>
  </si>
  <si>
    <t>FRANKY RED</t>
  </si>
  <si>
    <t>LLAVERO GUNDAM</t>
  </si>
  <si>
    <t>WILBER GUILLERMO PILARES CHOCCARE</t>
  </si>
  <si>
    <t>DUO PORTA LIBROS HOKAGES</t>
  </si>
  <si>
    <t>NICOLAS ARAUJO CHUSHO</t>
  </si>
  <si>
    <t>OBANAI</t>
  </si>
  <si>
    <t>ANNIE / PAMELA PRA</t>
  </si>
  <si>
    <t>NAGUMO VIBRAITON</t>
  </si>
  <si>
    <t xml:space="preserve">GUNDAM </t>
  </si>
  <si>
    <t>CARLOS ESPINOZA</t>
  </si>
  <si>
    <t xml:space="preserve">MINI GUNDAM </t>
  </si>
  <si>
    <t>SAKAMOTO GORDO Y SENTADO</t>
  </si>
  <si>
    <t>TRIO KIMETSU</t>
  </si>
  <si>
    <t>RICARDO MORIHIRA</t>
  </si>
  <si>
    <t>KENSHIN</t>
  </si>
  <si>
    <t>4 HXH</t>
  </si>
  <si>
    <t>KENSHIN ICHIBAN</t>
  </si>
  <si>
    <t>LAW KOA</t>
  </si>
  <si>
    <t>LUFFY KOA CAPA</t>
  </si>
  <si>
    <t>CARLOS JAIME</t>
  </si>
  <si>
    <t>KEVIN JASON JUAREZ</t>
  </si>
  <si>
    <t>LUNA INFERIOR</t>
  </si>
  <si>
    <t>MAKA ALBARN</t>
  </si>
  <si>
    <t>PREVENTA GS MY 2026</t>
  </si>
  <si>
    <t>JINWOO POP UP L</t>
  </si>
  <si>
    <t>REVY POP UP L</t>
  </si>
  <si>
    <t>LLEGO ENVIADO</t>
  </si>
  <si>
    <t>TRIO QPOSKET HXH</t>
  </si>
  <si>
    <t xml:space="preserve">DUO FRIEREN  </t>
  </si>
  <si>
    <t>NARUTO PODER BOLA</t>
  </si>
  <si>
    <t>POR ENTREGAR</t>
  </si>
  <si>
    <t>HOLO VESTIDO ROJO</t>
  </si>
  <si>
    <t>YOSELIN VELARDE</t>
  </si>
  <si>
    <t>HATSUNE MIKU SAKURA BLOOKEES</t>
  </si>
  <si>
    <t>DEIDARA AKATSUKI</t>
  </si>
  <si>
    <t>ALBEDO GRANDE</t>
  </si>
  <si>
    <t>BRATHLY ORE ALATTA</t>
  </si>
  <si>
    <t>PEPPERS</t>
  </si>
  <si>
    <t>MUJER RUBIA TIRADA DE ESPALDAS</t>
  </si>
  <si>
    <t>CARLOS ANDRE SOCA PUCLLAS</t>
  </si>
  <si>
    <t>MELINA A BARDALES P</t>
  </si>
  <si>
    <t>NENDOROID RANMA HOMBRE</t>
  </si>
  <si>
    <t>TRIO FIGURAS</t>
  </si>
  <si>
    <t>ALBEDO AMP</t>
  </si>
  <si>
    <t>HARU NONAKA CANTAME AYER</t>
  </si>
  <si>
    <t>CHISUI TOP 99</t>
  </si>
  <si>
    <t>DUO RIKA YUTA</t>
  </si>
  <si>
    <t>YOTSUBA COLEGIALA</t>
  </si>
  <si>
    <t>DUO GOGETA SUKUNA</t>
  </si>
  <si>
    <t>DUO NEZUKO TANJIRO MANO</t>
  </si>
  <si>
    <t>JOSE OSWALDO HURTADO VELIT</t>
  </si>
  <si>
    <t>LUIS GUILLERMO JIMENEZ</t>
  </si>
  <si>
    <t>ENTREGADO MOTORIZADO</t>
  </si>
  <si>
    <t>GON LAPICERO</t>
  </si>
  <si>
    <t>RUKA RAG</t>
  </si>
  <si>
    <t>LLAVERO GOGETA SS4</t>
  </si>
  <si>
    <t>NARUTO MEMORABLE SAGA SABIO</t>
  </si>
  <si>
    <t>MUJER RANMA</t>
  </si>
  <si>
    <t>GOJO LUMINASTA BRAZO ESTIRADO</t>
  </si>
  <si>
    <t>AGARRA LAPICEROS RUBIA</t>
  </si>
  <si>
    <t>MUJER ONE PUNC MANCH EN 4</t>
  </si>
  <si>
    <t>EREN POP UP PARADE X 2</t>
  </si>
  <si>
    <t>GENGAR ESCENA</t>
  </si>
  <si>
    <t>SET ICHIBAN UMAS</t>
  </si>
  <si>
    <t>NICO ROBIN BIKINI MORADO</t>
  </si>
  <si>
    <t>QUINTILLIZA CONEJA</t>
  </si>
  <si>
    <t>SEBASTIAN MORENO</t>
  </si>
  <si>
    <t xml:space="preserve">SASUKE PANEL SPECTACLE </t>
  </si>
  <si>
    <t>MUJER PELO CELESTE DATE ALIVE</t>
  </si>
  <si>
    <t>TRACER POP UP PARADE</t>
  </si>
  <si>
    <t>GUSTAVO JAVIER ISUIZA DEL AGUILA</t>
  </si>
  <si>
    <t>4 CHIQUITOS</t>
  </si>
  <si>
    <t>CHIFUYU KOA</t>
  </si>
  <si>
    <t>ALEJANDRO JUNIOR REYES VILLANUEVA</t>
  </si>
  <si>
    <t>ENDEAVOR AMAZING HEROES</t>
  </si>
  <si>
    <t>RODRIGO R PAREDES P</t>
  </si>
  <si>
    <t>GOKU UI SOLID</t>
  </si>
  <si>
    <t>DJAROVIC ZDRAKOV HARO ACOSTA</t>
  </si>
  <si>
    <t>ALBEDO ALAS</t>
  </si>
  <si>
    <t>HENRY VELASQUEZ CAYETANO</t>
  </si>
  <si>
    <t>SONICO</t>
  </si>
  <si>
    <t>NANACHI</t>
  </si>
  <si>
    <t>MIKU BI CUTE</t>
  </si>
  <si>
    <t>MINION</t>
  </si>
  <si>
    <t>SENTADA HXH</t>
  </si>
  <si>
    <t>ROSADA HEROE</t>
  </si>
  <si>
    <t>SEBASTIAN GAMARRA ZAMALLOA</t>
  </si>
  <si>
    <t>ENVIO SHALOM</t>
  </si>
  <si>
    <t>BATA BLANCA KNY</t>
  </si>
  <si>
    <t>GENYA KNY</t>
  </si>
  <si>
    <t>DAKI VIBRATION BLANCA</t>
  </si>
  <si>
    <t>CLAUDIA ESTEFANY PEÑA MUÑOZ</t>
  </si>
  <si>
    <t>ITADORI BLACK FLASH</t>
  </si>
  <si>
    <t>MASSHIEL SHILARY APARICIO CHALLCO</t>
  </si>
  <si>
    <t>CESAR MONTENEGRO REISEC</t>
  </si>
  <si>
    <t>CARACOL DORADO</t>
  </si>
  <si>
    <t>LUIS ANGEL NEYRA VELARDE</t>
  </si>
  <si>
    <t>RAM SERENUS COUTURE</t>
  </si>
  <si>
    <t>DIEGO ARMANDO CASTRO CCOSI</t>
  </si>
  <si>
    <t>INICIA</t>
  </si>
  <si>
    <t>ICHIGO ICHIBAN</t>
  </si>
  <si>
    <t>KEMPACHI ICHIBAN</t>
  </si>
  <si>
    <t>UHONAHA</t>
  </si>
  <si>
    <t>TRIO HADAS RE ZERO</t>
  </si>
  <si>
    <t>2 GOKUS ALIEXPRES</t>
  </si>
  <si>
    <t>ASUNA KIMONO</t>
  </si>
  <si>
    <t>TRIO TOKYO R</t>
  </si>
  <si>
    <t>MAKISE KURISU - STEINS GATE</t>
  </si>
  <si>
    <t xml:space="preserve">KATHERINE ACUÑA </t>
  </si>
  <si>
    <t>NSJ052618</t>
  </si>
  <si>
    <t>TAKARA TOMY POKEMON MONSTER COLLECTION</t>
  </si>
  <si>
    <t>NSJ052657</t>
  </si>
  <si>
    <t>REZE BOMBA GRANDISTA</t>
  </si>
  <si>
    <t>NSJ052652</t>
  </si>
  <si>
    <t>MILIM NAVA - OTHERWORLDER PLUS SE</t>
  </si>
  <si>
    <t>NSJ052631</t>
  </si>
  <si>
    <t>MEJIRO MCQUEEN - UMA MUSUME ICHIBAN A</t>
  </si>
  <si>
    <t>NSJ052611</t>
  </si>
  <si>
    <t>REM MAID - RE ZERO GLITERS Y GLAMOUR</t>
  </si>
  <si>
    <t>NSJ052644</t>
  </si>
  <si>
    <t>STILL IN LOVE - UMA MUSUME PRETTY DERBY</t>
  </si>
  <si>
    <t>NSJ052616</t>
  </si>
  <si>
    <t>ALBEDO NURSE  VER - OVERLORD DESKTOP TAITO</t>
  </si>
  <si>
    <t>MANHATTAN CAFFE - UMA MUSUME P.D</t>
  </si>
  <si>
    <t>NSJ052640</t>
  </si>
  <si>
    <t>SIMIABRAZ - POKEMON MONTERS COLLECTION</t>
  </si>
  <si>
    <t>NSJ052636</t>
  </si>
  <si>
    <t>ASUNA YUKI - SAO ICHIBANKUJI A</t>
  </si>
  <si>
    <t>NSJ05267</t>
  </si>
  <si>
    <t>NANACHI Y MITTY - MADE IN ABYSS DESKTOP CUTE</t>
  </si>
  <si>
    <t>NSJ052623</t>
  </si>
  <si>
    <t> VIBRATION STARS-UCHIHA SASUKE</t>
  </si>
  <si>
    <t>NSJ052619</t>
  </si>
  <si>
    <t>VIBRATION STARS-UZUMAKI NARUTO</t>
  </si>
  <si>
    <t>IZUKU MIDORIYA - BOKU NO HERO SEGA</t>
  </si>
  <si>
    <t>NSJ052643</t>
  </si>
  <si>
    <t>GOGETA II - DRAGON BALL GRANDISTA</t>
  </si>
  <si>
    <t>NSJ052625</t>
  </si>
  <si>
    <t>NAMI WANO - ONEPIECE BAMPRESTO</t>
  </si>
  <si>
    <t>NSJ052639</t>
  </si>
  <si>
    <t>ROBIN WANO - ONEPIECE BAMPRESTO</t>
  </si>
  <si>
    <t>LUFFY WANO - ONEPIECE BAMPRESTO</t>
  </si>
  <si>
    <t>ZORO WANO - ONEPIECE BAMPRESTO</t>
  </si>
  <si>
    <t>SANJI WANO - ONEPIECE BAMPRESTO</t>
  </si>
  <si>
    <t>ASUNA YUKI - SAO - FIGURIZMA</t>
  </si>
  <si>
    <t>NSJ05266</t>
  </si>
  <si>
    <t>MARIN KITAGAWA - MY DRESSUP D TRAJE DE BAÑO</t>
  </si>
  <si>
    <t>NSJ052610</t>
  </si>
  <si>
    <t>BOCINA DRAGON BALL</t>
  </si>
  <si>
    <t>MARIN KITAGAWA - MY DRESSUP D UNIFORME</t>
  </si>
  <si>
    <t>MARIN KITAGAWA - MY DRESSUP D POLERA</t>
  </si>
  <si>
    <t xml:space="preserve">LACUS CLYNE - MOBILE GUNDAM FREEDOM </t>
  </si>
  <si>
    <t>ACE SCULTURE BIG SE - ONEPIECE</t>
  </si>
  <si>
    <t>NSJ052658</t>
  </si>
  <si>
    <t>RANMA CHICA - GLITER Y GLAMOURS MAID</t>
  </si>
  <si>
    <t>NSJ052637</t>
  </si>
  <si>
    <t>FRIEREN PODER - FIGURIZMA</t>
  </si>
  <si>
    <t>KONJIKI NO YAMI - GLITER Y GLAMOURS</t>
  </si>
  <si>
    <t>NARBERAL BICUTE BUNNIES - OVERLORD</t>
  </si>
  <si>
    <t>REZE - GLITER Y GLAMOURS</t>
  </si>
  <si>
    <t>MAO MAO VESTIDO ROSA - BAMPRESTO</t>
  </si>
  <si>
    <t>NSJ052613</t>
  </si>
  <si>
    <t>TOGA GLITER Y GLAMOURS</t>
  </si>
  <si>
    <t>KOBENI BICUTE BUNNIES CSM</t>
  </si>
  <si>
    <t>NSJ052653</t>
  </si>
  <si>
    <t>POWER BICUTE BUNNIES CSM</t>
  </si>
  <si>
    <t>DUO AKAZA Y RENGOKU PELEA - KIMETZU</t>
  </si>
  <si>
    <t>NSJ052620</t>
  </si>
  <si>
    <t>MAKI NUBE ITINERANTE</t>
  </si>
  <si>
    <t>NSJ052624</t>
  </si>
  <si>
    <t xml:space="preserve">FRIEREN MAID </t>
  </si>
  <si>
    <t>NSJ052659</t>
  </si>
  <si>
    <t>REZE GLITER Y GLAMOURS</t>
  </si>
  <si>
    <t>NSJ052633</t>
  </si>
  <si>
    <t>NSJ052615</t>
  </si>
  <si>
    <t>KIRITO SAO ICHIBANKUJI A</t>
  </si>
  <si>
    <t>NSJ052651</t>
  </si>
  <si>
    <t xml:space="preserve"> SINON SAO ICHIBANKUJI A</t>
  </si>
  <si>
    <t>ASUNA YUUKI SAO ICHIBANKUJI A</t>
  </si>
  <si>
    <t>KONNO YUUKI SAO ICHIBANKUJI C</t>
  </si>
  <si>
    <t>SON GOKU SS4 DRAGON BALL HEROES</t>
  </si>
  <si>
    <t>STARK MAXIMATIC FRIEREN</t>
  </si>
  <si>
    <t>NSJ052612</t>
  </si>
  <si>
    <t>GOGETA SPECIAL COLOR BLUE</t>
  </si>
  <si>
    <t>NSJ052638</t>
  </si>
  <si>
    <t xml:space="preserve">VEGETA  SS CLEARISE </t>
  </si>
  <si>
    <t>NSJ052626</t>
  </si>
  <si>
    <t xml:space="preserve">GOHAN  SS2 CLEARISE </t>
  </si>
  <si>
    <t>DRAGON BALL DAIMA ICHIBANKUJI A</t>
  </si>
  <si>
    <t>NSJ052646</t>
  </si>
  <si>
    <t>LUFFY ZOMBIE AZUL</t>
  </si>
  <si>
    <t>MEGUMI KONOSUBA 3</t>
  </si>
  <si>
    <t>SATURNO MEGA WCF ONEPIECE</t>
  </si>
  <si>
    <t xml:space="preserve">TOKISAKI KURUMI BICUTE DARK </t>
  </si>
  <si>
    <t>KASUMI MIWA ESPADA JJK</t>
  </si>
  <si>
    <t>HATSUNE MIKU SEGA</t>
  </si>
  <si>
    <t>KATSUKI BAKUGO THE AMAZING HEROES DX</t>
  </si>
  <si>
    <t>NSJ052650</t>
  </si>
  <si>
    <t xml:space="preserve">KATSUKI BAKUGO SEASON 7TH </t>
  </si>
  <si>
    <t>PICCOLO SOLID EDGE WORKS DBZ</t>
  </si>
  <si>
    <t>GULDO  SOLID EDGE WORKS DBZ</t>
  </si>
  <si>
    <t>ANDROIDE 16  SOLID EDGE WORKS DBZ</t>
  </si>
  <si>
    <t>CINDERELLA GRAY - UMA MUSUME TRIO TRY IT</t>
  </si>
  <si>
    <t>GENTILDONNA - UMA MUSUME TRIO TRY IT</t>
  </si>
  <si>
    <t>PRETTY DERBY - UMA MUSUME TRIO TRY IT</t>
  </si>
  <si>
    <t>JIMBE SCULTURE BIG SE - ONEPIECE</t>
  </si>
  <si>
    <t>SEBASTIAN - BLACK BUTLER PWM</t>
  </si>
  <si>
    <t>NSJ052635</t>
  </si>
  <si>
    <t>CIEL - BLACK BUTLER PWM</t>
  </si>
  <si>
    <t>ACE POP LIMITED EDITION VER 1.5</t>
  </si>
  <si>
    <t>NSJ052614</t>
  </si>
  <si>
    <t>SHANKS BAMPRESTO</t>
  </si>
  <si>
    <t>BEN BECKMAN BAMPRESTO</t>
  </si>
  <si>
    <t>YASSOP BAMPRESTO</t>
  </si>
  <si>
    <t>ACE GRANDISTA ANTIGUO</t>
  </si>
  <si>
    <t>HAKUI KOYORI RELAX TIME HOLOLIVE</t>
  </si>
  <si>
    <t>NSJ052629</t>
  </si>
  <si>
    <t>SAKURA MIKU DESKTOP CUTE</t>
  </si>
  <si>
    <t>NSJ052645</t>
  </si>
  <si>
    <t>ESCENA DE ACE Y OTAMA ICHIBANJUJI A</t>
  </si>
  <si>
    <t>AKASA XROSS LINK SEGA</t>
  </si>
  <si>
    <t>UZUMAKI NARUTO MEMORABLE SAGA</t>
  </si>
  <si>
    <t>NSJ052647</t>
  </si>
  <si>
    <t>DEIDARA EFFECTREME  BAMPRESTO</t>
  </si>
  <si>
    <t>NSJ052648</t>
  </si>
  <si>
    <t>MARIN KITAGAWA AMP+ KUROE SHIZUKU</t>
  </si>
  <si>
    <t>3 PERROS NINJA - NARUTO</t>
  </si>
  <si>
    <t>NSJ052649</t>
  </si>
  <si>
    <t>EMILIA RE:ZERO SEGA</t>
  </si>
  <si>
    <t>MADARA UCHIHA VIBRATION STARS</t>
  </si>
  <si>
    <t>ITACHI UCHIHA GRANDISTA</t>
  </si>
  <si>
    <t>ZORO GRANDISTA II</t>
  </si>
  <si>
    <t>NSJ05269</t>
  </si>
  <si>
    <t xml:space="preserve">LUFY WANO KOA </t>
  </si>
  <si>
    <t>NICO ROBIN EGGHEAD GLITER Y GLAMOURS</t>
  </si>
  <si>
    <t>SASORI VIBRATION STARS - NARUTO SHIPPUDEN</t>
  </si>
  <si>
    <t>KONAN VIBRATION STARS  - NARUTO SHIPPUDEN</t>
  </si>
  <si>
    <t>ENISHI QPOSKET SAMURAI X AZUL</t>
  </si>
  <si>
    <t>NSJ052628</t>
  </si>
  <si>
    <t>KENSHIN QPOSKET SAMURAI X OSCURO</t>
  </si>
  <si>
    <t>HAJIME QPOSKET SAMURAI X MORADO</t>
  </si>
  <si>
    <t>GOJO PURPURA SEGA</t>
  </si>
  <si>
    <t>ALYA LA RUSA - GLITER Y GLAMOURS BUNY</t>
  </si>
  <si>
    <t>NSJ052661</t>
  </si>
  <si>
    <t>DORMILON KUROO HAIKYUU</t>
  </si>
  <si>
    <t>NSJ052662</t>
  </si>
  <si>
    <t>ENJIN VIBRATION STARS GACHIAKUTA</t>
  </si>
  <si>
    <t>NSJ052663</t>
  </si>
  <si>
    <t>RIYO VIBRATION STARS GACHIAKUTA</t>
  </si>
  <si>
    <t>VEGETA SOLID EDGE WORKS</t>
  </si>
  <si>
    <t>JOHAN RENE MENACHO QUISPE</t>
  </si>
  <si>
    <t>OBELISCO</t>
  </si>
  <si>
    <t>MARIN MAID ECHADA ROPA NEGRA AMP</t>
  </si>
  <si>
    <t>SANJI GLITTER &amp; BRAVE</t>
  </si>
  <si>
    <t>CHARLOTTE GLITTER</t>
  </si>
  <si>
    <t>KAKASHI POSTURA VIBRATION STARS</t>
  </si>
  <si>
    <t>LATIOS TAKARA TOMY</t>
  </si>
  <si>
    <t>MARIN ROPA POLICIA BLACK</t>
  </si>
  <si>
    <t>DTVE CONAN QPOSKET</t>
  </si>
  <si>
    <t>DUO MODEL KIT SHOPPER</t>
  </si>
  <si>
    <t>DEKU PISANDO PIEDRA</t>
  </si>
  <si>
    <t>ALBEDO POP UP PARADE L</t>
  </si>
  <si>
    <t>POR LLEGAR ESTA SEMANA</t>
  </si>
  <si>
    <t>JOHAN GALLEGOS</t>
  </si>
  <si>
    <t>ROXY MODEL KIT DX</t>
  </si>
  <si>
    <t>MARZO GS</t>
  </si>
  <si>
    <t>DUO SOLID FREEZER + TENSHIN HAN</t>
  </si>
  <si>
    <t>EDSON L RAA A</t>
  </si>
  <si>
    <t>KIRBYS</t>
  </si>
  <si>
    <t>ASUNA SUELTA</t>
  </si>
  <si>
    <t>MUJER TRAJE BLANCO</t>
  </si>
  <si>
    <t>LUFFY KOA GORDO</t>
  </si>
  <si>
    <t>SANJI KOA</t>
  </si>
  <si>
    <t>DUO BTS</t>
  </si>
  <si>
    <t>NATSU FAIRY TAIL POP UP PARADE</t>
  </si>
  <si>
    <t>6 MATCH MAKER</t>
  </si>
  <si>
    <t>JUAN PABLO CASTILLO</t>
  </si>
  <si>
    <t>ANDROMEDA</t>
  </si>
  <si>
    <t>JEAN P PONCE V</t>
  </si>
  <si>
    <t>NARBERAL BICUTE BUNNIES *4</t>
  </si>
  <si>
    <t>NSJ052664</t>
  </si>
  <si>
    <t>NARBERAL BICUTE BUNNIES</t>
  </si>
  <si>
    <t>HATSUNE MIKU SPECIAL NENDOROID</t>
  </si>
  <si>
    <t>NENDOROID SHOTO TODOROKI</t>
  </si>
  <si>
    <t>ADRIANA / ROSA SAL</t>
  </si>
  <si>
    <t>SHIGARAKI POP UP PARADE</t>
  </si>
  <si>
    <t>PAIN ICHIBAN KUJI</t>
  </si>
  <si>
    <t>NSJ052666</t>
  </si>
  <si>
    <t>SET PAIN CABEZONES</t>
  </si>
  <si>
    <t>NSJ052669</t>
  </si>
  <si>
    <t>SET X6 MERCH NARUTO</t>
  </si>
  <si>
    <t>NSJ052668</t>
  </si>
  <si>
    <t>NSJ052665</t>
  </si>
  <si>
    <t>KURAMA LAST ONE</t>
  </si>
  <si>
    <t>JIRAYJA ICHIBAN KUJI</t>
  </si>
  <si>
    <t>HINATA ICHIBAN KUJI</t>
  </si>
  <si>
    <t>TRIO CHOKOS PAIN</t>
  </si>
  <si>
    <t>MERCH NARUTO X3</t>
  </si>
  <si>
    <t>AERIAL GUNDAM MODEL KIT</t>
  </si>
  <si>
    <t>NSJ052654</t>
  </si>
  <si>
    <t>MAI CONEJONA</t>
  </si>
  <si>
    <t>CHOSO NENDOROID</t>
  </si>
  <si>
    <t>EDITH EVELYN MELO</t>
  </si>
  <si>
    <t>4 WCF ONE PIECE</t>
  </si>
  <si>
    <t>ENRIQUE LM</t>
  </si>
  <si>
    <t>KILLUA GRANDISTA</t>
  </si>
  <si>
    <t>NSJ052672</t>
  </si>
  <si>
    <t>MARCO SCULTURE</t>
  </si>
  <si>
    <t>NSJ052671</t>
  </si>
  <si>
    <t>QUITAR MAI</t>
  </si>
  <si>
    <t>ALBEDO ALAS SENTADA</t>
  </si>
  <si>
    <t xml:space="preserve">SHALTEAR SENTADA </t>
  </si>
  <si>
    <t>ESCENA ANDROIDE VS ENCAPUCHADO</t>
  </si>
  <si>
    <t>WCF G5 PUÑOS</t>
  </si>
  <si>
    <t>2 DUOS BLACK BUTLER</t>
  </si>
  <si>
    <t>NSJ052670</t>
  </si>
  <si>
    <t>DUO BLACK BUTLER</t>
  </si>
  <si>
    <t>MAXIMATIC DEKU</t>
  </si>
  <si>
    <t>KIMIMARO VIBRATIOS STARS</t>
  </si>
  <si>
    <t>URLISH KLEYBER MARROQUIN</t>
  </si>
  <si>
    <t>KAIGAKU DXF KIMETSU</t>
  </si>
  <si>
    <t>MIKU + ITSUKI + ICHIKA NAKANO CONEJAS</t>
  </si>
  <si>
    <t>LUCARIO TAKARA TOMY</t>
  </si>
  <si>
    <t>AKAZA VS STOCK</t>
  </si>
  <si>
    <t>MARIN MAID ROPA NEGRA TAITO TMOST</t>
  </si>
  <si>
    <t>MARIN ECHADA RUBIA</t>
  </si>
  <si>
    <t>STOCK ENE</t>
  </si>
  <si>
    <t>MARIN COLEGIALA ECHADA</t>
  </si>
  <si>
    <t>GABIMARU DXF</t>
  </si>
  <si>
    <t xml:space="preserve">NICO ROBIN </t>
  </si>
  <si>
    <t>MIHAWK</t>
  </si>
  <si>
    <t>UNOHANA</t>
  </si>
  <si>
    <t>GYOMEI DXF</t>
  </si>
  <si>
    <t>JUNIOR MIGUEL HUAMANI CASTRO</t>
  </si>
  <si>
    <t>NETERO HUNTING ARCHIVES</t>
  </si>
  <si>
    <t>NSJ05265</t>
  </si>
  <si>
    <t>LORD LOBELIA OPEN MARIN</t>
  </si>
  <si>
    <t>ARIANA YAMILE LAMAS SANCHEZ</t>
  </si>
  <si>
    <t>SET X 4 QUINTILLIZAS</t>
  </si>
  <si>
    <t>JAVIER LEONARDO LLACUA PEREZ</t>
  </si>
  <si>
    <t>SHINING NEO YU GI OH</t>
  </si>
  <si>
    <t>CONEJA TOKHA</t>
  </si>
  <si>
    <t xml:space="preserve">HATSUNE MIKE CONEJITA </t>
  </si>
  <si>
    <t>TOKHA AMP TAITO</t>
  </si>
  <si>
    <t>HENRY HOYOS</t>
  </si>
  <si>
    <t>MARIN MAID AMP TAITO TMOST</t>
  </si>
  <si>
    <t>7 ARTICULOS MERCH</t>
  </si>
  <si>
    <t>MARIO BROS AZUL</t>
  </si>
  <si>
    <t>JORGE RICARDO ARELLANO</t>
  </si>
  <si>
    <t>KARMA AKABANE NENDOROID</t>
  </si>
  <si>
    <t>CESAR CARRANZA</t>
  </si>
  <si>
    <t>STUWAR F CAHUANA C</t>
  </si>
  <si>
    <t>MELANNY SANGAMA</t>
  </si>
  <si>
    <t>DIEGO DEPAZ RAMIREZ</t>
  </si>
  <si>
    <t>RENE M LOYOLA E</t>
  </si>
  <si>
    <t>JOSUE LOPEZ</t>
  </si>
  <si>
    <t>1 RUBIO DORMIDO</t>
  </si>
  <si>
    <t>SQUARTLIE MODEL KIT</t>
  </si>
  <si>
    <t>SOL WCF</t>
  </si>
  <si>
    <t>4 MINI GUNDAM</t>
  </si>
  <si>
    <t>GOKU ICHIBAN SS3 DAIMA</t>
  </si>
  <si>
    <t>ANGEL RODRIGUEZ</t>
  </si>
  <si>
    <t>CAMILA MARCELA CHAVEZ / CREMA VOLTEADA</t>
  </si>
  <si>
    <t>ITADORI TIGRE</t>
  </si>
  <si>
    <t>ANALI CCALLO / ROS NANA</t>
  </si>
  <si>
    <t>DUO NARUTO SABIO GRANDISTA SPECIAL EDITION</t>
  </si>
  <si>
    <t>13 MERCH JJK</t>
  </si>
  <si>
    <t>RENJI FIGUARTS ZERO</t>
  </si>
  <si>
    <t>PREVENTA POR CONFIRMAR MES</t>
  </si>
  <si>
    <t xml:space="preserve">MARIN ANGELITA </t>
  </si>
  <si>
    <t>SET X4 ALYA SENTADAS</t>
  </si>
  <si>
    <t>CLAUDIA DANIELA JUNCO LAZO</t>
  </si>
  <si>
    <t>YUTA YUMERMIRIZE</t>
  </si>
  <si>
    <t>DIANA ROMERO A</t>
  </si>
  <si>
    <t>LEVI ICHIBAN KUJI</t>
  </si>
  <si>
    <t>OBELISCO YU GI OH</t>
  </si>
  <si>
    <t>REZE SENTADA</t>
  </si>
  <si>
    <t>SHOTA AIZAWA</t>
  </si>
  <si>
    <t>PELUCHON MANHATAN</t>
  </si>
  <si>
    <t>PREVENTA JULIO GS</t>
  </si>
  <si>
    <t>REM HADA</t>
  </si>
  <si>
    <t xml:space="preserve">JUEGO TAZA </t>
  </si>
  <si>
    <t>PREVENTA FEBRERO</t>
  </si>
  <si>
    <t>ASUNA BI CUTE BUNNIES</t>
  </si>
  <si>
    <t>EXO FIGURE SAO PELO CELESTE</t>
  </si>
  <si>
    <t>PECHUGONA MOÑO</t>
  </si>
  <si>
    <t>CROCANTE</t>
  </si>
  <si>
    <t>KIRA YOSHIKAGE</t>
  </si>
  <si>
    <t>NSJ052676</t>
  </si>
  <si>
    <t>HIGASHIKATA JOSUKE</t>
  </si>
  <si>
    <t>ALBEDO ALAS GRANDE</t>
  </si>
  <si>
    <t>SHOTO TODOROKI ICHIBAN MASTERLISE</t>
  </si>
  <si>
    <t>NSJ052641</t>
  </si>
  <si>
    <t>SENTADITO CAMISA BLANCA</t>
  </si>
  <si>
    <t>TAZA PERRITO</t>
  </si>
  <si>
    <t>ǫʜᴀᴛᴜǫ ᴡᴀsɪ ᴄᴏᴍᴜɴɪᴅᴀᴅ MATHY TOYS</t>
  </si>
  <si>
    <t>NEZUKO CHOKONOKO</t>
  </si>
  <si>
    <t>RENZO M</t>
  </si>
  <si>
    <t>TRIO MERCH JJK</t>
  </si>
  <si>
    <t>LOOK UP GETO</t>
  </si>
  <si>
    <t>GUNDAM MERCH</t>
  </si>
  <si>
    <t>SUPER BUU</t>
  </si>
  <si>
    <t>DUO DORMILONES</t>
  </si>
  <si>
    <t>ITADORI SEGA A</t>
  </si>
  <si>
    <t>REG + FAPUTA NENDOROID</t>
  </si>
  <si>
    <t>DANIEL JEFERSON ESPINOZA VASQUEZ</t>
  </si>
  <si>
    <t>DUO CONEJAS QUINTILLIZAS</t>
  </si>
  <si>
    <t>PIEROLT JHORDANO GABRIEL PEREZ</t>
  </si>
  <si>
    <t>LUFFY G5 JAJAJA KOA</t>
  </si>
  <si>
    <t>UTA + YAMATO DXF</t>
  </si>
  <si>
    <t>AKAZA XROSS LINK</t>
  </si>
  <si>
    <t>DUO RELAX TIME FAPUTA</t>
  </si>
  <si>
    <t>LUFFY GEAR 5 GRANDISTA V II</t>
  </si>
  <si>
    <t>SH FIGUARTS KAMEN RIDER</t>
  </si>
  <si>
    <t>RAY SLY GAMARRA</t>
  </si>
  <si>
    <t>MARIN DIABLA</t>
  </si>
  <si>
    <t>DUO TOJI MEGUMI ESCENA</t>
  </si>
  <si>
    <t>ICHIBAN LAST ONE GOJO</t>
  </si>
  <si>
    <t>NOBARA QPOSKET + NOBARA KOA</t>
  </si>
  <si>
    <t>TRIO BTS</t>
  </si>
  <si>
    <t>MODEL KIT CHOPPER</t>
  </si>
  <si>
    <t>AGUMON + GABUMON SOFVIMATES</t>
  </si>
  <si>
    <t>KOA G4 + STAMPIDE KOA</t>
  </si>
  <si>
    <t>BOA DXF</t>
  </si>
  <si>
    <t>PELUCHON AGNES</t>
  </si>
  <si>
    <t>GOJO LUMINASTA BASE PODER</t>
  </si>
  <si>
    <t>MATHIAS ALEXANDRO AYALA</t>
  </si>
  <si>
    <t xml:space="preserve">DANIEL ANDREW HIDALGO </t>
  </si>
  <si>
    <t>HOKAGES SOPORTE LIBROS</t>
  </si>
  <si>
    <t>TOBIRAMA NUEVO VS</t>
  </si>
  <si>
    <t>HASHIRAMA VS</t>
  </si>
  <si>
    <t>MADARA VS</t>
  </si>
  <si>
    <t>REZE BI CUTE BUNNIES</t>
  </si>
  <si>
    <t>NSJ052680</t>
  </si>
  <si>
    <t>NARUTO TRANSFORMADO 72 SERIES</t>
  </si>
  <si>
    <t>NSJ052675</t>
  </si>
  <si>
    <t>SASUKE TRANSFORMADO 72 SERIES</t>
  </si>
  <si>
    <t>YUTA STELLAR</t>
  </si>
  <si>
    <t>NSJ052674</t>
  </si>
  <si>
    <t>LAW BANPRESTO</t>
  </si>
  <si>
    <t>KOALA BANPRESTO</t>
  </si>
  <si>
    <t>SABO BANPRESTO</t>
  </si>
  <si>
    <t>CROCODRILE BANPRESTO</t>
  </si>
  <si>
    <t>TOMIOKA GRANDISTA</t>
  </si>
  <si>
    <t>NSJ052673</t>
  </si>
  <si>
    <t>KANAO GLITTER GLAMOURS</t>
  </si>
  <si>
    <t>OKARUN GRANDISTA</t>
  </si>
  <si>
    <t>FRIEREN MAXIMATIC</t>
  </si>
  <si>
    <t>JOSUKE MOMETRIA JOJOS</t>
  </si>
  <si>
    <t>TRIO STELLAR FRIEREN</t>
  </si>
  <si>
    <t>NSJ052681</t>
  </si>
  <si>
    <t>SET POP MART FRIEREN</t>
  </si>
  <si>
    <t>AVION POP MART</t>
  </si>
  <si>
    <t>ASUNA BI CUTE ANGELS</t>
  </si>
  <si>
    <t>MIKU BURRITO</t>
  </si>
  <si>
    <t>GOJO MAXIMATIC 1</t>
  </si>
  <si>
    <t>GOJO MAXIMATIC 2</t>
  </si>
  <si>
    <t>BLUELOCK RUBIO</t>
  </si>
  <si>
    <t>DIO JOJOS NEW VERSION</t>
  </si>
  <si>
    <t>DUO DOKHAN BATTLE VEGITO GOGETA</t>
  </si>
  <si>
    <t>XIOMARA VELASQUEZ</t>
  </si>
  <si>
    <t>DRAGON + ROGER DXF</t>
  </si>
  <si>
    <t>RUBY OSHINOKO</t>
  </si>
  <si>
    <t>DUO KRILIN GOKU TERNO</t>
  </si>
  <si>
    <t>RONNY CALDERON TAPIA</t>
  </si>
  <si>
    <t>DUO HXH</t>
  </si>
  <si>
    <t>DUO JERRY</t>
  </si>
  <si>
    <t>GUY SENSEI VS</t>
  </si>
  <si>
    <t>NAGOYA MAXIMATIC</t>
  </si>
  <si>
    <t>NSJ052679</t>
  </si>
  <si>
    <t>PRESENT MIC MHA</t>
  </si>
  <si>
    <t>NATALIA ALEGRE</t>
  </si>
  <si>
    <t>PELO AZUL MHA</t>
  </si>
  <si>
    <t>RUBIO SAKAMOTO SENTADO</t>
  </si>
  <si>
    <t>DUO GATITAS ANYA</t>
  </si>
  <si>
    <t>DUO DORMILONES KNY</t>
  </si>
  <si>
    <t>YOR VESTIDO</t>
  </si>
  <si>
    <t>EMILIA HADA</t>
  </si>
  <si>
    <t>CHROLLO POSTURA</t>
  </si>
  <si>
    <t>GON SENTADO ICHIBAN KUJI</t>
  </si>
  <si>
    <t>DUO PLAYEROS GETO GOJO</t>
  </si>
  <si>
    <t>NSJ05268</t>
  </si>
  <si>
    <t>POTTERY POT BAYMAX</t>
  </si>
  <si>
    <t>GUNDAM ESTATICO BLANCO</t>
  </si>
  <si>
    <t>NSJ052622</t>
  </si>
  <si>
    <t>CABALLA POLO BLANCO VESTIDO ROJO</t>
  </si>
  <si>
    <t>DINOSAURIO POKEMON</t>
  </si>
  <si>
    <t>CESAR EDUARDO GUERRA</t>
  </si>
  <si>
    <t>TOGE CHOKONOKO</t>
  </si>
  <si>
    <t>DIO MOMETRIA</t>
  </si>
  <si>
    <t>VALERIA CUELLAR</t>
  </si>
  <si>
    <t>ITADORI FLASH BACK</t>
  </si>
  <si>
    <t>OTRA DE OSHINOKO</t>
  </si>
  <si>
    <t>YOTSUBA BI CUTE DARK</t>
  </si>
  <si>
    <t>RUBIO TOKYO REVENGERS</t>
  </si>
  <si>
    <t>GRIMMJOW MAXIMATIC</t>
  </si>
  <si>
    <t>JOEL EMILIO GONZALES PAUCAR</t>
  </si>
  <si>
    <t>XROSS LINK RENGOKU AKAZA</t>
  </si>
  <si>
    <t>ABRAHAM ZENTENO CUELLAR</t>
  </si>
  <si>
    <t>RAYQUAZA TOMMY</t>
  </si>
  <si>
    <t>MADARA VS ULTIMO</t>
  </si>
  <si>
    <t>GAMAICHI</t>
  </si>
  <si>
    <t>DUO DESKTOP WAIFUS</t>
  </si>
  <si>
    <t>JONATHAN SANCHEZ</t>
  </si>
  <si>
    <t>CESAR DANIEL YSIDRO CARMIN</t>
  </si>
  <si>
    <t>NENDOROID DX IRON MAN</t>
  </si>
  <si>
    <t>PREVENTA AVION</t>
  </si>
  <si>
    <t>GUTS ICHIBAN KUJI</t>
  </si>
  <si>
    <t>ROSHI ICHIBANSHO</t>
  </si>
  <si>
    <t>BRYAN TONY TEJADA BAZAN</t>
  </si>
  <si>
    <t>ICHIGO WHITE ICHIBAN</t>
  </si>
  <si>
    <t>JULIO DEL ARCA DAVILA</t>
  </si>
  <si>
    <t>ICHIBAN SET EVANGELION</t>
  </si>
  <si>
    <t>NSJ052683</t>
  </si>
  <si>
    <t>ARMIN NENDOROID SWACHAO</t>
  </si>
  <si>
    <t>ANTONY GERARDO QUISPE</t>
  </si>
  <si>
    <t>GOJO LUMINASTA BASE PARADO</t>
  </si>
  <si>
    <t>NOAH ONION / ADRIAN CALDERON GONZALES</t>
  </si>
  <si>
    <t>UNDERTALE</t>
  </si>
  <si>
    <t>DELIVERY SHALOM</t>
  </si>
  <si>
    <t>HAWKS AMAZING HERO PLUS</t>
  </si>
  <si>
    <t>DABI CABEZON</t>
  </si>
  <si>
    <t>LILIEL RIRISA GLITTER</t>
  </si>
  <si>
    <t>FRIEREN MANO EN LA CARA</t>
  </si>
  <si>
    <t>MARIN EMPLEADA ESPRESTO</t>
  </si>
  <si>
    <t>FERN CON FRIO Y BUFANDA</t>
  </si>
  <si>
    <t>DABI AMAZING HEROES PLUS</t>
  </si>
  <si>
    <t>ITACHI GRANDISTA SPECIAL EDITION</t>
  </si>
  <si>
    <t>GUNDAM BARBATO</t>
  </si>
  <si>
    <t>MONICA ALEXANDRA DIAZ</t>
  </si>
  <si>
    <t>FRIEREN BUFANDA BRAZOS AL COSTADO</t>
  </si>
  <si>
    <t>WASHINGTON PALOMINO PUCLLA</t>
  </si>
  <si>
    <t>NSJ052684</t>
  </si>
  <si>
    <t>USAKI TSUKI GLITTER</t>
  </si>
  <si>
    <t>ANTHONY LUIS QUISPE YUPANQUI</t>
  </si>
  <si>
    <t>FRIEREN GRANDISTA</t>
  </si>
  <si>
    <t>NSJ052687</t>
  </si>
  <si>
    <t>FERN MAXIMATIC</t>
  </si>
  <si>
    <t>CONDOR PASA UMA</t>
  </si>
  <si>
    <t>NSJ052690</t>
  </si>
  <si>
    <t>MANHATTAN CAFFE UMA</t>
  </si>
  <si>
    <t xml:space="preserve">10 MERCH GUNDAM </t>
  </si>
  <si>
    <t>NSJ0526100</t>
  </si>
  <si>
    <t>POSTER GUNDAM</t>
  </si>
  <si>
    <t>GUNDAM X3</t>
  </si>
  <si>
    <t>HIMMEL AGARRANDO SU CABEZA</t>
  </si>
  <si>
    <t>SINON MINI SAO</t>
  </si>
  <si>
    <t>NSJ052696</t>
  </si>
  <si>
    <t>KIRITO SPECIAL</t>
  </si>
  <si>
    <t>DUO PELUCHINES KIRBY</t>
  </si>
  <si>
    <t>NSJ052699</t>
  </si>
  <si>
    <t>KIRBY EN SU ESTRELLA</t>
  </si>
  <si>
    <t>BAKUGO NENDOROID SPECIAL EDITION</t>
  </si>
  <si>
    <t>NSJ0526103</t>
  </si>
  <si>
    <t>NSJ0526101</t>
  </si>
  <si>
    <t>TRIO CABALLAS ROPA COLEGIO</t>
  </si>
  <si>
    <t>CABALLA UMA</t>
  </si>
  <si>
    <t>SET QUINTILLIZAS BODA</t>
  </si>
  <si>
    <t>NSJ052682</t>
  </si>
  <si>
    <t>REM GLITTER GLAMOURS</t>
  </si>
  <si>
    <t>INUYASHA POP UP PARADE</t>
  </si>
  <si>
    <t>ICHIBAN LAST ONE POSTURA YUJI Y EL RESTO</t>
  </si>
  <si>
    <t>NSJ052695</t>
  </si>
  <si>
    <t>TITAN BESTIA</t>
  </si>
  <si>
    <t>SEBASTIAN WALTER LLALLICO</t>
  </si>
  <si>
    <t>GOTENKS SOLID</t>
  </si>
  <si>
    <t>GETO YUMERMIRIZE</t>
  </si>
  <si>
    <t>MINATO NUEVO</t>
  </si>
  <si>
    <t>NSJ0526102</t>
  </si>
  <si>
    <t>YUTA ICHIBAN</t>
  </si>
  <si>
    <t>HIMIKO TOGA GLITTER GLAMOUR</t>
  </si>
  <si>
    <t>MARIO M ALVAREZ QUIÑONES</t>
  </si>
  <si>
    <t>SUELTA OSHI NO KO</t>
  </si>
  <si>
    <t>SERGIO SEBASTIAN JESUS PACHAS CALLALLY</t>
  </si>
  <si>
    <t>GOJO NENDOROID + PLUS</t>
  </si>
  <si>
    <t>HASHIRAMA PANEL</t>
  </si>
  <si>
    <t>JORGE EDUARDO LOPEZ C</t>
  </si>
  <si>
    <t>CONEJA ROJA</t>
  </si>
  <si>
    <t>DUO TOALLAS JJK</t>
  </si>
  <si>
    <t>NSJ052694</t>
  </si>
  <si>
    <t>GETO MANO ESTIRADA</t>
  </si>
  <si>
    <t>LISBETH SEGA CABELLO ROSA - SAO</t>
  </si>
  <si>
    <t>DIOSA DE LA TIERRA - SAO</t>
  </si>
  <si>
    <t>DRAGON ALADO DE RA</t>
  </si>
  <si>
    <t>TOJI KOA Y KENJAKU KOA</t>
  </si>
  <si>
    <t>LUFFY GRANDISTA G5</t>
  </si>
  <si>
    <t>TRIO QPOSKETS</t>
  </si>
  <si>
    <t>JORGE MAS</t>
  </si>
  <si>
    <t>HARVY ALCANTARA ALCALDE</t>
  </si>
  <si>
    <t>GOJO PELUCHIN</t>
  </si>
  <si>
    <t>BARCO ROGER</t>
  </si>
  <si>
    <t>SET LOOK UPS MINI</t>
  </si>
  <si>
    <t>PEDIDO ESPECIAL DIGIMON</t>
  </si>
  <si>
    <t>DUO SHINGEKI LEVI EREN GRANDISTA</t>
  </si>
  <si>
    <t>ALEXANDRA CORONADO</t>
  </si>
  <si>
    <t>ROBOT ZOID AMARILLO MOTOR</t>
  </si>
  <si>
    <t>RELOJ AGNES</t>
  </si>
  <si>
    <t>AVION MS</t>
  </si>
  <si>
    <t>SHENG LONG LAST  ONE</t>
  </si>
  <si>
    <t>LEONARDO GABRIEL MORALES R</t>
  </si>
  <si>
    <t>TINKERBELL</t>
  </si>
  <si>
    <t>OSHI NO KO PELO ROJO</t>
  </si>
  <si>
    <t>CHROLLO PANEL NUEVO</t>
  </si>
  <si>
    <t>CROCO</t>
  </si>
  <si>
    <t>CUBO LAMPARA GOJO</t>
  </si>
  <si>
    <t>DUO ANYAS LUMINASTA</t>
  </si>
  <si>
    <t>UNOHANA BANPRESTO</t>
  </si>
  <si>
    <t>GABRIEL JARA</t>
  </si>
  <si>
    <t>NSJ0526106</t>
  </si>
  <si>
    <t>YUUU SAO</t>
  </si>
  <si>
    <t>ALEX ALDHAIR VIZCARRA</t>
  </si>
  <si>
    <t>USAGI + BAYMAX</t>
  </si>
  <si>
    <t>GABUMON LOOK UP</t>
  </si>
  <si>
    <t>DUO FULL METAL ALCHEMIST NENDOROID</t>
  </si>
  <si>
    <t>SAKURA ROPA BLANCA</t>
  </si>
  <si>
    <t>LAMPARA KAIDO</t>
  </si>
  <si>
    <t>JAIR ALEXANDER CARBAJAL LOPEZ</t>
  </si>
  <si>
    <t>ITADORI PODER FLASBLACK</t>
  </si>
  <si>
    <t>TRIO ROSHI GOKU KRILLIN SOFVIMATES</t>
  </si>
  <si>
    <t>DANIEL SPENCER SANCHEZ GALLARDO</t>
  </si>
  <si>
    <t>HASHIRAMA VIBRATION</t>
  </si>
  <si>
    <t>WILLIAMS ERICK QUISPE RICALDI</t>
  </si>
  <si>
    <t>KIZARU + LAW</t>
  </si>
  <si>
    <t>JOEL DENIS FERNANDEZ ORCCO</t>
  </si>
  <si>
    <t>ENVIADOS</t>
  </si>
  <si>
    <t>SAITAMA PUÑO ARRIBA</t>
  </si>
  <si>
    <t>MARIN BI CUTE ANGELS</t>
  </si>
  <si>
    <t>HERMANO RENGOKU NENDOROID</t>
  </si>
  <si>
    <t>MARGARITA DIANA VILLANUEVA R</t>
  </si>
  <si>
    <t>DUO LLAVERO GOJO</t>
  </si>
  <si>
    <t>DUO VASOS JJK</t>
  </si>
  <si>
    <t>ALBEDO RELAX TIME</t>
  </si>
  <si>
    <t>MINIS POKEMON BANDAI KIDS</t>
  </si>
  <si>
    <t>NAMI OPBR</t>
  </si>
  <si>
    <t>JESUS ALBERTO ESPINOZA RENTERIA</t>
  </si>
  <si>
    <t>NICO ROBIN</t>
  </si>
  <si>
    <t>SANRIO MELODY</t>
  </si>
  <si>
    <t>ITADORI BLACK FLASH LUMINASTA</t>
  </si>
  <si>
    <t>NARBERAL BI CUTE BUNNY</t>
  </si>
  <si>
    <t>STEFANNY ORTEGA ROSE</t>
  </si>
  <si>
    <t>JESUS ALVERCA</t>
  </si>
  <si>
    <t>RENZO FRANCISCO ROSADO</t>
  </si>
  <si>
    <t>GOGETA BLUE GRANDISTA</t>
  </si>
  <si>
    <t>MAI CONEJA</t>
  </si>
  <si>
    <t xml:space="preserve">VICTOR CERRUTI PEREZ </t>
  </si>
  <si>
    <t>RIN SENTADO</t>
  </si>
  <si>
    <t>FIORELLA GUARNIZO</t>
  </si>
  <si>
    <t>LUIS ESPINOZA ANGULO</t>
  </si>
  <si>
    <t>HILARY ALESSANDRA MENDOZA QUISPE</t>
  </si>
  <si>
    <t>KEVIN GONZALES</t>
  </si>
  <si>
    <t>AXEL PINEDA</t>
  </si>
  <si>
    <t>MADARA VIBRATION</t>
  </si>
  <si>
    <t>CONEJA A ELECCION POR CONFIRMAR</t>
  </si>
  <si>
    <t>BU GX MATERIA + SHANKS DXF</t>
  </si>
  <si>
    <t>CHOSO LUMINASTA ANTERIOR</t>
  </si>
  <si>
    <t>DEKU TRANSFORMADO</t>
  </si>
  <si>
    <t>ABEL ANGEL HUARCAYA</t>
  </si>
  <si>
    <t>FREEZER SOLID</t>
  </si>
  <si>
    <t>MARINA AGUILA</t>
  </si>
  <si>
    <t>KAJASKAN BANDAI KIDS</t>
  </si>
  <si>
    <t>SAPITO GLITTER MHA</t>
  </si>
  <si>
    <t>SAITAMA CARGANDO BOLSAS</t>
  </si>
  <si>
    <t>JEAN CARLOS JARA</t>
  </si>
  <si>
    <t>DOKHAM BATTLE DUO GOGETA VEGITO</t>
  </si>
  <si>
    <t>JORGE HUMBERTO SEBASTIZA VALER</t>
  </si>
  <si>
    <t>ASUKA COLEGIALA</t>
  </si>
  <si>
    <t>ESTEFANY SOPLA/ CLAUDIO JUAN SOPLA FLORES</t>
  </si>
  <si>
    <t>KURAMA MINATO</t>
  </si>
  <si>
    <t>HECTOR JACINTO LUYO ALCALA</t>
  </si>
  <si>
    <t>MILAGROS ISABEL CENTENO LLANOS</t>
  </si>
  <si>
    <t>GOKU MASTERLISE ICHIBA SSJ1</t>
  </si>
  <si>
    <t>2POSTER JJK + TOALLA</t>
  </si>
  <si>
    <t>GOHAN MASTERLISE</t>
  </si>
  <si>
    <t>BRAYAN YNGLES</t>
  </si>
  <si>
    <t>DEKU PEQUEÑO</t>
  </si>
  <si>
    <t>DIEGO JUAN GOMEZ</t>
  </si>
  <si>
    <t>BAKUGO PEQUEÑO</t>
  </si>
  <si>
    <t>KITE HXH</t>
  </si>
  <si>
    <t>ACRILICO GRANDE UMA MUSUME</t>
  </si>
  <si>
    <t>2 ACRILICOS + SENTADITA</t>
  </si>
  <si>
    <t>DUO STYLING ONE PIECE</t>
  </si>
  <si>
    <t>SET POP UP QUINTILLIZAS</t>
  </si>
  <si>
    <t>GARA VS PELO BLANCO VIBRATIONS</t>
  </si>
  <si>
    <t>DABI DX EFECTO</t>
  </si>
  <si>
    <t>LLEGO PERU ABR</t>
  </si>
  <si>
    <t>NSJ0526113</t>
  </si>
  <si>
    <t>ALBEDO ALAS GRANDES</t>
  </si>
  <si>
    <t>HIMIKO TOGA DX MHA</t>
  </si>
  <si>
    <t>VEGETA SS3 DB HEROES</t>
  </si>
  <si>
    <t>MARIN DIABLA DESKTOP CUTE</t>
  </si>
  <si>
    <t>GOKU SSJ BACULO ROPA ROJA</t>
  </si>
  <si>
    <t>GOJO ABIERTO KOA</t>
  </si>
  <si>
    <t>ROY MUSTANG ICHIBAN KUJI</t>
  </si>
  <si>
    <t>NSJ0526104</t>
  </si>
  <si>
    <t>ALEXANDRA CARBAJAL</t>
  </si>
  <si>
    <t>GOKU SS4 VEGETA SS4 SOLID EDGE</t>
  </si>
  <si>
    <t>5 PERRITOS NARUTO</t>
  </si>
  <si>
    <t>COMBINATION BATTLE ITACHI SASUKE</t>
  </si>
  <si>
    <t>PORTA CUERPO DE SASUKE</t>
  </si>
  <si>
    <t>FIDEL OLIVERA</t>
  </si>
  <si>
    <t>DUO NENDOROIDS FULLMETAL ALCHEMIST</t>
  </si>
  <si>
    <t>LILITH DXF ONE PIECE</t>
  </si>
  <si>
    <t>EMILY J VILLACORTA A</t>
  </si>
  <si>
    <t>STARK MAXIMATIC</t>
  </si>
  <si>
    <t>MARCIAL ALBERTO CRUCES AYALA</t>
  </si>
  <si>
    <t>NOBARA CLAVOS</t>
  </si>
  <si>
    <t>MANTA ITADORI</t>
  </si>
  <si>
    <t>OMNIMON ICHIBANSHO</t>
  </si>
  <si>
    <t>VENOSURE</t>
  </si>
  <si>
    <t>ERICKSON W BUSTAMANTE M</t>
  </si>
  <si>
    <t>DIABLA DISNEY QPOSKET</t>
  </si>
  <si>
    <t>RIMURU MAXIMATIC</t>
  </si>
  <si>
    <t xml:space="preserve">ANGELY JAMILLE SANTILLAN DIAZ </t>
  </si>
  <si>
    <t>ASUKA KOTOBUKIYA</t>
  </si>
  <si>
    <t>AVION ABRIL</t>
  </si>
  <si>
    <t>MARIN DIABLA T MOST</t>
  </si>
  <si>
    <t>MUJER ALAS NEGRAS GLITTER GLAMOURS</t>
  </si>
  <si>
    <t>HATSUNE MIKU VESTIDO CELESTE</t>
  </si>
  <si>
    <t>ALYA GLITTERS GLAMOURS</t>
  </si>
  <si>
    <t>BRAYAN ROJAS HUAMANI</t>
  </si>
  <si>
    <t>ITADORI LUMINASTA BLACK FLASH</t>
  </si>
  <si>
    <t>CARLOS ALEX GARCIA</t>
  </si>
  <si>
    <t>RENGOKU AKAZA XROSS LINK SEGA</t>
  </si>
  <si>
    <t>JEAN CAHUANA MORI</t>
  </si>
  <si>
    <t>OGURI CAP EFECTO CABALLA</t>
  </si>
  <si>
    <t>MUJER KIMONO</t>
  </si>
  <si>
    <t>BICICLETERO ONE PIECE</t>
  </si>
  <si>
    <t>TRIO CABALLAS UNIFORME</t>
  </si>
  <si>
    <t>OBELISCO EL ATORMENTADOR</t>
  </si>
  <si>
    <t>OGURI CAP ROPA COLEGIO SUELTA</t>
  </si>
  <si>
    <t>SHOTO ICHIBAN EFECTO</t>
  </si>
  <si>
    <t>DJURO MIRKO DEL PINO</t>
  </si>
  <si>
    <t>MUJER CELESTE CON GATO EN LA CABEZA</t>
  </si>
  <si>
    <t>GOGETA GRANDISTA SSJ</t>
  </si>
  <si>
    <t>DANIELA ESCARZA YANCE</t>
  </si>
  <si>
    <t>CELESTE COLAN</t>
  </si>
  <si>
    <t>DEUDA MERCARI</t>
  </si>
  <si>
    <t>NEFERPITOU HXH</t>
  </si>
  <si>
    <t>THOR + OTRA MINICO</t>
  </si>
  <si>
    <t>DAMARIS ALBURQUEUE</t>
  </si>
  <si>
    <t>NAGUMO SAKAMOTO</t>
  </si>
  <si>
    <t>ITADORI SENTADO V1</t>
  </si>
  <si>
    <t>ITADORI SENTADO V2</t>
  </si>
  <si>
    <t>SET MERCH</t>
  </si>
  <si>
    <t>STOCK MARZO</t>
  </si>
  <si>
    <t>MARIN COSPLAY MAID TMOST</t>
  </si>
  <si>
    <t>5 CABALLAS COLEGIALAS</t>
  </si>
  <si>
    <t>REM THERIAN</t>
  </si>
  <si>
    <t>AQUA FLOAT AI OSHINO</t>
  </si>
  <si>
    <t>DUO LAW BARBA NEGRA ESCENA</t>
  </si>
  <si>
    <t>KIRBY MECHA NENDOROID</t>
  </si>
  <si>
    <t>DUO SHINSHAN + UNDERTALE</t>
  </si>
  <si>
    <t>DUO ICHIBAN RUBIO SUELTO + SHOTO ICH</t>
  </si>
  <si>
    <t>AMAZING HEROES BAKUGO</t>
  </si>
  <si>
    <t>CARLOS SEGUNDO KALYN</t>
  </si>
  <si>
    <t>OSHINOKO</t>
  </si>
  <si>
    <t>ANYA</t>
  </si>
  <si>
    <t>RAM + REM CHELAS</t>
  </si>
  <si>
    <t>DUO FIGUARTS ZERO BLEACH</t>
  </si>
  <si>
    <t>ALBEDO SENTADA</t>
  </si>
  <si>
    <t>MARCO CUTIMBO</t>
  </si>
  <si>
    <t>HATSUNE MIKU EPICA</t>
  </si>
  <si>
    <t>ENDEAVOR EPICO</t>
  </si>
  <si>
    <t>ICHIBAN FREEZER SCULTURE</t>
  </si>
  <si>
    <t>ROY NENDOROID</t>
  </si>
  <si>
    <t>PREVENTA AGOSTO GS</t>
  </si>
  <si>
    <t>BLANCO BANSHO DIGIMON</t>
  </si>
  <si>
    <t>KURAMA YU YU HAKUSHO</t>
  </si>
  <si>
    <t>JUAN CARLOS DIESTRA</t>
  </si>
  <si>
    <t>SUKUNA CRANEO</t>
  </si>
  <si>
    <t>DENJI SENTIADITO</t>
  </si>
  <si>
    <t>OSHINO MUJER</t>
  </si>
  <si>
    <t>RANMA HOMBRE SENTADO</t>
  </si>
  <si>
    <t>OSCAR RAMIREZ</t>
  </si>
  <si>
    <t>PELUCHIN MERCARI</t>
  </si>
  <si>
    <t>AVION PREV</t>
  </si>
  <si>
    <t>MARINERA QUINTILLIZA ABIERTA</t>
  </si>
  <si>
    <t>CABALLA ICHIBAN PREMIO B</t>
  </si>
  <si>
    <t>NSJ0526110</t>
  </si>
  <si>
    <t xml:space="preserve">RODOLFO TOMÁS HARO DE LA CRUZ </t>
  </si>
  <si>
    <t>MUJER PELO MARRON FURYU</t>
  </si>
  <si>
    <t>LUIS GOÑI</t>
  </si>
  <si>
    <t>NENDOROID SPECIAL LINK ZELDA</t>
  </si>
  <si>
    <t>VICTORIA BERNILLA CAMPOS</t>
  </si>
  <si>
    <t xml:space="preserve">MIGUEL ANGEL FERRANDO DEL CASTILLO </t>
  </si>
  <si>
    <t>TANJIRO ICHIBAN 80</t>
  </si>
  <si>
    <t>GABUMON 65</t>
  </si>
  <si>
    <t>AGUMON 65</t>
  </si>
  <si>
    <t>TURBO ABUELA 70</t>
  </si>
  <si>
    <t>SILENT HIL 80</t>
  </si>
  <si>
    <t>QPOSKET J HOPE 40</t>
  </si>
  <si>
    <t>SHAMPOO SENTADA</t>
  </si>
  <si>
    <t>DUO MOTOS</t>
  </si>
  <si>
    <t>OSHINO RUBIA</t>
  </si>
  <si>
    <t>PELUCHE PIKA + GOKU SS4 + SAKURA</t>
  </si>
  <si>
    <t>DUO SILENT + DUO DIGIMON + TURBO ABUELA</t>
  </si>
  <si>
    <t>SEBASTIAN ALC / ANGELES</t>
  </si>
  <si>
    <t>MAGO OSCURO+ TRES CABEZAS +CHAOS SOLDIER</t>
  </si>
  <si>
    <t>DUO LIBREROS NARUTO</t>
  </si>
  <si>
    <t>RUBIO GASHAPON</t>
  </si>
  <si>
    <t>ZENITSU ICHIBANSHO</t>
  </si>
  <si>
    <t>JHON CUEVA</t>
  </si>
  <si>
    <t>SUKUNA MAXIMATIC PLUS</t>
  </si>
  <si>
    <t>FERN PISTOLA</t>
  </si>
  <si>
    <t>BATTLE RECORD COLLECTION ONE PIECE *4</t>
  </si>
  <si>
    <t>VICTOR ROGELIO MEZA ACOSTA</t>
  </si>
  <si>
    <t>ANYA DURMIENDO</t>
  </si>
  <si>
    <t>MIGUEL ANGEL FLORES</t>
  </si>
  <si>
    <t>EREN LEVI  GRANDISTA</t>
  </si>
  <si>
    <t>SHAMERLY YASMINE MOLINA HUAMANI</t>
  </si>
  <si>
    <t xml:space="preserve">SAITAMA GRANDISTA </t>
  </si>
  <si>
    <t>RENGOKU + SHINOBU CHIBIS</t>
  </si>
  <si>
    <t>JOHANA D SUAREZ</t>
  </si>
  <si>
    <t>HOMBRE DE NEGRO PARADO GASHA</t>
  </si>
  <si>
    <t>FLOR G GONZALES</t>
  </si>
  <si>
    <t>CABEZON CELESTA GASHAPON</t>
  </si>
  <si>
    <t>MUJER SAPO GLITTER MHA</t>
  </si>
  <si>
    <t>KOA LUFFY X2</t>
  </si>
  <si>
    <t>GRANDISTA G5 X2</t>
  </si>
  <si>
    <t>MUJER MAIDD</t>
  </si>
  <si>
    <t>ITATI PAOLA</t>
  </si>
  <si>
    <t>MAO MAO VESTIDO ROSA</t>
  </si>
  <si>
    <t>EDWARD FULLMETAL ICHIBAN</t>
  </si>
  <si>
    <t>TOHKA GLITTER + DIABLA MARIN TMOST</t>
  </si>
  <si>
    <t>LUFFY G5 KOA</t>
  </si>
  <si>
    <t>YELKO ANDREJ LONCARICH MANRIQUE</t>
  </si>
  <si>
    <t>RIN BLUE EXORCIST</t>
  </si>
  <si>
    <t>YUMI A SALGUERO T</t>
  </si>
  <si>
    <t>SOFVIMATE UNDERTALE</t>
  </si>
  <si>
    <t>BOA HANCKOK GRANDISTA</t>
  </si>
  <si>
    <t>DUO CABEZONES +</t>
  </si>
  <si>
    <t>GABRIEL ALEJANDRO CASTILLO OSORIO</t>
  </si>
  <si>
    <t>DEKU TAITO GRANDE</t>
  </si>
  <si>
    <t>MAI SAKURAJIMA</t>
  </si>
  <si>
    <t>MAO MAO VESTIDO ELEGANTE</t>
  </si>
  <si>
    <t>GABRIELA LEONARDO</t>
  </si>
  <si>
    <t>ROSADA BI CUTE BUNNIES</t>
  </si>
  <si>
    <t>MARTIN MIGUEL PFLUCKER GALVAR</t>
  </si>
  <si>
    <t>WITCH WATCH FIGURA</t>
  </si>
  <si>
    <t>TANJIRO JATEANDO</t>
  </si>
  <si>
    <t>ITACHI LUNA</t>
  </si>
  <si>
    <t>PEDIDO ESPECIAL</t>
  </si>
  <si>
    <t>PREVENTA JUNIO-JULIO</t>
  </si>
  <si>
    <t>NSJ062660</t>
  </si>
  <si>
    <t>SAKURA GRANDISTA</t>
  </si>
  <si>
    <t>TSUKASA YUSAKI SEGA</t>
  </si>
  <si>
    <t>NSJ062621</t>
  </si>
  <si>
    <t>NSJ062622</t>
  </si>
  <si>
    <t>PASTEL MINIE</t>
  </si>
  <si>
    <t>NSJ062647</t>
  </si>
  <si>
    <t>ZORO TRAJE POP STRANGE WORLD</t>
  </si>
  <si>
    <t>NSJ062626</t>
  </si>
  <si>
    <t>SANJI POP STRANGE WORLD</t>
  </si>
  <si>
    <t>RENGOKU ICHIBANKUJI A</t>
  </si>
  <si>
    <t>NSJ062631</t>
  </si>
  <si>
    <t>MEGUMIN SEGA LPM</t>
  </si>
  <si>
    <t>NSJ062676</t>
  </si>
  <si>
    <t>FREEZER MATCH MAKERS</t>
  </si>
  <si>
    <t>NSJ062674</t>
  </si>
  <si>
    <t>JIN WOO ESPRESTO</t>
  </si>
  <si>
    <t>NSJ062611</t>
  </si>
  <si>
    <t>TOMIOKA PODER SEGA</t>
  </si>
  <si>
    <t>NSJ062604</t>
  </si>
  <si>
    <t>ARCUEID BRUNESTUD LUMINASTA</t>
  </si>
  <si>
    <t>NSJ062654</t>
  </si>
  <si>
    <t xml:space="preserve">BROOK, JIMBE, USOP Y FRANKIE FILM RED </t>
  </si>
  <si>
    <t>NSJ062657</t>
  </si>
  <si>
    <t>TOHKA YATOGAMI FURYU</t>
  </si>
  <si>
    <t>NSJ062624</t>
  </si>
  <si>
    <t>MARIN KITAGAWA TRAJE DE BAÑO XSTELLAR</t>
  </si>
  <si>
    <t>NSJ062638</t>
  </si>
  <si>
    <t>MARIN KITAGAWA TAITO COREFUL</t>
  </si>
  <si>
    <t>NSJ062641</t>
  </si>
  <si>
    <t>MARIN KITAGAWA INVESTIGADORA</t>
  </si>
  <si>
    <t>MARIN KITAGAWA PORRISTA</t>
  </si>
  <si>
    <t>NSJ062639</t>
  </si>
  <si>
    <t>CINNAMOROLL Y POMPOMPURIN</t>
  </si>
  <si>
    <t>NSJ062677</t>
  </si>
  <si>
    <t xml:space="preserve">NIKKE GODDES OF VICTORY </t>
  </si>
  <si>
    <t>NSJ062628</t>
  </si>
  <si>
    <t>DUO SOLO LEVELING CHA HAE-IN &amp; JIN WOO</t>
  </si>
  <si>
    <t>NSJ062673</t>
  </si>
  <si>
    <t>CETRO SAKURA TAITO</t>
  </si>
  <si>
    <t>NSJ062645</t>
  </si>
  <si>
    <t>UMAMUSUME MATIKANETANNHAUSER</t>
  </si>
  <si>
    <t>NSJ062613</t>
  </si>
  <si>
    <t>RUKA SARASHINA</t>
  </si>
  <si>
    <t>NSJ062675</t>
  </si>
  <si>
    <t>UMAMUSUME LAST ONE ICHIBANKUJI</t>
  </si>
  <si>
    <t>NSJ062629</t>
  </si>
  <si>
    <t>BOA SUELTA</t>
  </si>
  <si>
    <t>IZUKU MIDORIYA MAXIMATIC</t>
  </si>
  <si>
    <t>ALBEDO T-MOST</t>
  </si>
  <si>
    <t>SHANKS THEORAMA SOUL</t>
  </si>
  <si>
    <t>ZOIDS - LIGER ZERO  030 (BLANCO)</t>
  </si>
  <si>
    <t>NSJ062634</t>
  </si>
  <si>
    <t>DEADPOOL MARVEL COMICS</t>
  </si>
  <si>
    <t>ZOIDS LIGER ZERO JAGER (AZUL)</t>
  </si>
  <si>
    <t>NSJ062633</t>
  </si>
  <si>
    <t xml:space="preserve">ZOIDS BEAST LIGER MAGAI </t>
  </si>
  <si>
    <t>MAO MAO TRAJE DE BAILE</t>
  </si>
  <si>
    <t>NSJ062618</t>
  </si>
  <si>
    <t>ALBEDO CASI SIN ROPA</t>
  </si>
  <si>
    <t>NSJ062606</t>
  </si>
  <si>
    <t>ABIGAIL WILIAMS</t>
  </si>
  <si>
    <t>HALIBEL GLITERS &amp; GLAMOURS</t>
  </si>
  <si>
    <t>NSJ062610</t>
  </si>
  <si>
    <t>JIN WOO SPRESTO</t>
  </si>
  <si>
    <t>SUKUNA DE PIE CON FUEGO EN EL PUÑO</t>
  </si>
  <si>
    <t>NSJ062669</t>
  </si>
  <si>
    <t>NIER AUTOMATA POPUP PARADE</t>
  </si>
  <si>
    <t>NSJ062644</t>
  </si>
  <si>
    <t>ALBEDO MANDIL BLANCO EL COCO</t>
  </si>
  <si>
    <t>NSJ062649</t>
  </si>
  <si>
    <t>SHOTO TODOROKY SEGA</t>
  </si>
  <si>
    <t>NSJ062678</t>
  </si>
  <si>
    <t>CIEL SENTADO SEGA</t>
  </si>
  <si>
    <t>NSJ062617</t>
  </si>
  <si>
    <t>ALBEDO VIVIT</t>
  </si>
  <si>
    <t>NSJ062625</t>
  </si>
  <si>
    <t xml:space="preserve"> SHIGURE UI SENTADA</t>
  </si>
  <si>
    <t>STEVE HUAMANI</t>
  </si>
  <si>
    <t>NSJ062635</t>
  </si>
  <si>
    <t>CHOPER BRACHIO TANK</t>
  </si>
  <si>
    <t>NSJ062627</t>
  </si>
  <si>
    <t>SANRIO CHARACTER</t>
  </si>
  <si>
    <t>A2 CABELLO CORTO CAJA NEGRA</t>
  </si>
  <si>
    <t>NSJ062619</t>
  </si>
  <si>
    <t>MAO MAO SOFVIMATES</t>
  </si>
  <si>
    <t>NSJ062616</t>
  </si>
  <si>
    <t>PANT STOCKING BRILLANT</t>
  </si>
  <si>
    <t>NSJ062653</t>
  </si>
  <si>
    <t>PORTA CELULAR LUFY G5</t>
  </si>
  <si>
    <t>NSJ062663</t>
  </si>
  <si>
    <t xml:space="preserve">HIMMEL MAXIMATIC </t>
  </si>
  <si>
    <t>SOFVIMATES MINNIE SENTADA</t>
  </si>
  <si>
    <t>SOFVIMATES POCHACCO</t>
  </si>
  <si>
    <t>2 UMA MUSUME KITASAN BLACK &amp; NICE NATURE</t>
  </si>
  <si>
    <t>9S SQUARE ENIX</t>
  </si>
  <si>
    <t>UMA MUSUME IKUNO DICTUS</t>
  </si>
  <si>
    <t>DESKTOP CUTE - TAITO WAIFU DE CABELLO ROSA SENTADA</t>
  </si>
  <si>
    <t>SEBASTIAN Y CIEL SEGA</t>
  </si>
  <si>
    <t>NSJ062650</t>
  </si>
  <si>
    <t>CHIZURU BANPRESTO</t>
  </si>
  <si>
    <t>HIMEHINA GIGO (CELESTE)</t>
  </si>
  <si>
    <t>HINA SUZUKI HIMEHINA GIGO</t>
  </si>
  <si>
    <t>FATE GRAND ORDER ICHIBANKUJI</t>
  </si>
  <si>
    <t>GUNDAM X MIKU</t>
  </si>
  <si>
    <t>ALBEDO BICUTE DARK</t>
  </si>
  <si>
    <t>AKAZA, TOMIOKA Y TANJIRO KIMETZU SEGA</t>
  </si>
  <si>
    <t>ICHIBANJUJI TOMIOIKA B</t>
  </si>
  <si>
    <t>SHOTO TODOROKY MAXIMATIC</t>
  </si>
  <si>
    <t>NSJ062659</t>
  </si>
  <si>
    <t>2 WAIFUS PELO ROSA Y AZUL SENTADAS EN DIAMANTE</t>
  </si>
  <si>
    <t>NSJ062620</t>
  </si>
  <si>
    <t>DUO SOLO LEVELING CHA HAE-IN &amp; JIN WOO X2</t>
  </si>
  <si>
    <t>JIN WOO ESPRESTO X2</t>
  </si>
  <si>
    <t>MAO MAO CAPA NEGRA</t>
  </si>
  <si>
    <t>NSJ062614</t>
  </si>
  <si>
    <t>MAO MAO SOFVIMATES X4</t>
  </si>
  <si>
    <t>DUO FRIEREN Y HIMMEL  MAXIMATIC</t>
  </si>
  <si>
    <t>NSJ062662</t>
  </si>
  <si>
    <t>2 UMAS XSTELLAR</t>
  </si>
  <si>
    <t>NSJ062608</t>
  </si>
  <si>
    <t>CHOZO MAXIMATIC</t>
  </si>
  <si>
    <t>FIGURIZMA FATE GRAND ORDER</t>
  </si>
  <si>
    <t>MADOKA &amp; SAYAKA</t>
  </si>
  <si>
    <t>2 UMA MUSUME CURREN CHAN &amp; MIHONO BOURBON</t>
  </si>
  <si>
    <t>SOLID EDGE WORKS BROLLY AZUL Y VERDE</t>
  </si>
  <si>
    <t>NSJ062667</t>
  </si>
  <si>
    <t>SOLID EDGE WORKS BROLY AZUL</t>
  </si>
  <si>
    <t xml:space="preserve">MIMI MICHELLE VALLE LAMADRID  </t>
  </si>
  <si>
    <t>KUROMI SANRIO BANPRESTO</t>
  </si>
  <si>
    <t>2 KUROMI FLUFFY PUFFY</t>
  </si>
  <si>
    <t>NSJ062670</t>
  </si>
  <si>
    <t>ULQUIORRA MAXIMATIC</t>
  </si>
  <si>
    <t>NSJ062671</t>
  </si>
  <si>
    <t>GRINJOW MAXIMATIC</t>
  </si>
  <si>
    <t>3 ICHIBANKUJI ONEPIECE</t>
  </si>
  <si>
    <t>NSJ062655,56,58</t>
  </si>
  <si>
    <t>ICHIBANKUJI SHINOBU KOCHO</t>
  </si>
  <si>
    <t>DIEGO HERMANO DE SUMIKO</t>
  </si>
  <si>
    <t>2 PELUCHINES DEKU 2026</t>
  </si>
  <si>
    <t>DUO TOGE YUTA SENTADOS</t>
  </si>
  <si>
    <t>ICHIBAN ALMIRANTE</t>
  </si>
  <si>
    <t>IVAN ARIAS</t>
  </si>
  <si>
    <t>ICHIBAN MUJER ALAS</t>
  </si>
  <si>
    <t>CELL ICHIBAN INMENSO</t>
  </si>
  <si>
    <t>NSJ062630</t>
  </si>
  <si>
    <t>ACE ICHIBAN KUJI</t>
  </si>
  <si>
    <t>MEGAMAN GRANDISTA</t>
  </si>
  <si>
    <t>TAO PAI PAI HISTORY BOX</t>
  </si>
  <si>
    <t>FRIEREN MALETA DE VIAJE</t>
  </si>
  <si>
    <t>SUKUNA FIGURIZMA ESPECTACULAR</t>
  </si>
  <si>
    <t>OKARUM ULTIMO BALLET</t>
  </si>
  <si>
    <t>ZORO POP VERSION 2</t>
  </si>
  <si>
    <t>ESCENA GAARA VS PELO BLANCO</t>
  </si>
  <si>
    <t>DUO PECHUGONAS PELO NEGRO Y ROSADA</t>
  </si>
  <si>
    <t>NSJ062623</t>
  </si>
  <si>
    <t>TODO AOI JJK</t>
  </si>
  <si>
    <t>JESUS ANDRES CHACALIAZA DONAYRE</t>
  </si>
  <si>
    <t>ITADORI PODER MAXIMATIC</t>
  </si>
  <si>
    <t>DUO SOFVIMATES CHOPPERS</t>
  </si>
  <si>
    <t>GOKU SS3 MATCH</t>
  </si>
  <si>
    <t>BELINDA SANDOVAL</t>
  </si>
  <si>
    <t>TRIO YU GI OH</t>
  </si>
  <si>
    <t>PENALIDAD LIBERACION MAI</t>
  </si>
  <si>
    <t>MAGIC KNIGHT ROJA</t>
  </si>
  <si>
    <t>4 MATCH MAKERS</t>
  </si>
  <si>
    <t xml:space="preserve">MIRIELA X2 </t>
  </si>
  <si>
    <t>VICTOR HUGO PANCA HUANCAHUIRI</t>
  </si>
  <si>
    <t>RIRISA SH FIGUARTS</t>
  </si>
  <si>
    <t>ICHIBAN EVA ROJO</t>
  </si>
  <si>
    <t>RAMON SIMON BRUDERER VEGA</t>
  </si>
  <si>
    <t>VOLEYBOLISTA</t>
  </si>
  <si>
    <t>GOJO LENTES FIGURIZM</t>
  </si>
  <si>
    <t>OIKAWA + RANMA LUMINASTA + RANMA SENTADO</t>
  </si>
  <si>
    <t>MARITZA TACOMA</t>
  </si>
  <si>
    <t>AGUMON SOFVIMATES</t>
  </si>
  <si>
    <t>GATOMON SOFVIMATES</t>
  </si>
  <si>
    <t>PELUCHINES ARDILLA DISNEY</t>
  </si>
  <si>
    <t>DUO NARUTO SASUKE VIBRATION</t>
  </si>
  <si>
    <t>ACXEL VALDIVIA FONSECA</t>
  </si>
  <si>
    <t>RUI DXF</t>
  </si>
  <si>
    <t>ICHIBAN E MUJER PELO ROSADO</t>
  </si>
  <si>
    <t>NSJ062655</t>
  </si>
  <si>
    <t>ICHIBAN C ZORO</t>
  </si>
  <si>
    <t>SABER/ALTRIA PENDRAGON</t>
  </si>
  <si>
    <t>MASHA KUJOU</t>
  </si>
  <si>
    <t>ERICK TARAZONA GONZALES</t>
  </si>
  <si>
    <t>HIMIKO TOGA + SHIGARAKI CHOCONOCO</t>
  </si>
  <si>
    <t>LEONARDO SOLIS</t>
  </si>
  <si>
    <t>FIRE EMBLEM DIMITRI + FELIX POP UP PARADE</t>
  </si>
  <si>
    <t>DUO GOKU + SAKURA HACHA</t>
  </si>
  <si>
    <t>FRANKLIN DOMINGUEZ</t>
  </si>
  <si>
    <t>MIRKO GLITTER GLAMOURS</t>
  </si>
  <si>
    <t>ALASTOR POP UP PARADE</t>
  </si>
  <si>
    <t>GETO CAMISA BLANCA</t>
  </si>
  <si>
    <t>BLANCA RIVAS ALMANZA</t>
  </si>
  <si>
    <t>GOJO SPM PARADO VENDA</t>
  </si>
  <si>
    <t>AKI SEGA</t>
  </si>
  <si>
    <t>LUCIANA LOZANO RONDON</t>
  </si>
  <si>
    <t>NSJ062607</t>
  </si>
  <si>
    <t>AINZ GRANDE</t>
  </si>
  <si>
    <t>JOSE MARIA ESPINOSA</t>
  </si>
  <si>
    <t>RIMURU CON SLIME ESPRESTO</t>
  </si>
  <si>
    <t>BANANA FISH NENDOROID</t>
  </si>
  <si>
    <t>DUO KIMETSU ZENITSU</t>
  </si>
  <si>
    <t>KEVIN DELGADO ALAMA</t>
  </si>
  <si>
    <t>YUTA SEGA LUMINASTA</t>
  </si>
  <si>
    <t>REM ALAS ANGEL</t>
  </si>
  <si>
    <t>DUO POP UP PARADE</t>
  </si>
  <si>
    <t>POR LLEGAR</t>
  </si>
  <si>
    <t>HILARY DIAZ</t>
  </si>
  <si>
    <t>OKARUM PORTA LENTES</t>
  </si>
  <si>
    <t>CABEZONA + QPOSKET</t>
  </si>
  <si>
    <t>QPOSKET SAILOR CELESTE</t>
  </si>
  <si>
    <t>FRANCINED OSCAR JUAREZ FONSECA</t>
  </si>
  <si>
    <t>LUFFY WCF</t>
  </si>
  <si>
    <t>UZAKI TETONA GLITTER</t>
  </si>
  <si>
    <t>SAITAMA BOLSAS</t>
  </si>
  <si>
    <t>LILIEL RIRISA 2.5 GLITTER</t>
  </si>
  <si>
    <t>QPOSKET BLANCA NIEVES CREO</t>
  </si>
  <si>
    <t>ITACHI EFECTOS 2026 *2</t>
  </si>
  <si>
    <t>MAO MAO CON MATAMOSCA</t>
  </si>
  <si>
    <t>IVAN RODRIGO BENAVENTE</t>
  </si>
  <si>
    <t xml:space="preserve">CYBER END DRAGON </t>
  </si>
  <si>
    <t>TODOU + ITADORI</t>
  </si>
  <si>
    <t>2 MAGAS OSCURAS</t>
  </si>
  <si>
    <t>LUM RELAX TIME</t>
  </si>
  <si>
    <t>POKEMON X4 MINIS</t>
  </si>
  <si>
    <t>MUJER SOMBRERO</t>
  </si>
  <si>
    <t>GLITTER MUJER PELO ROSA</t>
  </si>
  <si>
    <t>CABEZONES BLEACH X 4</t>
  </si>
  <si>
    <t>MAGAS SENTADAS PELO AMARILLO *2</t>
  </si>
  <si>
    <t>BOCCHI ROSADA</t>
  </si>
  <si>
    <t>NANAMI DORMIDO</t>
  </si>
  <si>
    <t>NAMI BATTLE RECORD COLLECTION</t>
  </si>
  <si>
    <t>LUCIA NICOLE FERNANDEZ VALENCIA</t>
  </si>
  <si>
    <t>4 ONE PIECE BATTLE RECORD</t>
  </si>
  <si>
    <t>RODOLFO FLORES</t>
  </si>
  <si>
    <t>ALYA SENTADA</t>
  </si>
  <si>
    <t>GOHAN + TRUNKS</t>
  </si>
  <si>
    <t>LUFFY G5 BATTLE RECORD COLECTION</t>
  </si>
  <si>
    <t>CAMILA CARRION PARRAGUEZ</t>
  </si>
  <si>
    <t>CALATO FULL METAL ICHIBAN</t>
  </si>
  <si>
    <t>SHOU TUCKER POP UP PARADE</t>
  </si>
  <si>
    <t>2 DORMILONES KNY</t>
  </si>
  <si>
    <t>CHROLLO PANEL</t>
  </si>
  <si>
    <t>ROSHELL STEFANY ALDAVE ESPINOZA</t>
  </si>
  <si>
    <t>DENJI POP UP PARADE</t>
  </si>
  <si>
    <t>JOSE MIGUEL MARTINEZ</t>
  </si>
  <si>
    <t>MADOKA ROSADA</t>
  </si>
  <si>
    <t>NIER AUTOMATA SENTADA</t>
  </si>
  <si>
    <t>DUO CABALLAS UMA MUSUME EPICAS</t>
  </si>
  <si>
    <t>MINATO PARADO</t>
  </si>
  <si>
    <t>KUMA MEGA WCF</t>
  </si>
  <si>
    <t>GONZALO PINO</t>
  </si>
  <si>
    <t>CONVOCA CRANEO POP UP</t>
  </si>
  <si>
    <t>NINO YORDAN VASQUEZ CHAPOÑAN</t>
  </si>
  <si>
    <t>JAMILTON FERNANDEZ</t>
  </si>
  <si>
    <t>HOLO ROPA ROJITA</t>
  </si>
  <si>
    <t>ADRIANA KRISTINA LUZA PIZARRO</t>
  </si>
  <si>
    <t>MUJER CON ALAS</t>
  </si>
  <si>
    <t>CHOKONOCO UMA MUSUME</t>
  </si>
  <si>
    <t>POSTER UMA MUSUME</t>
  </si>
  <si>
    <t>DUO SANRIO SOFVIMATES</t>
  </si>
  <si>
    <t>NIER AUTOMATA SENTADA 2B</t>
  </si>
  <si>
    <t>PORTA PARLANTA GUNDAM</t>
  </si>
  <si>
    <t>VENTILADOR SANRIO</t>
  </si>
  <si>
    <t>MAO MAO VIVIT VESTIDO</t>
  </si>
  <si>
    <t>NSJ062664</t>
  </si>
  <si>
    <t>SAGUIRI BLANCO</t>
  </si>
  <si>
    <t>STOCKING BRILLIANT</t>
  </si>
  <si>
    <t>NSJ062679</t>
  </si>
  <si>
    <t>PANTY BRILLIANT</t>
  </si>
  <si>
    <t>JOKER SEGA</t>
  </si>
  <si>
    <t>HARLEY QUIN SEGA</t>
  </si>
  <si>
    <t>COOLER SOLID EDGE</t>
  </si>
  <si>
    <t>DUO DEKUS</t>
  </si>
  <si>
    <t>IAN ELOY MONTEAGUDO HUAMANI</t>
  </si>
  <si>
    <t xml:space="preserve">FERN DORMIDA </t>
  </si>
  <si>
    <t>ARACELI CHICLOTE G</t>
  </si>
  <si>
    <t>SOLO LEVELING ESPRESTO</t>
  </si>
  <si>
    <t>DUO QPOSKET KUROKO NO BASKETBALL</t>
  </si>
  <si>
    <t>LUIS MIGUEL QUISPE DAGA</t>
  </si>
  <si>
    <t>JUAN CARLOS ARCE</t>
  </si>
  <si>
    <t>YUTA TOGE SENTADOS</t>
  </si>
  <si>
    <t>MARIA NOELIA MAMANI JUSTO</t>
  </si>
  <si>
    <t>WILBOR JOHAN PAREDES CHOQUEHUANCA</t>
  </si>
  <si>
    <t>FERN MAID</t>
  </si>
  <si>
    <t>FERN XSTELLAR</t>
  </si>
  <si>
    <t>FERN DESKTOP CUTE</t>
  </si>
  <si>
    <t>FERN YUMEMIRIZE</t>
  </si>
  <si>
    <t>FRIEREN YUMEMIRIZE</t>
  </si>
  <si>
    <t>FRIEREN CON LUZ</t>
  </si>
  <si>
    <t>ANGELO SANCHEZ "MATT"</t>
  </si>
  <si>
    <t>ICHIGO WHITE</t>
  </si>
  <si>
    <t>DANIEL ALVARADO</t>
  </si>
  <si>
    <t>DUO ESTATUAS NARUTO</t>
  </si>
  <si>
    <t>KEVIN PESANTES VILLAVICENCIO</t>
  </si>
  <si>
    <t>LAMPARA GOJO ATRAPADO</t>
  </si>
  <si>
    <t>PIERO EDWAR ORE ASTUQUILLCA</t>
  </si>
  <si>
    <t>XENOBLADE 2</t>
  </si>
  <si>
    <t>SEGIO BALTAZAN CESAR R CATACORA</t>
  </si>
  <si>
    <t>MARINA ANGELICA VALVERDE LUNA</t>
  </si>
  <si>
    <t>ULTRAMAN GEED SH FIGUARTS</t>
  </si>
  <si>
    <t>MARIA DEL ROSARIO CONTRERAS</t>
  </si>
  <si>
    <t>HATSUNE MIKU SAKURA AMP</t>
  </si>
  <si>
    <t>KARELSY VASQUEZ</t>
  </si>
  <si>
    <t>OSHINOKO MUJER KANA</t>
  </si>
  <si>
    <t>YORDI LIONEL</t>
  </si>
  <si>
    <t>NOBARA QPOSKET</t>
  </si>
  <si>
    <t>KAIJU 8 GRANDISTA SEMI TRANSFORMADO</t>
  </si>
  <si>
    <t>ANGIE VALERIA AVALOS DIAZ</t>
  </si>
  <si>
    <t>BAKUGO TAITO PARADO</t>
  </si>
  <si>
    <t>KIRITO PARADO CAJA VERDE</t>
  </si>
  <si>
    <t>NICO ROBIN DXF RED MOVIE</t>
  </si>
  <si>
    <t>GABUMON SOFVIMATES</t>
  </si>
  <si>
    <t>HERLIN KENEFS LUDEÑA VARGAS</t>
  </si>
  <si>
    <t>ROSA MILAGROS ARTEAGA</t>
  </si>
  <si>
    <t>JACK STEFANO VALDERRAMA NARVAEZ</t>
  </si>
  <si>
    <t>AIZEN ICHIBAN</t>
  </si>
  <si>
    <t>KARIN BECERRA</t>
  </si>
  <si>
    <t>ITADORI FLASHBACK</t>
  </si>
  <si>
    <t>DUO RELAX MADE IN ABBYS</t>
  </si>
  <si>
    <t>WILL VARGAS</t>
  </si>
  <si>
    <t>GAARA VS2</t>
  </si>
  <si>
    <t>GAARA VS PLUS</t>
  </si>
  <si>
    <t>ITACHI COMBINATION</t>
  </si>
  <si>
    <t>RUSSO JESUS ALVARADO</t>
  </si>
  <si>
    <t>DUO QPOSKET STRANGER THINGS</t>
  </si>
  <si>
    <t>SUPER WARRIORS DBZ</t>
  </si>
  <si>
    <t>DRAGON QUEST FIGURA</t>
  </si>
  <si>
    <t>EDUARDO GONZALO TAVERA N</t>
  </si>
  <si>
    <t>10 ADELANTO DIO</t>
  </si>
  <si>
    <t>SENTADA WAIFU ROSADA</t>
  </si>
  <si>
    <t>FRIEREN MAXIMATIC NEW</t>
  </si>
  <si>
    <t>KOGANE MUSICAL</t>
  </si>
  <si>
    <t>DUO SOLO LEVELING</t>
  </si>
  <si>
    <t>MAHORAGA FIGURIZMA</t>
  </si>
  <si>
    <t>NSJ062681</t>
  </si>
  <si>
    <t>ROSADA ICHIBAN MASTELISE ONE PIECE</t>
  </si>
  <si>
    <t>DANIELA ANDAGUA VILLAFANA</t>
  </si>
  <si>
    <t>TITAN BESTIA + LEVI ICHIBAN</t>
  </si>
  <si>
    <t>JEASON VILLANTOY</t>
  </si>
  <si>
    <t>NARUTO ICHIBAN</t>
  </si>
  <si>
    <t>MAKI PELUCHON</t>
  </si>
  <si>
    <t>MUJER MARAVILLA + SPIDERMAN QPOSKET</t>
  </si>
  <si>
    <t>REM GATITA</t>
  </si>
  <si>
    <t>AMIIBO XENOBLADE</t>
  </si>
  <si>
    <t>JAVIER ALEJANDRO MANCO TABOADA</t>
  </si>
  <si>
    <t>TITAN COLOSAL</t>
  </si>
  <si>
    <t>JOSE EDUARDO TORRES TAPIA JOCHE</t>
  </si>
  <si>
    <t>GOJO VIVIT</t>
  </si>
  <si>
    <t>ICHIBAN MORADO EVANGELION</t>
  </si>
  <si>
    <t>DABI EVIL VILIAN DX</t>
  </si>
  <si>
    <t>YUTA XSTELAR X2</t>
  </si>
  <si>
    <t>NSJ052677</t>
  </si>
  <si>
    <t>VENOM LUMINASTA</t>
  </si>
  <si>
    <t xml:space="preserve">CHOSO LUMINASTA </t>
  </si>
  <si>
    <t>ACE ICHIBAN</t>
  </si>
  <si>
    <t>DUO GUNDAM</t>
  </si>
  <si>
    <t>PATAMON SOFVIMATES</t>
  </si>
  <si>
    <t>DUO HOLOLIVE CUTE</t>
  </si>
  <si>
    <t>CHOSO FIGURIZMA STOCK</t>
  </si>
  <si>
    <t>MAHITO ICHIBAN KUJI</t>
  </si>
  <si>
    <t>KENJAKU KOA</t>
  </si>
  <si>
    <t>NSJ062637</t>
  </si>
  <si>
    <t>DUO KOA GETO GOJO</t>
  </si>
  <si>
    <t>DUO COMELONES NARUTO</t>
  </si>
  <si>
    <t>CONEJITA EN CUCLILLAS</t>
  </si>
  <si>
    <t>LUCY CYBERPUNK POP UP PARADE</t>
  </si>
  <si>
    <t>MAX A NANO</t>
  </si>
  <si>
    <t>CABALLA VESTIDO NEGRO</t>
  </si>
  <si>
    <t>HIKARU MEDALIST PATINADORA</t>
  </si>
  <si>
    <t>ITACHI EFECTO</t>
  </si>
  <si>
    <t>NSJ062605</t>
  </si>
  <si>
    <t>YUTA CON LUZ</t>
  </si>
  <si>
    <t>GOHAN HABITACION TIEMPO MATCH</t>
  </si>
  <si>
    <t>MIKU KUROMY</t>
  </si>
  <si>
    <t>PERRITO JOJOS SOFVIMATES</t>
  </si>
  <si>
    <t>PERONA QPOSKET MINI</t>
  </si>
  <si>
    <t>MARIN XSTELLAR</t>
  </si>
  <si>
    <t>RIMURU ALAS</t>
  </si>
  <si>
    <t>NSJ062602</t>
  </si>
  <si>
    <t>DRAGON ALADO DE RA MONSTER LEGION</t>
  </si>
  <si>
    <t>OBELISCO EL ATORMENTADOR MONSTER LEGION</t>
  </si>
  <si>
    <t>CURE BLACK GLITTER GLAMOURS</t>
  </si>
  <si>
    <t>WALTER ANDRE INFANTE</t>
  </si>
  <si>
    <t>LUFFY LIBRERO</t>
  </si>
  <si>
    <t>JAIR SALDARRIAGA</t>
  </si>
  <si>
    <t>ICHIBAN JOJOS STEEL BALL RUN</t>
  </si>
  <si>
    <t>PREVENTA BY JULIO</t>
  </si>
  <si>
    <t>REZE SENTADITA</t>
  </si>
  <si>
    <t>YUTA ICHIBAN KUJI</t>
  </si>
  <si>
    <t>LUFFY G5 SUELTO</t>
  </si>
  <si>
    <t>MARIN RUBIA AMP ECHADA</t>
  </si>
  <si>
    <t>RUBIA BIKINI LOTE B</t>
  </si>
  <si>
    <t>BUYE</t>
  </si>
  <si>
    <t>GOHAN BESTIA BLOOD OF SAYANS</t>
  </si>
  <si>
    <t>UZAKI GLITTERS</t>
  </si>
  <si>
    <t>DRAGON NEGRO OJOS ROJOS</t>
  </si>
  <si>
    <t>ALBEDO ARMOR POP UP PARADE L</t>
  </si>
  <si>
    <t>MARLON BRANDON ALVAREZ RAMOS</t>
  </si>
  <si>
    <t>CROCODRILE SCULTURE</t>
  </si>
  <si>
    <t>SOLO LEVELING POP UP PARADE L</t>
  </si>
  <si>
    <t>MINION ARMABLE</t>
  </si>
  <si>
    <t>GOJO PLAYERO</t>
  </si>
  <si>
    <t>DEKU MODEL 2 MOMO GUNDAM DUO NAMI</t>
  </si>
  <si>
    <t>SET X 5 BANPRESTO DBZ</t>
  </si>
  <si>
    <t>ENTRY GRADE 1/144 WING GUNDAM</t>
  </si>
  <si>
    <t>CDD</t>
  </si>
  <si>
    <t>HG 1/144 ALTRON GUNDAM</t>
  </si>
  <si>
    <t>DEATHSCYTHE HELL</t>
  </si>
  <si>
    <t>HG 1/144 GUNDAM HEAVYARMS CUSTOM</t>
  </si>
  <si>
    <t>HG 1/144 GUNDAM SANDROCK CUSTOM</t>
  </si>
  <si>
    <t>MUJER ALAS NEGRAS MADOKA</t>
  </si>
  <si>
    <t>SOFIA KAREN FLORES BRINGAS</t>
  </si>
  <si>
    <t>SLIME EFEXTREME</t>
  </si>
  <si>
    <t>NSJ062652</t>
  </si>
  <si>
    <t>DUO ESCENA ONE PIECE</t>
  </si>
  <si>
    <t>ALEJANDRO CARRION MELO</t>
  </si>
  <si>
    <t>SET 4 FIGURAS</t>
  </si>
  <si>
    <t>PAUL EDDY LUQUE J</t>
  </si>
  <si>
    <t>CHOSO BANPRESTO</t>
  </si>
  <si>
    <t>WALTER CESAR ZEVALLOS BUSTAMANTE</t>
  </si>
  <si>
    <t>MEGUMI GRANDISTA</t>
  </si>
  <si>
    <t>RAM Y REM</t>
  </si>
  <si>
    <t>LUIS EMILIO CONDOR VEGA</t>
  </si>
  <si>
    <t>PREVE CD</t>
  </si>
  <si>
    <t>4 CABALLAS SUELTAS</t>
  </si>
  <si>
    <t>DUO MINIS SAO</t>
  </si>
  <si>
    <t>SHALTEAR SENTADA</t>
  </si>
  <si>
    <t>GARP DXF</t>
  </si>
  <si>
    <t>JHAK ESNAYDER CCALLO ARPITA</t>
  </si>
  <si>
    <t>ERICK RICARDO INGA CALLE</t>
  </si>
  <si>
    <t xml:space="preserve">MIHAWK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</si>
</sst>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i/>
      <sz val="11"/>
      <color theme="6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2" fillId="2" borderId="0" xfId="0" applyFont="1" applyFill="1"/>
    <xf numFmtId="43" fontId="2" fillId="2" borderId="0" xfId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6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43" fontId="0" fillId="0" borderId="0" xfId="0" applyNumberFormat="1"/>
    <xf numFmtId="43" fontId="1" fillId="0" borderId="0" xfId="1" applyFont="1"/>
    <xf numFmtId="43" fontId="3" fillId="0" borderId="0" xfId="1" applyFont="1"/>
    <xf numFmtId="16" fontId="0" fillId="3" borderId="0" xfId="0" applyNumberFormat="1" applyFill="1"/>
    <xf numFmtId="0" fontId="1" fillId="3" borderId="0" xfId="0" applyFont="1" applyFill="1"/>
    <xf numFmtId="43" fontId="0" fillId="3" borderId="0" xfId="0" applyNumberFormat="1" applyFill="1"/>
    <xf numFmtId="43" fontId="0" fillId="3" borderId="0" xfId="1" applyFont="1" applyFill="1"/>
    <xf numFmtId="0" fontId="0" fillId="3" borderId="0" xfId="0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43" fontId="1" fillId="0" borderId="0" xfId="0" applyNumberFormat="1" applyFont="1"/>
    <xf numFmtId="0" fontId="0" fillId="3" borderId="0" xfId="0" applyFill="1"/>
    <xf numFmtId="43" fontId="4" fillId="3" borderId="0" xfId="1" applyFont="1" applyFill="1"/>
    <xf numFmtId="43" fontId="4" fillId="0" borderId="0" xfId="1" applyFont="1"/>
    <xf numFmtId="43" fontId="6" fillId="0" borderId="0" xfId="1" applyFont="1"/>
    <xf numFmtId="43" fontId="0" fillId="0" borderId="0" xfId="1" applyFont="1" applyFill="1"/>
    <xf numFmtId="43" fontId="4" fillId="0" borderId="0" xfId="1" applyFont="1" applyFill="1"/>
    <xf numFmtId="0" fontId="5" fillId="0" borderId="0" xfId="0" applyFont="1"/>
    <xf numFmtId="43" fontId="5" fillId="0" borderId="0" xfId="0" applyNumberFormat="1" applyFont="1"/>
    <xf numFmtId="43" fontId="5" fillId="0" borderId="0" xfId="1" applyFont="1"/>
    <xf numFmtId="43" fontId="5" fillId="0" borderId="0" xfId="1" applyFont="1" applyFill="1"/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43" fontId="8" fillId="0" borderId="0" xfId="1" applyFont="1"/>
    <xf numFmtId="43" fontId="9" fillId="0" borderId="0" xfId="1" applyFont="1"/>
    <xf numFmtId="43" fontId="10" fillId="0" borderId="0" xfId="1" applyFont="1"/>
    <xf numFmtId="43" fontId="11" fillId="0" borderId="0" xfId="1" applyFont="1"/>
    <xf numFmtId="43" fontId="12" fillId="0" borderId="0" xfId="1" applyFont="1"/>
    <xf numFmtId="0" fontId="11" fillId="0" borderId="0" xfId="0" applyFont="1"/>
    <xf numFmtId="43" fontId="13" fillId="0" borderId="0" xfId="1" applyFont="1"/>
    <xf numFmtId="43" fontId="0" fillId="4" borderId="0" xfId="1" applyFont="1" applyFill="1"/>
    <xf numFmtId="43" fontId="9" fillId="0" borderId="0" xfId="1" applyFont="1" applyFill="1"/>
    <xf numFmtId="0" fontId="3" fillId="0" borderId="0" xfId="0" applyFont="1"/>
    <xf numFmtId="43" fontId="0" fillId="5" borderId="0" xfId="1" applyFont="1" applyFill="1"/>
    <xf numFmtId="43" fontId="0" fillId="6" borderId="0" xfId="1" applyFont="1" applyFill="1"/>
    <xf numFmtId="43" fontId="0" fillId="7" borderId="0" xfId="1" applyFont="1" applyFill="1"/>
    <xf numFmtId="43" fontId="0" fillId="8" borderId="0" xfId="1" applyFont="1" applyFill="1"/>
    <xf numFmtId="43" fontId="4" fillId="9" borderId="0" xfId="1" applyFont="1" applyFill="1"/>
    <xf numFmtId="43" fontId="0" fillId="10" borderId="0" xfId="1" applyFont="1" applyFill="1"/>
    <xf numFmtId="0" fontId="1" fillId="9" borderId="0" xfId="0" applyFont="1" applyFill="1"/>
    <xf numFmtId="43" fontId="0" fillId="11" borderId="0" xfId="1" applyFont="1" applyFill="1"/>
    <xf numFmtId="43" fontId="0" fillId="12" borderId="0" xfId="1" applyFont="1" applyFill="1"/>
    <xf numFmtId="43" fontId="0" fillId="9" borderId="0" xfId="1" applyFont="1" applyFill="1"/>
    <xf numFmtId="0" fontId="14" fillId="0" borderId="0" xfId="0" applyFont="1"/>
    <xf numFmtId="43" fontId="0" fillId="13" borderId="0" xfId="1" applyFont="1" applyFill="1"/>
    <xf numFmtId="43" fontId="11" fillId="0" borderId="0" xfId="1" applyFont="1" applyFill="1"/>
    <xf numFmtId="0" fontId="4" fillId="3" borderId="0" xfId="0" applyFont="1" applyFill="1"/>
    <xf numFmtId="0" fontId="4" fillId="10" borderId="0" xfId="0" applyFont="1" applyFill="1"/>
    <xf numFmtId="43" fontId="0" fillId="14" borderId="0" xfId="1" applyFont="1" applyFill="1"/>
    <xf numFmtId="43" fontId="1" fillId="0" borderId="0" xfId="1" applyFont="1" applyFill="1"/>
    <xf numFmtId="43" fontId="5" fillId="3" borderId="0" xfId="1" applyFont="1" applyFill="1"/>
    <xf numFmtId="43" fontId="0" fillId="15" borderId="0" xfId="1" applyFont="1" applyFill="1"/>
    <xf numFmtId="43" fontId="0" fillId="16" borderId="0" xfId="1" applyFont="1" applyFill="1"/>
    <xf numFmtId="43" fontId="1" fillId="7" borderId="0" xfId="1" applyFont="1" applyFill="1"/>
    <xf numFmtId="43" fontId="1" fillId="13" borderId="0" xfId="1" applyFont="1" applyFill="1"/>
    <xf numFmtId="0" fontId="0" fillId="9" borderId="0" xfId="0" applyFill="1"/>
    <xf numFmtId="43" fontId="0" fillId="9" borderId="0" xfId="0" applyNumberFormat="1" applyFill="1"/>
    <xf numFmtId="0" fontId="0" fillId="9" borderId="0" xfId="0" applyFill="1" applyAlignment="1">
      <alignment horizontal="center"/>
    </xf>
    <xf numFmtId="0" fontId="15" fillId="0" borderId="0" xfId="0" applyFont="1"/>
    <xf numFmtId="43" fontId="4" fillId="17" borderId="0" xfId="1" applyFont="1" applyFill="1"/>
    <xf numFmtId="14" fontId="0" fillId="0" borderId="0" xfId="0" applyNumberFormat="1"/>
    <xf numFmtId="43" fontId="0" fillId="18" borderId="0" xfId="1" applyFont="1" applyFill="1"/>
    <xf numFmtId="43" fontId="0" fillId="19" borderId="0" xfId="1" applyFont="1" applyFill="1"/>
    <xf numFmtId="0" fontId="0" fillId="5" borderId="0" xfId="0" applyFill="1"/>
    <xf numFmtId="43" fontId="0" fillId="5" borderId="0" xfId="0" applyNumberFormat="1" applyFill="1"/>
    <xf numFmtId="0" fontId="0" fillId="5" borderId="0" xfId="0" applyFill="1" applyAlignment="1">
      <alignment horizontal="center"/>
    </xf>
    <xf numFmtId="0" fontId="1" fillId="5" borderId="0" xfId="0" applyFont="1" applyFill="1"/>
    <xf numFmtId="43" fontId="4" fillId="16" borderId="0" xfId="1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43" fontId="0" fillId="20" borderId="0" xfId="1" applyFont="1" applyFill="1"/>
    <xf numFmtId="43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 applyAlignment="1">
      <alignment horizontal="center"/>
    </xf>
    <xf numFmtId="43" fontId="11" fillId="0" borderId="0" xfId="0" applyNumberFormat="1" applyFont="1"/>
    <xf numFmtId="0" fontId="11" fillId="0" borderId="0" xfId="0" applyFont="1" applyAlignment="1">
      <alignment horizontal="center"/>
    </xf>
    <xf numFmtId="14" fontId="4" fillId="0" borderId="0" xfId="0" applyNumberFormat="1" applyFont="1"/>
    <xf numFmtId="43" fontId="0" fillId="21" borderId="0" xfId="1" applyFont="1" applyFill="1"/>
    <xf numFmtId="0" fontId="0" fillId="18" borderId="0" xfId="0" applyFill="1"/>
    <xf numFmtId="0" fontId="1" fillId="22" borderId="0" xfId="0" applyFont="1" applyFill="1"/>
    <xf numFmtId="43" fontId="0" fillId="22" borderId="0" xfId="0" applyNumberFormat="1" applyFill="1"/>
    <xf numFmtId="43" fontId="0" fillId="22" borderId="0" xfId="1" applyFont="1" applyFill="1"/>
    <xf numFmtId="0" fontId="0" fillId="22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43" fontId="0" fillId="0" borderId="0" xfId="1" applyFont="1" applyFill="1" applyAlignment="1">
      <alignment horizontal="center"/>
    </xf>
    <xf numFmtId="43" fontId="0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1" fillId="16" borderId="0" xfId="1" applyFont="1" applyFill="1" applyAlignment="1">
      <alignment horizontal="center"/>
    </xf>
    <xf numFmtId="43" fontId="11" fillId="3" borderId="0" xfId="1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3" fontId="5" fillId="0" borderId="0" xfId="1" applyFont="1" applyAlignment="1">
      <alignment horizontal="center"/>
    </xf>
    <xf numFmtId="43" fontId="0" fillId="3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43" fontId="11" fillId="0" borderId="0" xfId="0" applyNumberFormat="1" applyFont="1" applyAlignment="1">
      <alignment horizontal="center"/>
    </xf>
    <xf numFmtId="43" fontId="11" fillId="0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43" fontId="11" fillId="0" borderId="0" xfId="1" applyFont="1" applyAlignment="1">
      <alignment horizontal="center"/>
    </xf>
    <xf numFmtId="43" fontId="0" fillId="4" borderId="0" xfId="1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3" fontId="0" fillId="3" borderId="0" xfId="0" applyNumberForma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43" fontId="11" fillId="3" borderId="0" xfId="1" applyFont="1" applyFill="1"/>
    <xf numFmtId="43" fontId="5" fillId="3" borderId="0" xfId="1" applyFont="1" applyFill="1" applyAlignment="1">
      <alignment horizontal="center"/>
    </xf>
    <xf numFmtId="1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4" fontId="0" fillId="3" borderId="0" xfId="0" applyNumberFormat="1" applyFill="1"/>
    <xf numFmtId="43" fontId="1" fillId="3" borderId="0" xfId="1" applyFont="1" applyFill="1"/>
    <xf numFmtId="0" fontId="0" fillId="3" borderId="0" xfId="0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720073</xdr:colOff>
      <xdr:row>1</xdr:row>
      <xdr:rowOff>0</xdr:rowOff>
    </xdr:from>
    <xdr:to>
      <xdr:col>3</xdr:col>
      <xdr:colOff>720433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8CA36789-8751-4124-B7DC-1BE0D8DB5D4C}"/>
                </a:ext>
              </a:extLst>
            </xdr14:cNvPr>
            <xdr14:cNvContentPartPr/>
          </xdr14:nvContentPartPr>
          <xdr14:nvPr macro=""/>
          <xdr14:xfrm>
            <a:off x="3917160" y="4629540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B1BBAFF-1065-DB1A-55F0-A712030A70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11040" y="46234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4:16:46.2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Diego Andre Fernandez Angeles" id="{ECCDF2BC-B0DD-401F-A046-83795EC25AEF}" userId="S::diego.fernandez@terpel.com::20fab989-b236-4d41-b97d-68bd500355a3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78" dT="2024-10-14T05:12:28.45" personId="{ECCDF2BC-B0DD-401F-A046-83795EC25AEF}" id="{D3ADC4E2-EAE3-4456-815A-1821188557D3}">
    <text>Se aplico 80 soles del 13/10 y 20 del toji sentado</text>
  </threadedComment>
  <threadedComment ref="H588" dT="2024-10-02T06:06:30.98" personId="{ECCDF2BC-B0DD-401F-A046-83795EC25AEF}" id="{C73E7B85-4654-47CA-8F44-1238EC2EE270}">
    <text xml:space="preserve">Compenso 100 soles aca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CB4F-1A1E-4351-BFE2-0FCA9B8671F4}">
  <dimension ref="A1:N6748"/>
  <sheetViews>
    <sheetView showGridLines="0" tabSelected="1" zoomScaleNormal="100" workbookViewId="0">
      <pane ySplit="1" topLeftCell="A6729" activePane="bottomLeft" state="frozen"/>
      <selection pane="bottomLeft" activeCell="D6748" sqref="D6748"/>
    </sheetView>
  </sheetViews>
  <sheetFormatPr baseColWidth="10" defaultRowHeight="15" x14ac:dyDescent="0.25"/>
  <cols>
    <col min="1" max="1" width="11.42578125" style="73"/>
    <col min="3" max="3" width="42.85546875" customWidth="1"/>
    <col min="4" max="4" width="35.5703125" customWidth="1"/>
    <col min="5" max="5" width="11.42578125" style="10" customWidth="1"/>
    <col min="6" max="7" width="11.42578125" style="6" customWidth="1"/>
    <col min="8" max="8" width="12.5703125" style="6" customWidth="1"/>
    <col min="9" max="9" width="16.140625" style="26" customWidth="1"/>
    <col min="10" max="10" width="17.85546875" style="7" customWidth="1"/>
    <col min="11" max="11" width="20" customWidth="1"/>
    <col min="13" max="13" width="15.7109375" style="8" bestFit="1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1" t="s">
        <v>9</v>
      </c>
      <c r="L1" s="3" t="s">
        <v>10</v>
      </c>
      <c r="M1" s="4" t="s">
        <v>11</v>
      </c>
    </row>
    <row r="2" spans="1:13" x14ac:dyDescent="0.25">
      <c r="A2" s="5">
        <v>45472</v>
      </c>
      <c r="B2" s="5"/>
      <c r="C2" t="s">
        <v>12</v>
      </c>
      <c r="D2" t="s">
        <v>13</v>
      </c>
      <c r="E2" s="6">
        <v>120</v>
      </c>
      <c r="F2" s="6">
        <v>120</v>
      </c>
      <c r="G2" s="6">
        <f t="shared" ref="G2:G65" si="0">F2-E2</f>
        <v>0</v>
      </c>
      <c r="H2" s="6">
        <v>120</v>
      </c>
      <c r="I2" s="6">
        <f t="shared" ref="I2:I65" si="1">F2-H2</f>
        <v>0</v>
      </c>
      <c r="J2" s="7" t="str">
        <f t="shared" ref="J2:J65" si="2">IF(I2&gt;0,"DEBE","PAGADO")</f>
        <v>PAGADO</v>
      </c>
    </row>
    <row r="3" spans="1:13" x14ac:dyDescent="0.25">
      <c r="A3" s="5">
        <v>45472</v>
      </c>
      <c r="B3" s="5"/>
      <c r="C3" t="s">
        <v>14</v>
      </c>
      <c r="D3" t="s">
        <v>13</v>
      </c>
      <c r="E3" s="6">
        <v>60</v>
      </c>
      <c r="F3" s="6">
        <v>80</v>
      </c>
      <c r="G3" s="6">
        <f t="shared" si="0"/>
        <v>20</v>
      </c>
      <c r="H3" s="6">
        <v>80</v>
      </c>
      <c r="I3" s="6">
        <f t="shared" si="1"/>
        <v>0</v>
      </c>
      <c r="J3" s="7" t="str">
        <f t="shared" si="2"/>
        <v>PAGADO</v>
      </c>
    </row>
    <row r="4" spans="1:13" x14ac:dyDescent="0.25">
      <c r="A4" s="5">
        <v>45472</v>
      </c>
      <c r="B4" s="5"/>
      <c r="C4" s="9" t="s">
        <v>15</v>
      </c>
      <c r="D4" t="s">
        <v>16</v>
      </c>
      <c r="E4" s="6">
        <v>40</v>
      </c>
      <c r="F4" s="6">
        <v>60</v>
      </c>
      <c r="G4" s="6">
        <f t="shared" si="0"/>
        <v>20</v>
      </c>
      <c r="H4" s="6">
        <v>60</v>
      </c>
      <c r="I4" s="6">
        <f t="shared" si="1"/>
        <v>0</v>
      </c>
      <c r="J4" s="7" t="str">
        <f t="shared" si="2"/>
        <v>PAGADO</v>
      </c>
    </row>
    <row r="5" spans="1:13" x14ac:dyDescent="0.25">
      <c r="A5" s="5">
        <v>45472</v>
      </c>
      <c r="B5" s="5"/>
      <c r="C5" t="s">
        <v>17</v>
      </c>
      <c r="D5" t="s">
        <v>18</v>
      </c>
      <c r="E5" s="6">
        <v>40</v>
      </c>
      <c r="F5" s="6">
        <v>50</v>
      </c>
      <c r="G5" s="6">
        <f t="shared" si="0"/>
        <v>10</v>
      </c>
      <c r="H5" s="6">
        <v>50</v>
      </c>
      <c r="I5" s="6">
        <f t="shared" si="1"/>
        <v>0</v>
      </c>
      <c r="J5" s="7" t="str">
        <f t="shared" si="2"/>
        <v>PAGADO</v>
      </c>
    </row>
    <row r="6" spans="1:13" x14ac:dyDescent="0.25">
      <c r="A6" s="5">
        <v>45472</v>
      </c>
      <c r="B6" s="5"/>
      <c r="C6" t="s">
        <v>19</v>
      </c>
      <c r="D6" t="s">
        <v>20</v>
      </c>
      <c r="E6" s="6">
        <v>50</v>
      </c>
      <c r="F6" s="6">
        <v>80</v>
      </c>
      <c r="G6" s="6">
        <f t="shared" si="0"/>
        <v>30</v>
      </c>
      <c r="H6" s="6">
        <v>80</v>
      </c>
      <c r="I6" s="6">
        <f t="shared" si="1"/>
        <v>0</v>
      </c>
      <c r="J6" s="7" t="str">
        <f t="shared" si="2"/>
        <v>PAGADO</v>
      </c>
    </row>
    <row r="7" spans="1:13" x14ac:dyDescent="0.25">
      <c r="A7" s="5">
        <v>45472</v>
      </c>
      <c r="B7" s="5"/>
      <c r="C7" t="s">
        <v>21</v>
      </c>
      <c r="D7" t="s">
        <v>20</v>
      </c>
      <c r="E7" s="6">
        <v>50</v>
      </c>
      <c r="F7" s="6">
        <v>50</v>
      </c>
      <c r="G7" s="6">
        <f t="shared" si="0"/>
        <v>0</v>
      </c>
      <c r="H7" s="6">
        <v>50</v>
      </c>
      <c r="I7" s="6">
        <f t="shared" si="1"/>
        <v>0</v>
      </c>
      <c r="J7" s="7" t="str">
        <f t="shared" si="2"/>
        <v>PAGADO</v>
      </c>
    </row>
    <row r="8" spans="1:13" x14ac:dyDescent="0.25">
      <c r="A8" s="5">
        <v>45472</v>
      </c>
      <c r="B8" s="5"/>
      <c r="C8" t="s">
        <v>22</v>
      </c>
      <c r="D8" t="s">
        <v>23</v>
      </c>
      <c r="E8" s="6">
        <v>20</v>
      </c>
      <c r="F8" s="6">
        <v>40</v>
      </c>
      <c r="G8" s="6">
        <f t="shared" si="0"/>
        <v>20</v>
      </c>
      <c r="H8" s="6">
        <v>40</v>
      </c>
      <c r="I8" s="6">
        <f t="shared" si="1"/>
        <v>0</v>
      </c>
      <c r="J8" s="7" t="str">
        <f t="shared" si="2"/>
        <v>PAGADO</v>
      </c>
    </row>
    <row r="9" spans="1:13" x14ac:dyDescent="0.25">
      <c r="A9" s="5">
        <v>45472</v>
      </c>
      <c r="B9" s="5"/>
      <c r="C9" s="9" t="s">
        <v>24</v>
      </c>
      <c r="D9" t="s">
        <v>25</v>
      </c>
      <c r="E9" s="6">
        <v>15</v>
      </c>
      <c r="F9" s="6">
        <v>30</v>
      </c>
      <c r="G9" s="6">
        <f t="shared" si="0"/>
        <v>15</v>
      </c>
      <c r="H9" s="6">
        <v>30</v>
      </c>
      <c r="I9" s="6">
        <f t="shared" si="1"/>
        <v>0</v>
      </c>
      <c r="J9" s="7" t="str">
        <f t="shared" si="2"/>
        <v>PAGADO</v>
      </c>
    </row>
    <row r="10" spans="1:13" x14ac:dyDescent="0.25">
      <c r="A10" s="5">
        <v>45472</v>
      </c>
      <c r="B10" s="5"/>
      <c r="C10" t="s">
        <v>26</v>
      </c>
      <c r="D10" t="s">
        <v>27</v>
      </c>
      <c r="E10" s="6">
        <v>100</v>
      </c>
      <c r="F10" s="6">
        <v>130</v>
      </c>
      <c r="G10" s="6">
        <f t="shared" si="0"/>
        <v>30</v>
      </c>
      <c r="H10" s="6">
        <v>130</v>
      </c>
      <c r="I10" s="6">
        <f t="shared" si="1"/>
        <v>0</v>
      </c>
      <c r="J10" s="7" t="str">
        <f t="shared" si="2"/>
        <v>PAGADO</v>
      </c>
    </row>
    <row r="11" spans="1:13" x14ac:dyDescent="0.25">
      <c r="A11" s="5">
        <v>45472</v>
      </c>
      <c r="B11" s="5"/>
      <c r="C11" t="s">
        <v>28</v>
      </c>
      <c r="D11" t="s">
        <v>29</v>
      </c>
      <c r="E11" s="6">
        <v>60</v>
      </c>
      <c r="F11" s="6">
        <v>75</v>
      </c>
      <c r="G11" s="6">
        <f t="shared" si="0"/>
        <v>15</v>
      </c>
      <c r="H11" s="6">
        <v>75</v>
      </c>
      <c r="I11" s="6">
        <f t="shared" si="1"/>
        <v>0</v>
      </c>
      <c r="J11" s="7" t="str">
        <f t="shared" si="2"/>
        <v>PAGADO</v>
      </c>
    </row>
    <row r="12" spans="1:13" x14ac:dyDescent="0.25">
      <c r="A12" s="5">
        <v>45472</v>
      </c>
      <c r="B12" s="5"/>
      <c r="C12" t="s">
        <v>30</v>
      </c>
      <c r="D12" t="s">
        <v>31</v>
      </c>
      <c r="E12" s="6">
        <v>10</v>
      </c>
      <c r="F12" s="6">
        <v>25</v>
      </c>
      <c r="G12" s="6">
        <f t="shared" si="0"/>
        <v>15</v>
      </c>
      <c r="H12" s="6">
        <v>25</v>
      </c>
      <c r="I12" s="6">
        <f t="shared" si="1"/>
        <v>0</v>
      </c>
      <c r="J12" s="7" t="str">
        <f t="shared" si="2"/>
        <v>PAGADO</v>
      </c>
    </row>
    <row r="13" spans="1:13" x14ac:dyDescent="0.25">
      <c r="A13" s="5">
        <v>45472</v>
      </c>
      <c r="B13" s="5"/>
      <c r="C13" t="s">
        <v>32</v>
      </c>
      <c r="D13" t="s">
        <v>33</v>
      </c>
      <c r="E13" s="6">
        <v>100</v>
      </c>
      <c r="F13" s="6">
        <v>100</v>
      </c>
      <c r="G13" s="6">
        <f t="shared" si="0"/>
        <v>0</v>
      </c>
      <c r="H13" s="6">
        <v>100</v>
      </c>
      <c r="I13" s="6">
        <f t="shared" si="1"/>
        <v>0</v>
      </c>
      <c r="J13" s="7" t="str">
        <f t="shared" si="2"/>
        <v>PAGADO</v>
      </c>
    </row>
    <row r="14" spans="1:13" x14ac:dyDescent="0.25">
      <c r="A14" s="5">
        <v>45472</v>
      </c>
      <c r="B14" s="5"/>
      <c r="C14" t="s">
        <v>34</v>
      </c>
      <c r="D14" t="s">
        <v>18</v>
      </c>
      <c r="E14" s="6"/>
      <c r="F14" s="6">
        <v>200</v>
      </c>
      <c r="G14" s="6">
        <f t="shared" si="0"/>
        <v>200</v>
      </c>
      <c r="H14" s="6">
        <v>200</v>
      </c>
      <c r="I14" s="6">
        <f t="shared" si="1"/>
        <v>0</v>
      </c>
      <c r="J14" s="7" t="str">
        <f t="shared" si="2"/>
        <v>PAGADO</v>
      </c>
    </row>
    <row r="15" spans="1:13" x14ac:dyDescent="0.25">
      <c r="A15" s="5">
        <v>45472</v>
      </c>
      <c r="B15" s="5"/>
      <c r="C15" t="s">
        <v>35</v>
      </c>
      <c r="D15" t="s">
        <v>18</v>
      </c>
      <c r="E15" s="6">
        <v>50</v>
      </c>
      <c r="F15" s="6">
        <v>50</v>
      </c>
      <c r="G15" s="6">
        <f t="shared" si="0"/>
        <v>0</v>
      </c>
      <c r="H15" s="6">
        <v>50</v>
      </c>
      <c r="I15" s="6">
        <f t="shared" si="1"/>
        <v>0</v>
      </c>
      <c r="J15" s="7" t="str">
        <f t="shared" si="2"/>
        <v>PAGADO</v>
      </c>
    </row>
    <row r="16" spans="1:13" x14ac:dyDescent="0.25">
      <c r="A16" s="5">
        <v>45472</v>
      </c>
      <c r="B16" s="5"/>
      <c r="C16" t="s">
        <v>36</v>
      </c>
      <c r="D16" t="s">
        <v>27</v>
      </c>
      <c r="E16" s="6">
        <v>50</v>
      </c>
      <c r="F16" s="6">
        <v>65</v>
      </c>
      <c r="G16" s="6">
        <f t="shared" si="0"/>
        <v>15</v>
      </c>
      <c r="H16" s="6">
        <v>65</v>
      </c>
      <c r="I16" s="6">
        <f t="shared" si="1"/>
        <v>0</v>
      </c>
      <c r="J16" s="7" t="str">
        <f t="shared" si="2"/>
        <v>PAGADO</v>
      </c>
    </row>
    <row r="17" spans="1:10" x14ac:dyDescent="0.25">
      <c r="A17" s="5">
        <v>45472</v>
      </c>
      <c r="B17" s="5"/>
      <c r="C17" t="s">
        <v>37</v>
      </c>
      <c r="D17" t="s">
        <v>27</v>
      </c>
      <c r="E17" s="6">
        <v>50</v>
      </c>
      <c r="F17" s="6">
        <v>65</v>
      </c>
      <c r="G17" s="6">
        <f t="shared" si="0"/>
        <v>15</v>
      </c>
      <c r="H17" s="6">
        <v>65</v>
      </c>
      <c r="I17" s="6">
        <f t="shared" si="1"/>
        <v>0</v>
      </c>
      <c r="J17" s="7" t="str">
        <f t="shared" si="2"/>
        <v>PAGADO</v>
      </c>
    </row>
    <row r="18" spans="1:10" x14ac:dyDescent="0.25">
      <c r="A18" s="5">
        <v>45472</v>
      </c>
      <c r="B18" s="5"/>
      <c r="C18" t="s">
        <v>38</v>
      </c>
      <c r="D18" t="s">
        <v>39</v>
      </c>
      <c r="E18" s="6">
        <v>100</v>
      </c>
      <c r="F18" s="6">
        <v>180</v>
      </c>
      <c r="G18" s="6">
        <f t="shared" si="0"/>
        <v>80</v>
      </c>
      <c r="H18" s="6">
        <v>180</v>
      </c>
      <c r="I18" s="6">
        <f t="shared" si="1"/>
        <v>0</v>
      </c>
      <c r="J18" s="7" t="str">
        <f t="shared" si="2"/>
        <v>PAGADO</v>
      </c>
    </row>
    <row r="19" spans="1:10" x14ac:dyDescent="0.25">
      <c r="A19" s="5">
        <v>45472</v>
      </c>
      <c r="B19" s="5"/>
      <c r="C19" t="s">
        <v>40</v>
      </c>
      <c r="D19" t="s">
        <v>39</v>
      </c>
      <c r="E19" s="6">
        <v>50</v>
      </c>
      <c r="F19" s="6">
        <v>50</v>
      </c>
      <c r="G19" s="6">
        <f t="shared" si="0"/>
        <v>0</v>
      </c>
      <c r="H19" s="6">
        <v>50</v>
      </c>
      <c r="I19" s="6">
        <f t="shared" si="1"/>
        <v>0</v>
      </c>
      <c r="J19" s="7" t="str">
        <f t="shared" si="2"/>
        <v>PAGADO</v>
      </c>
    </row>
    <row r="20" spans="1:10" x14ac:dyDescent="0.25">
      <c r="A20" s="5">
        <v>45472</v>
      </c>
      <c r="B20" s="5"/>
      <c r="C20" t="s">
        <v>41</v>
      </c>
      <c r="D20" t="s">
        <v>33</v>
      </c>
      <c r="E20" s="6">
        <v>45</v>
      </c>
      <c r="F20" s="6">
        <v>60</v>
      </c>
      <c r="G20" s="6">
        <f t="shared" si="0"/>
        <v>15</v>
      </c>
      <c r="H20" s="6">
        <v>60</v>
      </c>
      <c r="I20" s="6">
        <f t="shared" si="1"/>
        <v>0</v>
      </c>
      <c r="J20" s="7" t="str">
        <f t="shared" si="2"/>
        <v>PAGADO</v>
      </c>
    </row>
    <row r="21" spans="1:10" x14ac:dyDescent="0.25">
      <c r="A21" s="5">
        <v>45472</v>
      </c>
      <c r="B21" s="5"/>
      <c r="C21" t="s">
        <v>42</v>
      </c>
      <c r="D21" t="s">
        <v>33</v>
      </c>
      <c r="E21" s="6">
        <v>4.5</v>
      </c>
      <c r="F21" s="6">
        <v>10</v>
      </c>
      <c r="G21" s="6">
        <f t="shared" si="0"/>
        <v>5.5</v>
      </c>
      <c r="H21" s="6">
        <v>10</v>
      </c>
      <c r="I21" s="6">
        <f t="shared" si="1"/>
        <v>0</v>
      </c>
      <c r="J21" s="7" t="str">
        <f t="shared" si="2"/>
        <v>PAGADO</v>
      </c>
    </row>
    <row r="22" spans="1:10" x14ac:dyDescent="0.25">
      <c r="A22" s="5">
        <v>45472</v>
      </c>
      <c r="B22" s="5"/>
      <c r="C22" t="s">
        <v>43</v>
      </c>
      <c r="D22" t="s">
        <v>44</v>
      </c>
      <c r="E22" s="6">
        <v>4.5</v>
      </c>
      <c r="F22" s="6">
        <v>10</v>
      </c>
      <c r="G22" s="6">
        <f t="shared" si="0"/>
        <v>5.5</v>
      </c>
      <c r="H22" s="6">
        <v>10</v>
      </c>
      <c r="I22" s="6">
        <f t="shared" si="1"/>
        <v>0</v>
      </c>
      <c r="J22" s="7" t="str">
        <f t="shared" si="2"/>
        <v>PAGADO</v>
      </c>
    </row>
    <row r="23" spans="1:10" x14ac:dyDescent="0.25">
      <c r="A23" s="5">
        <v>45472</v>
      </c>
      <c r="B23" s="5"/>
      <c r="C23" t="s">
        <v>30</v>
      </c>
      <c r="D23" t="s">
        <v>45</v>
      </c>
      <c r="E23" s="6">
        <v>10</v>
      </c>
      <c r="F23" s="6">
        <v>20</v>
      </c>
      <c r="G23" s="6">
        <f t="shared" si="0"/>
        <v>10</v>
      </c>
      <c r="H23" s="6">
        <v>20</v>
      </c>
      <c r="I23" s="6">
        <f t="shared" si="1"/>
        <v>0</v>
      </c>
      <c r="J23" s="7" t="str">
        <f t="shared" si="2"/>
        <v>PAGADO</v>
      </c>
    </row>
    <row r="24" spans="1:10" x14ac:dyDescent="0.25">
      <c r="A24" s="5">
        <v>45472</v>
      </c>
      <c r="B24" s="5"/>
      <c r="C24" t="s">
        <v>46</v>
      </c>
      <c r="D24" t="s">
        <v>45</v>
      </c>
      <c r="E24" s="6">
        <v>4.5</v>
      </c>
      <c r="F24" s="6">
        <v>10</v>
      </c>
      <c r="G24" s="6">
        <f t="shared" si="0"/>
        <v>5.5</v>
      </c>
      <c r="H24" s="6">
        <v>10</v>
      </c>
      <c r="I24" s="6">
        <f t="shared" si="1"/>
        <v>0</v>
      </c>
      <c r="J24" s="7" t="str">
        <f t="shared" si="2"/>
        <v>PAGADO</v>
      </c>
    </row>
    <row r="25" spans="1:10" x14ac:dyDescent="0.25">
      <c r="A25" s="5">
        <v>45472</v>
      </c>
      <c r="B25" s="5"/>
      <c r="C25" t="s">
        <v>47</v>
      </c>
      <c r="D25" t="s">
        <v>48</v>
      </c>
      <c r="E25" s="6">
        <v>90.8</v>
      </c>
      <c r="F25" s="6">
        <v>160</v>
      </c>
      <c r="G25" s="6">
        <f t="shared" si="0"/>
        <v>69.2</v>
      </c>
      <c r="H25" s="6">
        <v>160</v>
      </c>
      <c r="I25" s="6">
        <f t="shared" si="1"/>
        <v>0</v>
      </c>
      <c r="J25" s="7" t="str">
        <f t="shared" si="2"/>
        <v>PAGADO</v>
      </c>
    </row>
    <row r="26" spans="1:10" x14ac:dyDescent="0.25">
      <c r="A26" s="5">
        <v>45472</v>
      </c>
      <c r="B26" s="5"/>
      <c r="C26" t="s">
        <v>49</v>
      </c>
      <c r="D26" t="s">
        <v>50</v>
      </c>
      <c r="E26" s="6">
        <v>165</v>
      </c>
      <c r="F26" s="6">
        <v>200</v>
      </c>
      <c r="G26" s="6">
        <f t="shared" si="0"/>
        <v>35</v>
      </c>
      <c r="H26" s="6">
        <v>200</v>
      </c>
      <c r="I26" s="6">
        <f t="shared" si="1"/>
        <v>0</v>
      </c>
      <c r="J26" s="7" t="str">
        <f t="shared" si="2"/>
        <v>PAGADO</v>
      </c>
    </row>
    <row r="27" spans="1:10" x14ac:dyDescent="0.25">
      <c r="A27" s="5">
        <v>45472</v>
      </c>
      <c r="B27" s="5"/>
      <c r="C27" t="s">
        <v>51</v>
      </c>
      <c r="D27" t="s">
        <v>52</v>
      </c>
      <c r="E27" s="6">
        <v>140</v>
      </c>
      <c r="F27" s="6">
        <v>170</v>
      </c>
      <c r="G27" s="6">
        <f t="shared" si="0"/>
        <v>30</v>
      </c>
      <c r="H27" s="6">
        <v>170</v>
      </c>
      <c r="I27" s="6">
        <f t="shared" si="1"/>
        <v>0</v>
      </c>
      <c r="J27" s="7" t="str">
        <f t="shared" si="2"/>
        <v>PAGADO</v>
      </c>
    </row>
    <row r="28" spans="1:10" x14ac:dyDescent="0.25">
      <c r="A28" s="5">
        <v>45472</v>
      </c>
      <c r="B28" s="5"/>
      <c r="C28" t="s">
        <v>53</v>
      </c>
      <c r="D28" t="s">
        <v>54</v>
      </c>
      <c r="E28" s="6">
        <v>60</v>
      </c>
      <c r="F28" s="6">
        <v>70</v>
      </c>
      <c r="G28" s="6">
        <f t="shared" si="0"/>
        <v>10</v>
      </c>
      <c r="H28" s="6">
        <v>70</v>
      </c>
      <c r="I28" s="6">
        <f t="shared" si="1"/>
        <v>0</v>
      </c>
      <c r="J28" s="7" t="str">
        <f t="shared" si="2"/>
        <v>PAGADO</v>
      </c>
    </row>
    <row r="29" spans="1:10" x14ac:dyDescent="0.25">
      <c r="A29" s="5">
        <v>45472</v>
      </c>
      <c r="B29" s="5"/>
      <c r="C29" t="s">
        <v>55</v>
      </c>
      <c r="D29" t="s">
        <v>56</v>
      </c>
      <c r="E29" s="6">
        <v>57.5</v>
      </c>
      <c r="F29" s="6">
        <v>90</v>
      </c>
      <c r="G29" s="6">
        <f t="shared" si="0"/>
        <v>32.5</v>
      </c>
      <c r="H29" s="6">
        <v>90</v>
      </c>
      <c r="I29" s="6">
        <f t="shared" si="1"/>
        <v>0</v>
      </c>
      <c r="J29" s="7" t="str">
        <f t="shared" si="2"/>
        <v>PAGADO</v>
      </c>
    </row>
    <row r="30" spans="1:10" x14ac:dyDescent="0.25">
      <c r="A30" s="5">
        <v>45472</v>
      </c>
      <c r="B30" s="5"/>
      <c r="C30" t="s">
        <v>57</v>
      </c>
      <c r="D30" t="s">
        <v>58</v>
      </c>
      <c r="E30" s="6">
        <v>10</v>
      </c>
      <c r="F30" s="6">
        <v>30</v>
      </c>
      <c r="G30" s="6">
        <f t="shared" si="0"/>
        <v>20</v>
      </c>
      <c r="H30" s="6">
        <v>30</v>
      </c>
      <c r="I30" s="6">
        <f t="shared" si="1"/>
        <v>0</v>
      </c>
      <c r="J30" s="7" t="str">
        <f t="shared" si="2"/>
        <v>PAGADO</v>
      </c>
    </row>
    <row r="31" spans="1:10" x14ac:dyDescent="0.25">
      <c r="A31" s="5">
        <v>45472</v>
      </c>
      <c r="B31" s="5"/>
      <c r="C31" t="s">
        <v>59</v>
      </c>
      <c r="D31" t="s">
        <v>58</v>
      </c>
      <c r="E31" s="6">
        <v>15</v>
      </c>
      <c r="F31" s="6">
        <v>30</v>
      </c>
      <c r="G31" s="6">
        <f t="shared" si="0"/>
        <v>15</v>
      </c>
      <c r="H31" s="6">
        <v>30</v>
      </c>
      <c r="I31" s="6">
        <f t="shared" si="1"/>
        <v>0</v>
      </c>
      <c r="J31" s="7" t="str">
        <f t="shared" si="2"/>
        <v>PAGADO</v>
      </c>
    </row>
    <row r="32" spans="1:10" x14ac:dyDescent="0.25">
      <c r="A32" s="5">
        <v>45472</v>
      </c>
      <c r="B32" s="5"/>
      <c r="C32" t="s">
        <v>60</v>
      </c>
      <c r="D32" t="s">
        <v>61</v>
      </c>
      <c r="E32" s="6">
        <v>5</v>
      </c>
      <c r="F32" s="6">
        <v>15</v>
      </c>
      <c r="G32" s="6">
        <f t="shared" si="0"/>
        <v>10</v>
      </c>
      <c r="H32" s="6">
        <v>15</v>
      </c>
      <c r="I32" s="6">
        <f t="shared" si="1"/>
        <v>0</v>
      </c>
      <c r="J32" s="7" t="str">
        <f t="shared" si="2"/>
        <v>PAGADO</v>
      </c>
    </row>
    <row r="33" spans="1:11" x14ac:dyDescent="0.25">
      <c r="A33" s="5">
        <v>45472</v>
      </c>
      <c r="B33" s="5"/>
      <c r="C33" t="s">
        <v>51</v>
      </c>
      <c r="D33" t="s">
        <v>62</v>
      </c>
      <c r="E33" s="6">
        <v>140</v>
      </c>
      <c r="F33" s="6">
        <v>180</v>
      </c>
      <c r="G33" s="6">
        <f t="shared" si="0"/>
        <v>40</v>
      </c>
      <c r="H33" s="6">
        <v>180</v>
      </c>
      <c r="I33" s="6">
        <f t="shared" si="1"/>
        <v>0</v>
      </c>
      <c r="J33" s="7" t="str">
        <f t="shared" si="2"/>
        <v>PAGADO</v>
      </c>
    </row>
    <row r="34" spans="1:11" x14ac:dyDescent="0.25">
      <c r="A34" s="5">
        <v>45472</v>
      </c>
      <c r="B34" s="5"/>
      <c r="C34" t="s">
        <v>30</v>
      </c>
      <c r="D34" t="s">
        <v>63</v>
      </c>
      <c r="E34" s="6">
        <v>10</v>
      </c>
      <c r="F34" s="6">
        <v>20</v>
      </c>
      <c r="G34" s="6">
        <f t="shared" si="0"/>
        <v>10</v>
      </c>
      <c r="H34" s="6">
        <v>20</v>
      </c>
      <c r="I34" s="6">
        <f t="shared" si="1"/>
        <v>0</v>
      </c>
      <c r="J34" s="7" t="str">
        <f t="shared" si="2"/>
        <v>PAGADO</v>
      </c>
    </row>
    <row r="35" spans="1:11" x14ac:dyDescent="0.25">
      <c r="A35" s="5">
        <v>45472</v>
      </c>
      <c r="B35" s="5"/>
      <c r="C35" t="s">
        <v>64</v>
      </c>
      <c r="D35" t="s">
        <v>54</v>
      </c>
      <c r="E35" s="6">
        <v>60</v>
      </c>
      <c r="F35" s="6">
        <v>60</v>
      </c>
      <c r="G35" s="6">
        <f t="shared" si="0"/>
        <v>0</v>
      </c>
      <c r="H35" s="6">
        <v>60</v>
      </c>
      <c r="I35" s="6">
        <f t="shared" si="1"/>
        <v>0</v>
      </c>
      <c r="J35" s="7" t="str">
        <f t="shared" si="2"/>
        <v>PAGADO</v>
      </c>
    </row>
    <row r="36" spans="1:11" x14ac:dyDescent="0.25">
      <c r="A36" s="5">
        <v>45472</v>
      </c>
      <c r="B36" s="5"/>
      <c r="C36" t="s">
        <v>65</v>
      </c>
      <c r="D36" t="s">
        <v>66</v>
      </c>
      <c r="E36" s="6">
        <v>65</v>
      </c>
      <c r="F36" s="6">
        <v>76</v>
      </c>
      <c r="G36" s="6">
        <f t="shared" si="0"/>
        <v>11</v>
      </c>
      <c r="H36" s="6">
        <v>76</v>
      </c>
      <c r="I36" s="6">
        <f t="shared" si="1"/>
        <v>0</v>
      </c>
      <c r="J36" s="7" t="str">
        <f t="shared" si="2"/>
        <v>PAGADO</v>
      </c>
    </row>
    <row r="37" spans="1:11" x14ac:dyDescent="0.25">
      <c r="A37" s="5">
        <v>45472</v>
      </c>
      <c r="B37" s="5"/>
      <c r="C37" t="s">
        <v>51</v>
      </c>
      <c r="D37" t="s">
        <v>67</v>
      </c>
      <c r="E37" s="6">
        <v>140</v>
      </c>
      <c r="F37" s="6">
        <v>180</v>
      </c>
      <c r="G37" s="6">
        <f t="shared" si="0"/>
        <v>40</v>
      </c>
      <c r="H37" s="6">
        <f>50+130</f>
        <v>180</v>
      </c>
      <c r="I37" s="6">
        <f t="shared" si="1"/>
        <v>0</v>
      </c>
      <c r="J37" s="7" t="str">
        <f t="shared" si="2"/>
        <v>PAGADO</v>
      </c>
    </row>
    <row r="38" spans="1:11" x14ac:dyDescent="0.25">
      <c r="A38" s="5">
        <v>45472</v>
      </c>
      <c r="B38" s="5"/>
      <c r="C38" t="s">
        <v>51</v>
      </c>
      <c r="D38" s="9" t="s">
        <v>68</v>
      </c>
      <c r="E38" s="6">
        <v>140</v>
      </c>
      <c r="F38" s="6">
        <v>180</v>
      </c>
      <c r="G38" s="6">
        <f t="shared" si="0"/>
        <v>40</v>
      </c>
      <c r="H38" s="6">
        <v>180</v>
      </c>
      <c r="I38" s="6">
        <f t="shared" si="1"/>
        <v>0</v>
      </c>
      <c r="J38" s="7" t="str">
        <f t="shared" si="2"/>
        <v>PAGADO</v>
      </c>
    </row>
    <row r="39" spans="1:11" x14ac:dyDescent="0.25">
      <c r="A39" s="5">
        <v>45472</v>
      </c>
      <c r="B39" s="5"/>
      <c r="C39" t="s">
        <v>69</v>
      </c>
      <c r="D39" t="s">
        <v>70</v>
      </c>
      <c r="E39" s="6">
        <v>50</v>
      </c>
      <c r="F39" s="6">
        <v>70</v>
      </c>
      <c r="G39" s="6">
        <f t="shared" si="0"/>
        <v>20</v>
      </c>
      <c r="H39" s="6">
        <v>70</v>
      </c>
      <c r="I39" s="6">
        <f t="shared" si="1"/>
        <v>0</v>
      </c>
      <c r="J39" s="7" t="str">
        <f t="shared" si="2"/>
        <v>PAGADO</v>
      </c>
    </row>
    <row r="40" spans="1:11" x14ac:dyDescent="0.25">
      <c r="A40" s="5">
        <v>45472</v>
      </c>
      <c r="B40" s="5"/>
      <c r="C40" t="s">
        <v>71</v>
      </c>
      <c r="D40" t="s">
        <v>72</v>
      </c>
      <c r="E40" s="6">
        <v>50</v>
      </c>
      <c r="F40" s="6">
        <v>110</v>
      </c>
      <c r="G40" s="6">
        <f t="shared" si="0"/>
        <v>60</v>
      </c>
      <c r="H40" s="6">
        <f>50+60</f>
        <v>110</v>
      </c>
      <c r="I40" s="6">
        <f t="shared" si="1"/>
        <v>0</v>
      </c>
      <c r="J40" s="7" t="str">
        <f t="shared" si="2"/>
        <v>PAGADO</v>
      </c>
    </row>
    <row r="41" spans="1:11" x14ac:dyDescent="0.25">
      <c r="A41" s="5">
        <v>45472</v>
      </c>
      <c r="B41" s="5"/>
      <c r="C41" t="s">
        <v>73</v>
      </c>
      <c r="D41" t="s">
        <v>74</v>
      </c>
      <c r="E41" s="6"/>
      <c r="F41" s="6">
        <v>60</v>
      </c>
      <c r="G41" s="6">
        <f t="shared" si="0"/>
        <v>60</v>
      </c>
      <c r="H41" s="6">
        <v>60</v>
      </c>
      <c r="I41" s="6">
        <f t="shared" si="1"/>
        <v>0</v>
      </c>
      <c r="J41" s="7" t="str">
        <f t="shared" si="2"/>
        <v>PAGADO</v>
      </c>
      <c r="K41" t="s">
        <v>75</v>
      </c>
    </row>
    <row r="42" spans="1:11" x14ac:dyDescent="0.25">
      <c r="A42" s="5">
        <v>45472</v>
      </c>
      <c r="B42" s="5"/>
      <c r="C42" t="s">
        <v>76</v>
      </c>
      <c r="D42" t="s">
        <v>74</v>
      </c>
      <c r="E42" s="6"/>
      <c r="F42" s="6">
        <v>55</v>
      </c>
      <c r="G42" s="6">
        <f t="shared" si="0"/>
        <v>55</v>
      </c>
      <c r="H42" s="6">
        <v>55</v>
      </c>
      <c r="I42" s="6">
        <f t="shared" si="1"/>
        <v>0</v>
      </c>
      <c r="J42" s="7" t="str">
        <f t="shared" si="2"/>
        <v>PAGADO</v>
      </c>
      <c r="K42" t="s">
        <v>75</v>
      </c>
    </row>
    <row r="43" spans="1:11" x14ac:dyDescent="0.25">
      <c r="A43" s="5">
        <v>45472</v>
      </c>
      <c r="B43" s="5"/>
      <c r="C43" t="s">
        <v>36</v>
      </c>
      <c r="D43" t="s">
        <v>77</v>
      </c>
      <c r="E43" s="6">
        <v>55</v>
      </c>
      <c r="F43" s="6">
        <v>55</v>
      </c>
      <c r="G43" s="6">
        <f t="shared" si="0"/>
        <v>0</v>
      </c>
      <c r="H43" s="6">
        <v>55</v>
      </c>
      <c r="I43" s="6">
        <f t="shared" si="1"/>
        <v>0</v>
      </c>
      <c r="J43" s="7" t="str">
        <f t="shared" si="2"/>
        <v>PAGADO</v>
      </c>
    </row>
    <row r="44" spans="1:11" x14ac:dyDescent="0.25">
      <c r="A44" s="5">
        <v>45472</v>
      </c>
      <c r="B44" s="5"/>
      <c r="C44" t="s">
        <v>78</v>
      </c>
      <c r="D44" t="s">
        <v>77</v>
      </c>
      <c r="E44" s="6">
        <v>50</v>
      </c>
      <c r="F44" s="6">
        <v>55</v>
      </c>
      <c r="G44" s="6">
        <f t="shared" si="0"/>
        <v>5</v>
      </c>
      <c r="H44" s="6">
        <v>55</v>
      </c>
      <c r="I44" s="6">
        <f t="shared" si="1"/>
        <v>0</v>
      </c>
      <c r="J44" s="7" t="str">
        <f t="shared" si="2"/>
        <v>PAGADO</v>
      </c>
    </row>
    <row r="45" spans="1:11" x14ac:dyDescent="0.25">
      <c r="A45" s="5">
        <v>45472</v>
      </c>
      <c r="B45" s="5"/>
      <c r="C45" t="s">
        <v>79</v>
      </c>
      <c r="D45" t="s">
        <v>80</v>
      </c>
      <c r="E45" s="6">
        <v>50</v>
      </c>
      <c r="F45" s="6">
        <v>72</v>
      </c>
      <c r="G45" s="6">
        <f t="shared" si="0"/>
        <v>22</v>
      </c>
      <c r="H45" s="6">
        <v>72</v>
      </c>
      <c r="I45" s="6">
        <f t="shared" si="1"/>
        <v>0</v>
      </c>
      <c r="J45" s="7" t="str">
        <f t="shared" si="2"/>
        <v>PAGADO</v>
      </c>
    </row>
    <row r="46" spans="1:11" x14ac:dyDescent="0.25">
      <c r="A46" s="5">
        <v>45472</v>
      </c>
      <c r="B46" s="5"/>
      <c r="C46" t="s">
        <v>81</v>
      </c>
      <c r="D46" t="s">
        <v>80</v>
      </c>
      <c r="E46" s="6">
        <v>50</v>
      </c>
      <c r="F46" s="6">
        <v>60</v>
      </c>
      <c r="G46" s="6">
        <f t="shared" si="0"/>
        <v>10</v>
      </c>
      <c r="H46" s="6">
        <v>60</v>
      </c>
      <c r="I46" s="6">
        <f t="shared" si="1"/>
        <v>0</v>
      </c>
      <c r="J46" s="7" t="str">
        <f t="shared" si="2"/>
        <v>PAGADO</v>
      </c>
    </row>
    <row r="47" spans="1:11" x14ac:dyDescent="0.25">
      <c r="A47" s="5">
        <v>45472</v>
      </c>
      <c r="B47" s="5"/>
      <c r="C47" t="s">
        <v>82</v>
      </c>
      <c r="D47" t="s">
        <v>77</v>
      </c>
      <c r="E47" s="6">
        <v>111</v>
      </c>
      <c r="F47" s="6">
        <v>111</v>
      </c>
      <c r="G47" s="6">
        <f t="shared" si="0"/>
        <v>0</v>
      </c>
      <c r="H47" s="6">
        <v>111</v>
      </c>
      <c r="I47" s="6">
        <f t="shared" si="1"/>
        <v>0</v>
      </c>
      <c r="J47" s="7" t="str">
        <f t="shared" si="2"/>
        <v>PAGADO</v>
      </c>
    </row>
    <row r="48" spans="1:11" x14ac:dyDescent="0.25">
      <c r="A48" s="5">
        <v>45472</v>
      </c>
      <c r="B48" s="5"/>
      <c r="C48" t="s">
        <v>83</v>
      </c>
      <c r="D48" t="s">
        <v>84</v>
      </c>
      <c r="E48" s="6">
        <v>50</v>
      </c>
      <c r="F48" s="6">
        <v>57</v>
      </c>
      <c r="G48" s="6">
        <f t="shared" si="0"/>
        <v>7</v>
      </c>
      <c r="H48" s="6">
        <v>57</v>
      </c>
      <c r="I48" s="6">
        <f t="shared" si="1"/>
        <v>0</v>
      </c>
      <c r="J48" s="7" t="str">
        <f t="shared" si="2"/>
        <v>PAGADO</v>
      </c>
    </row>
    <row r="49" spans="1:10" x14ac:dyDescent="0.25">
      <c r="A49" s="5">
        <v>45472</v>
      </c>
      <c r="B49" s="5"/>
      <c r="C49" t="s">
        <v>85</v>
      </c>
      <c r="D49" t="s">
        <v>84</v>
      </c>
      <c r="E49" s="6">
        <v>40</v>
      </c>
      <c r="F49" s="6">
        <v>65</v>
      </c>
      <c r="G49" s="6">
        <f t="shared" si="0"/>
        <v>25</v>
      </c>
      <c r="H49" s="6">
        <v>65</v>
      </c>
      <c r="I49" s="6">
        <f t="shared" si="1"/>
        <v>0</v>
      </c>
      <c r="J49" s="7" t="str">
        <f t="shared" si="2"/>
        <v>PAGADO</v>
      </c>
    </row>
    <row r="50" spans="1:10" x14ac:dyDescent="0.25">
      <c r="A50" s="5">
        <v>45472</v>
      </c>
      <c r="B50" s="5"/>
      <c r="C50" t="s">
        <v>86</v>
      </c>
      <c r="D50" t="s">
        <v>84</v>
      </c>
      <c r="E50" s="6">
        <v>50</v>
      </c>
      <c r="F50" s="6">
        <v>70</v>
      </c>
      <c r="G50" s="6">
        <f t="shared" si="0"/>
        <v>20</v>
      </c>
      <c r="H50" s="6">
        <v>70</v>
      </c>
      <c r="I50" s="6">
        <f t="shared" si="1"/>
        <v>0</v>
      </c>
      <c r="J50" s="7" t="str">
        <f t="shared" si="2"/>
        <v>PAGADO</v>
      </c>
    </row>
    <row r="51" spans="1:10" x14ac:dyDescent="0.25">
      <c r="A51" s="5">
        <v>45472</v>
      </c>
      <c r="B51" s="5"/>
      <c r="C51" t="s">
        <v>86</v>
      </c>
      <c r="D51" t="s">
        <v>84</v>
      </c>
      <c r="E51" s="6">
        <v>50</v>
      </c>
      <c r="F51" s="6">
        <v>62</v>
      </c>
      <c r="G51" s="6">
        <f t="shared" si="0"/>
        <v>12</v>
      </c>
      <c r="H51" s="6">
        <v>62</v>
      </c>
      <c r="I51" s="6">
        <f t="shared" si="1"/>
        <v>0</v>
      </c>
      <c r="J51" s="7" t="str">
        <f t="shared" si="2"/>
        <v>PAGADO</v>
      </c>
    </row>
    <row r="52" spans="1:10" x14ac:dyDescent="0.25">
      <c r="A52" s="5">
        <v>45472</v>
      </c>
      <c r="B52" s="5"/>
      <c r="C52" t="s">
        <v>87</v>
      </c>
      <c r="D52" t="s">
        <v>84</v>
      </c>
      <c r="E52" s="6">
        <v>50</v>
      </c>
      <c r="F52" s="6">
        <v>63</v>
      </c>
      <c r="G52" s="6">
        <f t="shared" si="0"/>
        <v>13</v>
      </c>
      <c r="H52" s="6">
        <v>63</v>
      </c>
      <c r="I52" s="6">
        <f t="shared" si="1"/>
        <v>0</v>
      </c>
      <c r="J52" s="7" t="str">
        <f t="shared" si="2"/>
        <v>PAGADO</v>
      </c>
    </row>
    <row r="53" spans="1:10" x14ac:dyDescent="0.25">
      <c r="A53" s="5">
        <v>45472</v>
      </c>
      <c r="B53" s="5"/>
      <c r="C53" t="s">
        <v>88</v>
      </c>
      <c r="D53" t="s">
        <v>89</v>
      </c>
      <c r="E53" s="6">
        <v>67</v>
      </c>
      <c r="F53" s="6">
        <v>67</v>
      </c>
      <c r="G53" s="6">
        <f t="shared" si="0"/>
        <v>0</v>
      </c>
      <c r="H53" s="6">
        <v>67</v>
      </c>
      <c r="I53" s="6">
        <f t="shared" si="1"/>
        <v>0</v>
      </c>
      <c r="J53" s="7" t="str">
        <f t="shared" si="2"/>
        <v>PAGADO</v>
      </c>
    </row>
    <row r="54" spans="1:10" x14ac:dyDescent="0.25">
      <c r="A54" s="5">
        <v>45472</v>
      </c>
      <c r="B54" s="5"/>
      <c r="C54" t="s">
        <v>90</v>
      </c>
      <c r="D54" t="s">
        <v>91</v>
      </c>
      <c r="E54" s="6">
        <v>50</v>
      </c>
      <c r="F54" s="6">
        <v>63</v>
      </c>
      <c r="G54" s="6">
        <f t="shared" si="0"/>
        <v>13</v>
      </c>
      <c r="H54" s="6">
        <v>63</v>
      </c>
      <c r="I54" s="6">
        <f t="shared" si="1"/>
        <v>0</v>
      </c>
      <c r="J54" s="7" t="str">
        <f t="shared" si="2"/>
        <v>PAGADO</v>
      </c>
    </row>
    <row r="55" spans="1:10" x14ac:dyDescent="0.25">
      <c r="A55" s="5">
        <v>45472</v>
      </c>
      <c r="B55" s="5"/>
      <c r="C55" t="s">
        <v>92</v>
      </c>
      <c r="D55" t="s">
        <v>93</v>
      </c>
      <c r="E55" s="6">
        <v>50</v>
      </c>
      <c r="F55" s="6">
        <v>62</v>
      </c>
      <c r="G55" s="6">
        <f t="shared" si="0"/>
        <v>12</v>
      </c>
      <c r="H55" s="6">
        <v>62</v>
      </c>
      <c r="I55" s="6">
        <f t="shared" si="1"/>
        <v>0</v>
      </c>
      <c r="J55" s="7" t="str">
        <f t="shared" si="2"/>
        <v>PAGADO</v>
      </c>
    </row>
    <row r="56" spans="1:10" x14ac:dyDescent="0.25">
      <c r="A56" s="5">
        <v>45472</v>
      </c>
      <c r="B56" s="5"/>
      <c r="C56" t="s">
        <v>94</v>
      </c>
      <c r="D56" t="s">
        <v>95</v>
      </c>
      <c r="E56" s="6">
        <v>58</v>
      </c>
      <c r="F56" s="6">
        <v>85</v>
      </c>
      <c r="G56" s="6">
        <f t="shared" si="0"/>
        <v>27</v>
      </c>
      <c r="H56" s="6">
        <v>85</v>
      </c>
      <c r="I56" s="6">
        <f t="shared" si="1"/>
        <v>0</v>
      </c>
      <c r="J56" s="7" t="str">
        <f t="shared" si="2"/>
        <v>PAGADO</v>
      </c>
    </row>
    <row r="57" spans="1:10" x14ac:dyDescent="0.25">
      <c r="A57" s="5">
        <v>45472</v>
      </c>
      <c r="B57" s="5"/>
      <c r="C57" t="s">
        <v>96</v>
      </c>
      <c r="D57" t="s">
        <v>97</v>
      </c>
      <c r="E57" s="6">
        <v>63</v>
      </c>
      <c r="F57" s="6">
        <v>63</v>
      </c>
      <c r="G57" s="6">
        <f t="shared" si="0"/>
        <v>0</v>
      </c>
      <c r="H57" s="6">
        <v>63</v>
      </c>
      <c r="I57" s="6">
        <f t="shared" si="1"/>
        <v>0</v>
      </c>
      <c r="J57" s="7" t="str">
        <f t="shared" si="2"/>
        <v>PAGADO</v>
      </c>
    </row>
    <row r="58" spans="1:10" x14ac:dyDescent="0.25">
      <c r="A58" s="5">
        <v>45472</v>
      </c>
      <c r="B58" s="5"/>
      <c r="C58" t="s">
        <v>98</v>
      </c>
      <c r="D58" t="s">
        <v>99</v>
      </c>
      <c r="E58" s="6">
        <v>18.5</v>
      </c>
      <c r="F58" s="6">
        <v>37.32</v>
      </c>
      <c r="G58" s="6">
        <f t="shared" si="0"/>
        <v>18.82</v>
      </c>
      <c r="H58" s="6">
        <v>37.32</v>
      </c>
      <c r="I58" s="6">
        <f t="shared" si="1"/>
        <v>0</v>
      </c>
      <c r="J58" s="7" t="str">
        <f t="shared" si="2"/>
        <v>PAGADO</v>
      </c>
    </row>
    <row r="59" spans="1:10" x14ac:dyDescent="0.25">
      <c r="A59" s="5">
        <v>45472</v>
      </c>
      <c r="B59" s="5"/>
      <c r="C59" t="s">
        <v>100</v>
      </c>
      <c r="D59" s="9" t="s">
        <v>101</v>
      </c>
      <c r="E59" s="6">
        <v>58</v>
      </c>
      <c r="F59" s="6">
        <v>80</v>
      </c>
      <c r="G59" s="6">
        <f t="shared" si="0"/>
        <v>22</v>
      </c>
      <c r="H59" s="6">
        <v>80</v>
      </c>
      <c r="I59" s="6">
        <f t="shared" si="1"/>
        <v>0</v>
      </c>
      <c r="J59" s="7" t="str">
        <f t="shared" si="2"/>
        <v>PAGADO</v>
      </c>
    </row>
    <row r="60" spans="1:10" x14ac:dyDescent="0.25">
      <c r="A60" s="5">
        <v>45472</v>
      </c>
      <c r="B60" s="5"/>
      <c r="C60" t="s">
        <v>102</v>
      </c>
      <c r="D60" s="9" t="s">
        <v>101</v>
      </c>
      <c r="E60" s="6">
        <v>9</v>
      </c>
      <c r="F60" s="6">
        <v>20</v>
      </c>
      <c r="G60" s="6">
        <f t="shared" si="0"/>
        <v>11</v>
      </c>
      <c r="H60" s="6">
        <v>20</v>
      </c>
      <c r="I60" s="6">
        <f t="shared" si="1"/>
        <v>0</v>
      </c>
      <c r="J60" s="7" t="str">
        <f t="shared" si="2"/>
        <v>PAGADO</v>
      </c>
    </row>
    <row r="61" spans="1:10" x14ac:dyDescent="0.25">
      <c r="A61" s="5">
        <v>45472</v>
      </c>
      <c r="B61" s="5"/>
      <c r="C61" t="s">
        <v>102</v>
      </c>
      <c r="D61" s="9" t="s">
        <v>101</v>
      </c>
      <c r="E61" s="6">
        <v>9</v>
      </c>
      <c r="F61" s="6">
        <v>20</v>
      </c>
      <c r="G61" s="6">
        <f t="shared" si="0"/>
        <v>11</v>
      </c>
      <c r="H61" s="6">
        <v>20</v>
      </c>
      <c r="I61" s="6">
        <f t="shared" si="1"/>
        <v>0</v>
      </c>
      <c r="J61" s="7" t="str">
        <f t="shared" si="2"/>
        <v>PAGADO</v>
      </c>
    </row>
    <row r="62" spans="1:10" x14ac:dyDescent="0.25">
      <c r="A62" s="5">
        <v>45472</v>
      </c>
      <c r="B62" s="5"/>
      <c r="C62" t="s">
        <v>103</v>
      </c>
      <c r="D62" s="9" t="s">
        <v>101</v>
      </c>
      <c r="E62" s="6">
        <v>100</v>
      </c>
      <c r="F62" s="6">
        <v>100</v>
      </c>
      <c r="G62" s="6">
        <f t="shared" si="0"/>
        <v>0</v>
      </c>
      <c r="H62" s="6">
        <v>100</v>
      </c>
      <c r="I62" s="6">
        <f t="shared" si="1"/>
        <v>0</v>
      </c>
      <c r="J62" s="7" t="str">
        <f t="shared" si="2"/>
        <v>PAGADO</v>
      </c>
    </row>
    <row r="63" spans="1:10" x14ac:dyDescent="0.25">
      <c r="A63" s="5">
        <v>45472</v>
      </c>
      <c r="B63" s="5"/>
      <c r="C63" t="s">
        <v>104</v>
      </c>
      <c r="D63" s="9" t="s">
        <v>101</v>
      </c>
      <c r="E63" s="6">
        <v>150</v>
      </c>
      <c r="F63" s="6">
        <v>185</v>
      </c>
      <c r="G63" s="6">
        <f t="shared" si="0"/>
        <v>35</v>
      </c>
      <c r="H63" s="6">
        <v>185</v>
      </c>
      <c r="I63" s="6">
        <f t="shared" si="1"/>
        <v>0</v>
      </c>
      <c r="J63" s="7" t="str">
        <f t="shared" si="2"/>
        <v>PAGADO</v>
      </c>
    </row>
    <row r="64" spans="1:10" x14ac:dyDescent="0.25">
      <c r="A64" s="5">
        <v>45472</v>
      </c>
      <c r="B64" s="5"/>
      <c r="C64" t="s">
        <v>102</v>
      </c>
      <c r="D64" t="s">
        <v>105</v>
      </c>
      <c r="E64" s="6">
        <v>9</v>
      </c>
      <c r="F64" s="6">
        <v>20</v>
      </c>
      <c r="G64" s="6">
        <f t="shared" si="0"/>
        <v>11</v>
      </c>
      <c r="H64" s="6">
        <v>20</v>
      </c>
      <c r="I64" s="6">
        <f t="shared" si="1"/>
        <v>0</v>
      </c>
      <c r="J64" s="7" t="str">
        <f t="shared" si="2"/>
        <v>PAGADO</v>
      </c>
    </row>
    <row r="65" spans="1:10" x14ac:dyDescent="0.25">
      <c r="A65" s="5">
        <v>45472</v>
      </c>
      <c r="B65" s="5"/>
      <c r="C65" t="s">
        <v>106</v>
      </c>
      <c r="D65" t="s">
        <v>23</v>
      </c>
      <c r="E65" s="6">
        <v>50</v>
      </c>
      <c r="F65" s="6">
        <v>50</v>
      </c>
      <c r="G65" s="6">
        <f t="shared" si="0"/>
        <v>0</v>
      </c>
      <c r="H65" s="6">
        <v>50</v>
      </c>
      <c r="I65" s="6">
        <f t="shared" si="1"/>
        <v>0</v>
      </c>
      <c r="J65" s="7" t="str">
        <f t="shared" si="2"/>
        <v>PAGADO</v>
      </c>
    </row>
    <row r="66" spans="1:10" x14ac:dyDescent="0.25">
      <c r="A66" s="5">
        <v>45472</v>
      </c>
      <c r="B66" s="5"/>
      <c r="C66" t="s">
        <v>107</v>
      </c>
      <c r="D66" t="s">
        <v>27</v>
      </c>
      <c r="E66" s="6">
        <v>58</v>
      </c>
      <c r="F66" s="6">
        <v>80</v>
      </c>
      <c r="G66" s="6">
        <f t="shared" ref="G66:G129" si="3">F66-E66</f>
        <v>22</v>
      </c>
      <c r="H66" s="6">
        <v>80</v>
      </c>
      <c r="I66" s="6">
        <f t="shared" ref="I66:I129" si="4">F66-H66</f>
        <v>0</v>
      </c>
      <c r="J66" s="7" t="str">
        <f t="shared" ref="J66:J129" si="5">IF(I66&gt;0,"DEBE","PAGADO")</f>
        <v>PAGADO</v>
      </c>
    </row>
    <row r="67" spans="1:10" x14ac:dyDescent="0.25">
      <c r="A67" s="5">
        <v>45472</v>
      </c>
      <c r="B67" s="5"/>
      <c r="C67" t="s">
        <v>108</v>
      </c>
      <c r="D67" t="s">
        <v>27</v>
      </c>
      <c r="E67" s="6">
        <v>5</v>
      </c>
      <c r="F67" s="6">
        <v>12</v>
      </c>
      <c r="G67" s="6">
        <f t="shared" si="3"/>
        <v>7</v>
      </c>
      <c r="H67" s="6">
        <v>12</v>
      </c>
      <c r="I67" s="6">
        <f t="shared" si="4"/>
        <v>0</v>
      </c>
      <c r="J67" s="7" t="str">
        <f t="shared" si="5"/>
        <v>PAGADO</v>
      </c>
    </row>
    <row r="68" spans="1:10" x14ac:dyDescent="0.25">
      <c r="A68" s="5">
        <v>45472</v>
      </c>
      <c r="B68" s="5"/>
      <c r="C68" t="s">
        <v>109</v>
      </c>
      <c r="D68" t="s">
        <v>27</v>
      </c>
      <c r="E68" s="6">
        <v>10</v>
      </c>
      <c r="F68" s="6">
        <v>15</v>
      </c>
      <c r="G68" s="6">
        <f t="shared" si="3"/>
        <v>5</v>
      </c>
      <c r="H68" s="6">
        <v>15</v>
      </c>
      <c r="I68" s="6">
        <f t="shared" si="4"/>
        <v>0</v>
      </c>
      <c r="J68" s="7" t="str">
        <f t="shared" si="5"/>
        <v>PAGADO</v>
      </c>
    </row>
    <row r="69" spans="1:10" x14ac:dyDescent="0.25">
      <c r="A69" s="5">
        <v>45472</v>
      </c>
      <c r="B69" s="5"/>
      <c r="C69" t="s">
        <v>110</v>
      </c>
      <c r="D69" t="s">
        <v>27</v>
      </c>
      <c r="E69" s="6">
        <v>5</v>
      </c>
      <c r="F69" s="6">
        <v>7</v>
      </c>
      <c r="G69" s="6">
        <f t="shared" si="3"/>
        <v>2</v>
      </c>
      <c r="H69" s="6">
        <v>7</v>
      </c>
      <c r="I69" s="6">
        <f t="shared" si="4"/>
        <v>0</v>
      </c>
      <c r="J69" s="7" t="str">
        <f t="shared" si="5"/>
        <v>PAGADO</v>
      </c>
    </row>
    <row r="70" spans="1:10" x14ac:dyDescent="0.25">
      <c r="A70" s="5">
        <v>45472</v>
      </c>
      <c r="B70" s="5"/>
      <c r="C70" t="s">
        <v>111</v>
      </c>
      <c r="D70" t="s">
        <v>27</v>
      </c>
      <c r="E70" s="6">
        <v>5</v>
      </c>
      <c r="F70" s="6">
        <v>5</v>
      </c>
      <c r="G70" s="6">
        <f t="shared" si="3"/>
        <v>0</v>
      </c>
      <c r="H70" s="6">
        <v>5</v>
      </c>
      <c r="I70" s="6">
        <f t="shared" si="4"/>
        <v>0</v>
      </c>
      <c r="J70" s="7" t="str">
        <f t="shared" si="5"/>
        <v>PAGADO</v>
      </c>
    </row>
    <row r="71" spans="1:10" x14ac:dyDescent="0.25">
      <c r="A71" s="5">
        <v>45472</v>
      </c>
      <c r="B71" s="5"/>
      <c r="C71" t="s">
        <v>112</v>
      </c>
      <c r="D71" t="s">
        <v>27</v>
      </c>
      <c r="E71" s="6">
        <v>5</v>
      </c>
      <c r="F71" s="6">
        <v>11</v>
      </c>
      <c r="G71" s="6">
        <f t="shared" si="3"/>
        <v>6</v>
      </c>
      <c r="H71" s="6">
        <v>11</v>
      </c>
      <c r="I71" s="6">
        <f t="shared" si="4"/>
        <v>0</v>
      </c>
      <c r="J71" s="7" t="str">
        <f t="shared" si="5"/>
        <v>PAGADO</v>
      </c>
    </row>
    <row r="72" spans="1:10" x14ac:dyDescent="0.25">
      <c r="A72" s="5">
        <v>45472</v>
      </c>
      <c r="B72" s="5"/>
      <c r="C72" t="s">
        <v>113</v>
      </c>
      <c r="D72" t="s">
        <v>27</v>
      </c>
      <c r="E72" s="6">
        <v>10</v>
      </c>
      <c r="F72" s="6">
        <v>10</v>
      </c>
      <c r="G72" s="6">
        <f t="shared" si="3"/>
        <v>0</v>
      </c>
      <c r="H72" s="6">
        <v>10</v>
      </c>
      <c r="I72" s="6">
        <f t="shared" si="4"/>
        <v>0</v>
      </c>
      <c r="J72" s="7" t="str">
        <f t="shared" si="5"/>
        <v>PAGADO</v>
      </c>
    </row>
    <row r="73" spans="1:10" x14ac:dyDescent="0.25">
      <c r="A73" s="5">
        <v>45472</v>
      </c>
      <c r="B73" s="5"/>
      <c r="C73" t="s">
        <v>114</v>
      </c>
      <c r="D73" t="s">
        <v>27</v>
      </c>
      <c r="E73" s="6">
        <v>5</v>
      </c>
      <c r="F73" s="6">
        <v>25</v>
      </c>
      <c r="G73" s="6">
        <f t="shared" si="3"/>
        <v>20</v>
      </c>
      <c r="H73" s="6">
        <v>25</v>
      </c>
      <c r="I73" s="6">
        <f t="shared" si="4"/>
        <v>0</v>
      </c>
      <c r="J73" s="7" t="str">
        <f t="shared" si="5"/>
        <v>PAGADO</v>
      </c>
    </row>
    <row r="74" spans="1:10" x14ac:dyDescent="0.25">
      <c r="A74" s="5">
        <v>45472</v>
      </c>
      <c r="B74" s="5"/>
      <c r="C74" t="s">
        <v>115</v>
      </c>
      <c r="D74" t="s">
        <v>27</v>
      </c>
      <c r="E74" s="6">
        <v>5</v>
      </c>
      <c r="F74" s="6">
        <v>12</v>
      </c>
      <c r="G74" s="6">
        <f t="shared" si="3"/>
        <v>7</v>
      </c>
      <c r="H74" s="6">
        <v>12</v>
      </c>
      <c r="I74" s="6">
        <f t="shared" si="4"/>
        <v>0</v>
      </c>
      <c r="J74" s="7" t="str">
        <f t="shared" si="5"/>
        <v>PAGADO</v>
      </c>
    </row>
    <row r="75" spans="1:10" x14ac:dyDescent="0.25">
      <c r="A75" s="5">
        <v>45472</v>
      </c>
      <c r="B75" s="5"/>
      <c r="C75" t="s">
        <v>116</v>
      </c>
      <c r="D75" t="s">
        <v>27</v>
      </c>
      <c r="E75" s="6">
        <v>5</v>
      </c>
      <c r="F75" s="6">
        <v>6</v>
      </c>
      <c r="G75" s="6">
        <f t="shared" si="3"/>
        <v>1</v>
      </c>
      <c r="H75" s="6">
        <v>6</v>
      </c>
      <c r="I75" s="6">
        <f t="shared" si="4"/>
        <v>0</v>
      </c>
      <c r="J75" s="7" t="str">
        <f t="shared" si="5"/>
        <v>PAGADO</v>
      </c>
    </row>
    <row r="76" spans="1:10" x14ac:dyDescent="0.25">
      <c r="A76" s="5">
        <v>45472</v>
      </c>
      <c r="B76" s="5"/>
      <c r="C76" t="s">
        <v>117</v>
      </c>
      <c r="D76" t="s">
        <v>27</v>
      </c>
      <c r="E76" s="6">
        <v>5</v>
      </c>
      <c r="F76" s="6">
        <v>10</v>
      </c>
      <c r="G76" s="6">
        <f t="shared" si="3"/>
        <v>5</v>
      </c>
      <c r="H76" s="6">
        <v>10</v>
      </c>
      <c r="I76" s="6">
        <f t="shared" si="4"/>
        <v>0</v>
      </c>
      <c r="J76" s="7" t="str">
        <f t="shared" si="5"/>
        <v>PAGADO</v>
      </c>
    </row>
    <row r="77" spans="1:10" x14ac:dyDescent="0.25">
      <c r="A77" s="5">
        <v>45472</v>
      </c>
      <c r="B77" s="5"/>
      <c r="C77" t="s">
        <v>118</v>
      </c>
      <c r="D77" t="s">
        <v>27</v>
      </c>
      <c r="E77" s="6">
        <v>5</v>
      </c>
      <c r="F77" s="6">
        <v>12</v>
      </c>
      <c r="G77" s="6">
        <f t="shared" si="3"/>
        <v>7</v>
      </c>
      <c r="H77" s="6">
        <v>12</v>
      </c>
      <c r="I77" s="6">
        <f t="shared" si="4"/>
        <v>0</v>
      </c>
      <c r="J77" s="7" t="str">
        <f t="shared" si="5"/>
        <v>PAGADO</v>
      </c>
    </row>
    <row r="78" spans="1:10" x14ac:dyDescent="0.25">
      <c r="A78" s="5">
        <v>45472</v>
      </c>
      <c r="B78" s="5"/>
      <c r="C78" t="s">
        <v>119</v>
      </c>
      <c r="D78" t="s">
        <v>45</v>
      </c>
      <c r="E78" s="6">
        <v>5</v>
      </c>
      <c r="F78" s="6">
        <v>7</v>
      </c>
      <c r="G78" s="6">
        <f t="shared" si="3"/>
        <v>2</v>
      </c>
      <c r="H78" s="6">
        <v>7</v>
      </c>
      <c r="I78" s="6">
        <f t="shared" si="4"/>
        <v>0</v>
      </c>
      <c r="J78" s="7" t="str">
        <f t="shared" si="5"/>
        <v>PAGADO</v>
      </c>
    </row>
    <row r="79" spans="1:10" x14ac:dyDescent="0.25">
      <c r="A79" s="5">
        <v>45472</v>
      </c>
      <c r="B79" s="5"/>
      <c r="C79" t="s">
        <v>120</v>
      </c>
      <c r="D79" t="s">
        <v>45</v>
      </c>
      <c r="E79" s="6">
        <v>5</v>
      </c>
      <c r="F79" s="6">
        <v>8</v>
      </c>
      <c r="G79" s="6">
        <f t="shared" si="3"/>
        <v>3</v>
      </c>
      <c r="H79" s="6">
        <v>8</v>
      </c>
      <c r="I79" s="6">
        <f t="shared" si="4"/>
        <v>0</v>
      </c>
      <c r="J79" s="7" t="str">
        <f t="shared" si="5"/>
        <v>PAGADO</v>
      </c>
    </row>
    <row r="80" spans="1:10" x14ac:dyDescent="0.25">
      <c r="A80" s="5">
        <v>45472</v>
      </c>
      <c r="B80" s="5"/>
      <c r="C80" t="s">
        <v>121</v>
      </c>
      <c r="D80" t="s">
        <v>45</v>
      </c>
      <c r="E80" s="6">
        <v>5</v>
      </c>
      <c r="F80" s="6">
        <v>9</v>
      </c>
      <c r="G80" s="6">
        <f t="shared" si="3"/>
        <v>4</v>
      </c>
      <c r="H80" s="6">
        <v>9</v>
      </c>
      <c r="I80" s="6">
        <f t="shared" si="4"/>
        <v>0</v>
      </c>
      <c r="J80" s="7" t="str">
        <f t="shared" si="5"/>
        <v>PAGADO</v>
      </c>
    </row>
    <row r="81" spans="1:10" x14ac:dyDescent="0.25">
      <c r="A81" s="5">
        <v>45472</v>
      </c>
      <c r="B81" s="5"/>
      <c r="C81" t="s">
        <v>122</v>
      </c>
      <c r="D81" t="s">
        <v>45</v>
      </c>
      <c r="E81" s="6">
        <v>4.5</v>
      </c>
      <c r="F81" s="6">
        <v>6</v>
      </c>
      <c r="G81" s="6">
        <f t="shared" si="3"/>
        <v>1.5</v>
      </c>
      <c r="H81" s="6">
        <v>6</v>
      </c>
      <c r="I81" s="6">
        <f t="shared" si="4"/>
        <v>0</v>
      </c>
      <c r="J81" s="7" t="str">
        <f t="shared" si="5"/>
        <v>PAGADO</v>
      </c>
    </row>
    <row r="82" spans="1:10" x14ac:dyDescent="0.25">
      <c r="A82" s="5">
        <v>45472</v>
      </c>
      <c r="B82" s="5"/>
      <c r="C82" t="s">
        <v>123</v>
      </c>
      <c r="D82" t="s">
        <v>124</v>
      </c>
      <c r="E82" s="6">
        <v>5</v>
      </c>
      <c r="F82" s="6">
        <v>12</v>
      </c>
      <c r="G82" s="6">
        <f t="shared" si="3"/>
        <v>7</v>
      </c>
      <c r="H82" s="6">
        <v>12</v>
      </c>
      <c r="I82" s="6">
        <f t="shared" si="4"/>
        <v>0</v>
      </c>
      <c r="J82" s="7" t="str">
        <f t="shared" si="5"/>
        <v>PAGADO</v>
      </c>
    </row>
    <row r="83" spans="1:10" x14ac:dyDescent="0.25">
      <c r="A83" s="5">
        <v>45472</v>
      </c>
      <c r="B83" s="5"/>
      <c r="C83" t="s">
        <v>125</v>
      </c>
      <c r="D83" t="s">
        <v>89</v>
      </c>
      <c r="E83" s="6">
        <v>5</v>
      </c>
      <c r="F83" s="6">
        <v>10</v>
      </c>
      <c r="G83" s="6">
        <f t="shared" si="3"/>
        <v>5</v>
      </c>
      <c r="H83" s="6">
        <v>10</v>
      </c>
      <c r="I83" s="6">
        <f t="shared" si="4"/>
        <v>0</v>
      </c>
      <c r="J83" s="7" t="str">
        <f t="shared" si="5"/>
        <v>PAGADO</v>
      </c>
    </row>
    <row r="84" spans="1:10" x14ac:dyDescent="0.25">
      <c r="A84" s="5">
        <v>45472</v>
      </c>
      <c r="B84" s="5"/>
      <c r="C84" t="s">
        <v>126</v>
      </c>
      <c r="D84" t="s">
        <v>127</v>
      </c>
      <c r="E84" s="6">
        <v>5</v>
      </c>
      <c r="F84" s="6">
        <v>11</v>
      </c>
      <c r="G84" s="6">
        <f t="shared" si="3"/>
        <v>6</v>
      </c>
      <c r="H84" s="6">
        <v>11</v>
      </c>
      <c r="I84" s="6">
        <f t="shared" si="4"/>
        <v>0</v>
      </c>
      <c r="J84" s="7" t="str">
        <f t="shared" si="5"/>
        <v>PAGADO</v>
      </c>
    </row>
    <row r="85" spans="1:10" x14ac:dyDescent="0.25">
      <c r="A85" s="5">
        <v>45472</v>
      </c>
      <c r="B85" s="5"/>
      <c r="C85" t="s">
        <v>128</v>
      </c>
      <c r="D85" t="s">
        <v>129</v>
      </c>
      <c r="E85" s="6">
        <v>5</v>
      </c>
      <c r="F85" s="6">
        <v>8</v>
      </c>
      <c r="G85" s="6">
        <f t="shared" si="3"/>
        <v>3</v>
      </c>
      <c r="H85" s="6">
        <v>8</v>
      </c>
      <c r="I85" s="6">
        <f t="shared" si="4"/>
        <v>0</v>
      </c>
      <c r="J85" s="7" t="str">
        <f t="shared" si="5"/>
        <v>PAGADO</v>
      </c>
    </row>
    <row r="86" spans="1:10" x14ac:dyDescent="0.25">
      <c r="A86" s="5">
        <v>45472</v>
      </c>
      <c r="B86" s="5"/>
      <c r="C86" t="s">
        <v>130</v>
      </c>
      <c r="D86" t="s">
        <v>131</v>
      </c>
      <c r="E86" s="6">
        <v>4.5</v>
      </c>
      <c r="F86" s="6">
        <v>10</v>
      </c>
      <c r="G86" s="6">
        <f t="shared" si="3"/>
        <v>5.5</v>
      </c>
      <c r="H86" s="6">
        <v>10</v>
      </c>
      <c r="I86" s="6">
        <f t="shared" si="4"/>
        <v>0</v>
      </c>
      <c r="J86" s="7" t="str">
        <f t="shared" si="5"/>
        <v>PAGADO</v>
      </c>
    </row>
    <row r="87" spans="1:10" x14ac:dyDescent="0.25">
      <c r="A87" s="5">
        <v>45472</v>
      </c>
      <c r="B87" s="5"/>
      <c r="C87" t="s">
        <v>132</v>
      </c>
      <c r="D87" t="s">
        <v>131</v>
      </c>
      <c r="E87" s="6">
        <v>5</v>
      </c>
      <c r="F87" s="6">
        <v>15</v>
      </c>
      <c r="G87" s="6">
        <f t="shared" si="3"/>
        <v>10</v>
      </c>
      <c r="H87" s="6">
        <v>15</v>
      </c>
      <c r="I87" s="6">
        <f t="shared" si="4"/>
        <v>0</v>
      </c>
      <c r="J87" s="7" t="str">
        <f t="shared" si="5"/>
        <v>PAGADO</v>
      </c>
    </row>
    <row r="88" spans="1:10" x14ac:dyDescent="0.25">
      <c r="A88" s="5">
        <v>45472</v>
      </c>
      <c r="B88" s="5"/>
      <c r="C88" t="s">
        <v>133</v>
      </c>
      <c r="D88" t="s">
        <v>99</v>
      </c>
      <c r="E88" s="6">
        <v>5</v>
      </c>
      <c r="F88" s="6">
        <v>10</v>
      </c>
      <c r="G88" s="6">
        <f t="shared" si="3"/>
        <v>5</v>
      </c>
      <c r="H88" s="6">
        <v>10</v>
      </c>
      <c r="I88" s="6">
        <f t="shared" si="4"/>
        <v>0</v>
      </c>
      <c r="J88" s="7" t="str">
        <f t="shared" si="5"/>
        <v>PAGADO</v>
      </c>
    </row>
    <row r="89" spans="1:10" x14ac:dyDescent="0.25">
      <c r="A89" s="5">
        <v>45472</v>
      </c>
      <c r="B89" s="5"/>
      <c r="C89" t="s">
        <v>134</v>
      </c>
      <c r="D89" t="s">
        <v>99</v>
      </c>
      <c r="E89" s="6">
        <v>5</v>
      </c>
      <c r="F89" s="6">
        <v>10</v>
      </c>
      <c r="G89" s="6">
        <f t="shared" si="3"/>
        <v>5</v>
      </c>
      <c r="H89" s="6">
        <v>10</v>
      </c>
      <c r="I89" s="6">
        <f t="shared" si="4"/>
        <v>0</v>
      </c>
      <c r="J89" s="7" t="str">
        <f t="shared" si="5"/>
        <v>PAGADO</v>
      </c>
    </row>
    <row r="90" spans="1:10" x14ac:dyDescent="0.25">
      <c r="A90" s="5">
        <v>45472</v>
      </c>
      <c r="B90" s="5"/>
      <c r="C90" t="s">
        <v>135</v>
      </c>
      <c r="D90" t="s">
        <v>136</v>
      </c>
      <c r="E90" s="6">
        <v>5</v>
      </c>
      <c r="F90" s="6">
        <v>11</v>
      </c>
      <c r="G90" s="6">
        <f t="shared" si="3"/>
        <v>6</v>
      </c>
      <c r="H90" s="6">
        <v>11</v>
      </c>
      <c r="I90" s="6">
        <f t="shared" si="4"/>
        <v>0</v>
      </c>
      <c r="J90" s="7" t="str">
        <f t="shared" si="5"/>
        <v>PAGADO</v>
      </c>
    </row>
    <row r="91" spans="1:10" x14ac:dyDescent="0.25">
      <c r="A91" s="5">
        <v>45472</v>
      </c>
      <c r="B91" s="5"/>
      <c r="C91" t="s">
        <v>137</v>
      </c>
      <c r="D91" t="s">
        <v>136</v>
      </c>
      <c r="E91" s="6">
        <v>20</v>
      </c>
      <c r="F91" s="6">
        <v>20</v>
      </c>
      <c r="G91" s="6">
        <f t="shared" si="3"/>
        <v>0</v>
      </c>
      <c r="H91" s="6">
        <v>20</v>
      </c>
      <c r="I91" s="6">
        <f t="shared" si="4"/>
        <v>0</v>
      </c>
      <c r="J91" s="7" t="str">
        <f t="shared" si="5"/>
        <v>PAGADO</v>
      </c>
    </row>
    <row r="92" spans="1:10" x14ac:dyDescent="0.25">
      <c r="A92" s="5">
        <v>45472</v>
      </c>
      <c r="B92" s="5"/>
      <c r="C92" t="s">
        <v>138</v>
      </c>
      <c r="D92" t="s">
        <v>136</v>
      </c>
      <c r="E92" s="6">
        <v>5</v>
      </c>
      <c r="F92" s="6">
        <v>6</v>
      </c>
      <c r="G92" s="6">
        <f t="shared" si="3"/>
        <v>1</v>
      </c>
      <c r="H92" s="6">
        <v>6</v>
      </c>
      <c r="I92" s="6">
        <f t="shared" si="4"/>
        <v>0</v>
      </c>
      <c r="J92" s="7" t="str">
        <f t="shared" si="5"/>
        <v>PAGADO</v>
      </c>
    </row>
    <row r="93" spans="1:10" x14ac:dyDescent="0.25">
      <c r="A93" s="5">
        <v>45472</v>
      </c>
      <c r="B93" s="5"/>
      <c r="C93" t="s">
        <v>139</v>
      </c>
      <c r="D93" t="s">
        <v>136</v>
      </c>
      <c r="E93" s="6">
        <v>20</v>
      </c>
      <c r="F93" s="6">
        <v>20</v>
      </c>
      <c r="G93" s="6">
        <f t="shared" si="3"/>
        <v>0</v>
      </c>
      <c r="H93" s="6">
        <v>20</v>
      </c>
      <c r="I93" s="6">
        <f t="shared" si="4"/>
        <v>0</v>
      </c>
      <c r="J93" s="7" t="str">
        <f t="shared" si="5"/>
        <v>PAGADO</v>
      </c>
    </row>
    <row r="94" spans="1:10" x14ac:dyDescent="0.25">
      <c r="A94" s="5">
        <v>45472</v>
      </c>
      <c r="B94" s="5"/>
      <c r="C94" t="s">
        <v>96</v>
      </c>
      <c r="D94" t="s">
        <v>136</v>
      </c>
      <c r="E94" s="6">
        <v>5</v>
      </c>
      <c r="F94" s="6">
        <v>11</v>
      </c>
      <c r="G94" s="6">
        <f t="shared" si="3"/>
        <v>6</v>
      </c>
      <c r="H94" s="6">
        <v>11</v>
      </c>
      <c r="I94" s="6">
        <f t="shared" si="4"/>
        <v>0</v>
      </c>
      <c r="J94" s="7" t="str">
        <f t="shared" si="5"/>
        <v>PAGADO</v>
      </c>
    </row>
    <row r="95" spans="1:10" x14ac:dyDescent="0.25">
      <c r="A95" s="5">
        <v>45472</v>
      </c>
      <c r="B95" s="5"/>
      <c r="C95" t="s">
        <v>140</v>
      </c>
      <c r="D95" t="s">
        <v>136</v>
      </c>
      <c r="E95" s="6">
        <v>5</v>
      </c>
      <c r="F95" s="6">
        <v>6</v>
      </c>
      <c r="G95" s="6">
        <f t="shared" si="3"/>
        <v>1</v>
      </c>
      <c r="H95" s="6">
        <v>6</v>
      </c>
      <c r="I95" s="6">
        <f t="shared" si="4"/>
        <v>0</v>
      </c>
      <c r="J95" s="7" t="str">
        <f t="shared" si="5"/>
        <v>PAGADO</v>
      </c>
    </row>
    <row r="96" spans="1:10" x14ac:dyDescent="0.25">
      <c r="A96" s="5">
        <v>45472</v>
      </c>
      <c r="B96" s="5"/>
      <c r="C96" t="s">
        <v>141</v>
      </c>
      <c r="D96" t="s">
        <v>136</v>
      </c>
      <c r="E96" s="6">
        <v>5</v>
      </c>
      <c r="F96" s="6">
        <v>8</v>
      </c>
      <c r="G96" s="6">
        <f t="shared" si="3"/>
        <v>3</v>
      </c>
      <c r="H96" s="6">
        <v>8</v>
      </c>
      <c r="I96" s="6">
        <f t="shared" si="4"/>
        <v>0</v>
      </c>
      <c r="J96" s="7" t="str">
        <f t="shared" si="5"/>
        <v>PAGADO</v>
      </c>
    </row>
    <row r="97" spans="1:11" x14ac:dyDescent="0.25">
      <c r="A97" s="5">
        <v>45472</v>
      </c>
      <c r="B97" s="5"/>
      <c r="C97" t="s">
        <v>142</v>
      </c>
      <c r="D97" t="s">
        <v>18</v>
      </c>
      <c r="E97" s="6">
        <v>175</v>
      </c>
      <c r="F97" s="6">
        <v>230</v>
      </c>
      <c r="G97" s="6">
        <f t="shared" si="3"/>
        <v>55</v>
      </c>
      <c r="H97" s="6">
        <v>230</v>
      </c>
      <c r="I97" s="6">
        <f t="shared" si="4"/>
        <v>0</v>
      </c>
      <c r="J97" s="7" t="str">
        <f t="shared" si="5"/>
        <v>PAGADO</v>
      </c>
    </row>
    <row r="98" spans="1:11" x14ac:dyDescent="0.25">
      <c r="A98" s="5">
        <v>45472</v>
      </c>
      <c r="B98" s="5"/>
      <c r="C98" t="s">
        <v>143</v>
      </c>
      <c r="D98" t="s">
        <v>18</v>
      </c>
      <c r="E98" s="6">
        <v>55</v>
      </c>
      <c r="F98" s="6">
        <v>70</v>
      </c>
      <c r="G98" s="6">
        <f t="shared" si="3"/>
        <v>15</v>
      </c>
      <c r="H98" s="6">
        <v>70</v>
      </c>
      <c r="I98" s="6">
        <f t="shared" si="4"/>
        <v>0</v>
      </c>
      <c r="J98" s="7" t="str">
        <f t="shared" si="5"/>
        <v>PAGADO</v>
      </c>
    </row>
    <row r="99" spans="1:11" x14ac:dyDescent="0.25">
      <c r="A99" s="5">
        <v>45472</v>
      </c>
      <c r="B99" s="5"/>
      <c r="C99" t="s">
        <v>144</v>
      </c>
      <c r="D99" t="s">
        <v>27</v>
      </c>
      <c r="E99" s="6">
        <v>41.43</v>
      </c>
      <c r="F99" s="6">
        <v>75</v>
      </c>
      <c r="G99" s="6">
        <f t="shared" si="3"/>
        <v>33.57</v>
      </c>
      <c r="H99" s="6">
        <v>75</v>
      </c>
      <c r="I99" s="6">
        <f t="shared" si="4"/>
        <v>0</v>
      </c>
      <c r="J99" s="7" t="str">
        <f t="shared" si="5"/>
        <v>PAGADO</v>
      </c>
    </row>
    <row r="100" spans="1:11" x14ac:dyDescent="0.25">
      <c r="A100" s="5">
        <v>45472</v>
      </c>
      <c r="B100" s="5"/>
      <c r="C100" t="s">
        <v>145</v>
      </c>
      <c r="D100" t="s">
        <v>27</v>
      </c>
      <c r="E100" s="6">
        <v>82.86</v>
      </c>
      <c r="F100" s="6">
        <v>130</v>
      </c>
      <c r="G100" s="6">
        <f t="shared" si="3"/>
        <v>47.14</v>
      </c>
      <c r="H100" s="6">
        <v>130</v>
      </c>
      <c r="I100" s="6">
        <f t="shared" si="4"/>
        <v>0</v>
      </c>
      <c r="J100" s="7" t="str">
        <f t="shared" si="5"/>
        <v>PAGADO</v>
      </c>
    </row>
    <row r="101" spans="1:11" x14ac:dyDescent="0.25">
      <c r="A101" s="5">
        <v>45473</v>
      </c>
      <c r="B101" s="5"/>
      <c r="C101" s="9" t="s">
        <v>146</v>
      </c>
      <c r="D101" s="9" t="s">
        <v>147</v>
      </c>
      <c r="F101" s="11">
        <v>30</v>
      </c>
      <c r="G101" s="6">
        <f t="shared" si="3"/>
        <v>30</v>
      </c>
      <c r="H101" s="6">
        <f>F101</f>
        <v>30</v>
      </c>
      <c r="I101" s="6">
        <f t="shared" si="4"/>
        <v>0</v>
      </c>
      <c r="J101" s="7" t="str">
        <f t="shared" si="5"/>
        <v>PAGADO</v>
      </c>
    </row>
    <row r="102" spans="1:11" x14ac:dyDescent="0.25">
      <c r="A102" s="5">
        <v>45473</v>
      </c>
      <c r="B102" s="5"/>
      <c r="C102" s="9" t="s">
        <v>148</v>
      </c>
      <c r="D102" s="9" t="s">
        <v>147</v>
      </c>
      <c r="F102" s="6">
        <v>25</v>
      </c>
      <c r="G102" s="6">
        <f t="shared" si="3"/>
        <v>25</v>
      </c>
      <c r="H102" s="6">
        <f>F102</f>
        <v>25</v>
      </c>
      <c r="I102" s="6">
        <f t="shared" si="4"/>
        <v>0</v>
      </c>
      <c r="J102" s="7" t="str">
        <f t="shared" si="5"/>
        <v>PAGADO</v>
      </c>
    </row>
    <row r="103" spans="1:11" x14ac:dyDescent="0.25">
      <c r="A103" s="5">
        <v>45473</v>
      </c>
      <c r="B103" s="5"/>
      <c r="C103" s="9" t="s">
        <v>149</v>
      </c>
      <c r="D103" t="s">
        <v>45</v>
      </c>
      <c r="F103" s="6">
        <v>13</v>
      </c>
      <c r="G103" s="6">
        <f t="shared" si="3"/>
        <v>13</v>
      </c>
      <c r="H103" s="6">
        <f>F103</f>
        <v>13</v>
      </c>
      <c r="I103" s="6">
        <f t="shared" si="4"/>
        <v>0</v>
      </c>
      <c r="J103" s="7" t="str">
        <f t="shared" si="5"/>
        <v>PAGADO</v>
      </c>
    </row>
    <row r="104" spans="1:11" x14ac:dyDescent="0.25">
      <c r="A104" s="5">
        <v>45473</v>
      </c>
      <c r="B104" s="5"/>
      <c r="C104" s="9" t="s">
        <v>150</v>
      </c>
      <c r="D104" t="s">
        <v>45</v>
      </c>
      <c r="F104" s="6">
        <v>16</v>
      </c>
      <c r="G104" s="6">
        <f t="shared" si="3"/>
        <v>16</v>
      </c>
      <c r="H104" s="6">
        <f>F104</f>
        <v>16</v>
      </c>
      <c r="I104" s="6">
        <f t="shared" si="4"/>
        <v>0</v>
      </c>
      <c r="J104" s="7" t="str">
        <f t="shared" si="5"/>
        <v>PAGADO</v>
      </c>
    </row>
    <row r="105" spans="1:11" x14ac:dyDescent="0.25">
      <c r="A105" s="5">
        <v>45473</v>
      </c>
      <c r="B105" s="5"/>
      <c r="C105" s="9" t="s">
        <v>151</v>
      </c>
      <c r="D105" t="s">
        <v>84</v>
      </c>
      <c r="F105" s="6">
        <v>70</v>
      </c>
      <c r="G105" s="6">
        <f t="shared" si="3"/>
        <v>70</v>
      </c>
      <c r="H105" s="6">
        <v>70</v>
      </c>
      <c r="I105" s="6">
        <f t="shared" si="4"/>
        <v>0</v>
      </c>
      <c r="J105" s="7" t="str">
        <f t="shared" si="5"/>
        <v>PAGADO</v>
      </c>
    </row>
    <row r="106" spans="1:11" x14ac:dyDescent="0.25">
      <c r="A106" s="5">
        <v>45473</v>
      </c>
      <c r="B106" s="5"/>
      <c r="C106" s="9" t="s">
        <v>152</v>
      </c>
      <c r="D106" s="9" t="s">
        <v>153</v>
      </c>
      <c r="F106" s="6">
        <v>155</v>
      </c>
      <c r="G106" s="6">
        <f t="shared" si="3"/>
        <v>155</v>
      </c>
      <c r="H106" s="6">
        <f>77.5+77.5</f>
        <v>155</v>
      </c>
      <c r="I106" s="6">
        <f t="shared" si="4"/>
        <v>0</v>
      </c>
      <c r="J106" s="7" t="str">
        <f t="shared" si="5"/>
        <v>PAGADO</v>
      </c>
    </row>
    <row r="107" spans="1:11" x14ac:dyDescent="0.25">
      <c r="A107" s="5">
        <v>45473</v>
      </c>
      <c r="B107" s="5"/>
      <c r="C107" s="9" t="s">
        <v>154</v>
      </c>
      <c r="D107" s="9" t="s">
        <v>99</v>
      </c>
      <c r="F107" s="6">
        <v>150</v>
      </c>
      <c r="G107" s="6">
        <f t="shared" si="3"/>
        <v>150</v>
      </c>
      <c r="H107" s="6">
        <v>150</v>
      </c>
      <c r="I107" s="6">
        <f t="shared" si="4"/>
        <v>0</v>
      </c>
      <c r="J107" s="7" t="str">
        <f t="shared" si="5"/>
        <v>PAGADO</v>
      </c>
    </row>
    <row r="108" spans="1:11" x14ac:dyDescent="0.25">
      <c r="A108" s="5">
        <v>45473</v>
      </c>
      <c r="B108" s="5"/>
      <c r="C108" s="9" t="s">
        <v>155</v>
      </c>
      <c r="D108" s="9" t="s">
        <v>99</v>
      </c>
      <c r="F108" s="6">
        <v>10</v>
      </c>
      <c r="G108" s="6">
        <f t="shared" si="3"/>
        <v>10</v>
      </c>
      <c r="H108" s="6">
        <v>10</v>
      </c>
      <c r="I108" s="6">
        <f t="shared" si="4"/>
        <v>0</v>
      </c>
      <c r="J108" s="7" t="str">
        <f t="shared" si="5"/>
        <v>PAGADO</v>
      </c>
    </row>
    <row r="109" spans="1:11" x14ac:dyDescent="0.25">
      <c r="A109" s="5">
        <v>45473</v>
      </c>
      <c r="B109" s="5"/>
      <c r="C109" s="9" t="s">
        <v>156</v>
      </c>
      <c r="D109" s="9" t="s">
        <v>74</v>
      </c>
      <c r="F109" s="6">
        <v>24</v>
      </c>
      <c r="G109" s="6">
        <f t="shared" si="3"/>
        <v>24</v>
      </c>
      <c r="H109" s="6">
        <f>F109</f>
        <v>24</v>
      </c>
      <c r="I109" s="6">
        <f t="shared" si="4"/>
        <v>0</v>
      </c>
      <c r="J109" s="7" t="str">
        <f t="shared" si="5"/>
        <v>PAGADO</v>
      </c>
      <c r="K109" t="s">
        <v>75</v>
      </c>
    </row>
    <row r="110" spans="1:11" x14ac:dyDescent="0.25">
      <c r="A110" s="5">
        <v>45473</v>
      </c>
      <c r="B110" s="5"/>
      <c r="C110" s="9" t="s">
        <v>157</v>
      </c>
      <c r="D110" t="s">
        <v>27</v>
      </c>
      <c r="F110" s="6">
        <v>130</v>
      </c>
      <c r="G110" s="6">
        <f t="shared" si="3"/>
        <v>130</v>
      </c>
      <c r="H110" s="6">
        <v>130</v>
      </c>
      <c r="I110" s="6">
        <f t="shared" si="4"/>
        <v>0</v>
      </c>
      <c r="J110" s="7" t="str">
        <f t="shared" si="5"/>
        <v>PAGADO</v>
      </c>
    </row>
    <row r="111" spans="1:11" x14ac:dyDescent="0.25">
      <c r="A111" s="5">
        <v>45473</v>
      </c>
      <c r="B111" s="5"/>
      <c r="C111" s="9" t="s">
        <v>158</v>
      </c>
      <c r="D111" t="s">
        <v>27</v>
      </c>
      <c r="F111" s="6">
        <v>75</v>
      </c>
      <c r="G111" s="6">
        <f t="shared" si="3"/>
        <v>75</v>
      </c>
      <c r="H111" s="6">
        <v>75</v>
      </c>
      <c r="I111" s="6">
        <f t="shared" si="4"/>
        <v>0</v>
      </c>
      <c r="J111" s="7" t="str">
        <f t="shared" si="5"/>
        <v>PAGADO</v>
      </c>
    </row>
    <row r="112" spans="1:11" x14ac:dyDescent="0.25">
      <c r="A112" s="5">
        <v>45473</v>
      </c>
      <c r="B112" s="5"/>
      <c r="C112" s="9" t="s">
        <v>159</v>
      </c>
      <c r="D112" t="s">
        <v>27</v>
      </c>
      <c r="F112" s="6">
        <v>8</v>
      </c>
      <c r="G112" s="6">
        <f t="shared" si="3"/>
        <v>8</v>
      </c>
      <c r="H112" s="6">
        <v>8</v>
      </c>
      <c r="I112" s="6">
        <f t="shared" si="4"/>
        <v>0</v>
      </c>
      <c r="J112" s="7" t="str">
        <f t="shared" si="5"/>
        <v>PAGADO</v>
      </c>
    </row>
    <row r="113" spans="1:10" x14ac:dyDescent="0.25">
      <c r="A113" s="5">
        <v>45473</v>
      </c>
      <c r="B113" s="5"/>
      <c r="C113" s="9" t="s">
        <v>155</v>
      </c>
      <c r="D113" t="s">
        <v>52</v>
      </c>
      <c r="F113" s="6">
        <v>11</v>
      </c>
      <c r="G113" s="6">
        <f t="shared" si="3"/>
        <v>11</v>
      </c>
      <c r="H113" s="6">
        <v>11</v>
      </c>
      <c r="I113" s="6">
        <f t="shared" si="4"/>
        <v>0</v>
      </c>
      <c r="J113" s="7" t="str">
        <f t="shared" si="5"/>
        <v>PAGADO</v>
      </c>
    </row>
    <row r="114" spans="1:10" x14ac:dyDescent="0.25">
      <c r="A114" s="5">
        <v>45473</v>
      </c>
      <c r="B114" s="5"/>
      <c r="C114" s="9" t="s">
        <v>160</v>
      </c>
      <c r="D114" t="s">
        <v>52</v>
      </c>
      <c r="F114" s="6">
        <v>10</v>
      </c>
      <c r="G114" s="6">
        <f t="shared" si="3"/>
        <v>10</v>
      </c>
      <c r="H114" s="6">
        <v>10</v>
      </c>
      <c r="I114" s="6">
        <f t="shared" si="4"/>
        <v>0</v>
      </c>
      <c r="J114" s="7" t="str">
        <f t="shared" si="5"/>
        <v>PAGADO</v>
      </c>
    </row>
    <row r="115" spans="1:10" x14ac:dyDescent="0.25">
      <c r="A115" s="5">
        <v>45473</v>
      </c>
      <c r="B115" s="5"/>
      <c r="C115" s="9" t="s">
        <v>161</v>
      </c>
      <c r="D115" s="9" t="s">
        <v>162</v>
      </c>
      <c r="F115" s="6">
        <v>230</v>
      </c>
      <c r="G115" s="6">
        <f t="shared" si="3"/>
        <v>230</v>
      </c>
      <c r="H115" s="6">
        <v>230</v>
      </c>
      <c r="I115" s="6">
        <f t="shared" si="4"/>
        <v>0</v>
      </c>
      <c r="J115" s="7" t="str">
        <f t="shared" si="5"/>
        <v>PAGADO</v>
      </c>
    </row>
    <row r="116" spans="1:10" x14ac:dyDescent="0.25">
      <c r="A116" s="5">
        <v>45473</v>
      </c>
      <c r="B116" s="5"/>
      <c r="C116" s="9" t="s">
        <v>163</v>
      </c>
      <c r="D116" s="9" t="s">
        <v>164</v>
      </c>
      <c r="F116" s="6">
        <v>170</v>
      </c>
      <c r="G116" s="6">
        <f t="shared" si="3"/>
        <v>170</v>
      </c>
      <c r="H116" s="6">
        <v>170</v>
      </c>
      <c r="I116" s="6">
        <f t="shared" si="4"/>
        <v>0</v>
      </c>
      <c r="J116" s="7" t="str">
        <f t="shared" si="5"/>
        <v>PAGADO</v>
      </c>
    </row>
    <row r="117" spans="1:10" x14ac:dyDescent="0.25">
      <c r="A117" s="5">
        <v>45473</v>
      </c>
      <c r="B117" s="5"/>
      <c r="C117" s="9" t="s">
        <v>165</v>
      </c>
      <c r="D117" s="9" t="s">
        <v>164</v>
      </c>
      <c r="F117" s="6">
        <v>11</v>
      </c>
      <c r="G117" s="6">
        <f t="shared" si="3"/>
        <v>11</v>
      </c>
      <c r="H117" s="6">
        <v>11</v>
      </c>
      <c r="I117" s="6">
        <f t="shared" si="4"/>
        <v>0</v>
      </c>
      <c r="J117" s="7" t="str">
        <f t="shared" si="5"/>
        <v>PAGADO</v>
      </c>
    </row>
    <row r="118" spans="1:10" x14ac:dyDescent="0.25">
      <c r="A118" s="5">
        <v>45473</v>
      </c>
      <c r="B118" s="5"/>
      <c r="C118" s="9" t="s">
        <v>166</v>
      </c>
      <c r="D118" s="9" t="s">
        <v>164</v>
      </c>
      <c r="F118" s="6">
        <v>9</v>
      </c>
      <c r="G118" s="6">
        <f t="shared" si="3"/>
        <v>9</v>
      </c>
      <c r="H118" s="6">
        <v>9</v>
      </c>
      <c r="I118" s="6">
        <f t="shared" si="4"/>
        <v>0</v>
      </c>
      <c r="J118" s="7" t="str">
        <f t="shared" si="5"/>
        <v>PAGADO</v>
      </c>
    </row>
    <row r="119" spans="1:10" x14ac:dyDescent="0.25">
      <c r="A119" s="5">
        <v>45473</v>
      </c>
      <c r="B119" s="5"/>
      <c r="C119" s="9" t="s">
        <v>167</v>
      </c>
      <c r="D119" s="9" t="s">
        <v>164</v>
      </c>
      <c r="F119" s="6">
        <v>7</v>
      </c>
      <c r="G119" s="6">
        <f t="shared" si="3"/>
        <v>7</v>
      </c>
      <c r="H119" s="6">
        <v>7</v>
      </c>
      <c r="I119" s="6">
        <f t="shared" si="4"/>
        <v>0</v>
      </c>
      <c r="J119" s="7" t="str">
        <f t="shared" si="5"/>
        <v>PAGADO</v>
      </c>
    </row>
    <row r="120" spans="1:10" x14ac:dyDescent="0.25">
      <c r="A120" s="5">
        <v>45473</v>
      </c>
      <c r="B120" s="5"/>
      <c r="C120" s="9" t="s">
        <v>168</v>
      </c>
      <c r="D120" s="9" t="s">
        <v>136</v>
      </c>
      <c r="F120" s="6">
        <v>25</v>
      </c>
      <c r="G120" s="6">
        <f t="shared" si="3"/>
        <v>25</v>
      </c>
      <c r="H120" s="6">
        <v>25</v>
      </c>
      <c r="I120" s="6">
        <f t="shared" si="4"/>
        <v>0</v>
      </c>
      <c r="J120" s="7" t="str">
        <f t="shared" si="5"/>
        <v>PAGADO</v>
      </c>
    </row>
    <row r="121" spans="1:10" x14ac:dyDescent="0.25">
      <c r="A121" s="5">
        <v>45473</v>
      </c>
      <c r="B121" s="5"/>
      <c r="C121" s="9" t="s">
        <v>169</v>
      </c>
      <c r="D121" s="9" t="s">
        <v>136</v>
      </c>
      <c r="F121" s="6">
        <v>15</v>
      </c>
      <c r="G121" s="6">
        <f t="shared" si="3"/>
        <v>15</v>
      </c>
      <c r="H121" s="6">
        <v>15</v>
      </c>
      <c r="I121" s="6">
        <f t="shared" si="4"/>
        <v>0</v>
      </c>
      <c r="J121" s="7" t="str">
        <f t="shared" si="5"/>
        <v>PAGADO</v>
      </c>
    </row>
    <row r="122" spans="1:10" x14ac:dyDescent="0.25">
      <c r="A122" s="5">
        <v>45473</v>
      </c>
      <c r="B122" s="5"/>
      <c r="C122" s="9" t="s">
        <v>170</v>
      </c>
      <c r="D122" s="9" t="s">
        <v>171</v>
      </c>
      <c r="F122" s="6">
        <v>13</v>
      </c>
      <c r="G122" s="6">
        <f t="shared" si="3"/>
        <v>13</v>
      </c>
      <c r="H122" s="6">
        <v>13</v>
      </c>
      <c r="I122" s="6">
        <f t="shared" si="4"/>
        <v>0</v>
      </c>
      <c r="J122" s="7" t="str">
        <f t="shared" si="5"/>
        <v>PAGADO</v>
      </c>
    </row>
    <row r="123" spans="1:10" x14ac:dyDescent="0.25">
      <c r="A123" s="5">
        <v>45473</v>
      </c>
      <c r="B123" s="5"/>
      <c r="C123" s="9" t="s">
        <v>172</v>
      </c>
      <c r="D123" s="9" t="s">
        <v>16</v>
      </c>
      <c r="F123" s="6">
        <v>50</v>
      </c>
      <c r="G123" s="6">
        <f t="shared" si="3"/>
        <v>50</v>
      </c>
      <c r="H123" s="6">
        <v>50</v>
      </c>
      <c r="I123" s="6">
        <f t="shared" si="4"/>
        <v>0</v>
      </c>
      <c r="J123" s="7" t="str">
        <f t="shared" si="5"/>
        <v>PAGADO</v>
      </c>
    </row>
    <row r="124" spans="1:10" x14ac:dyDescent="0.25">
      <c r="A124" s="5">
        <v>45473</v>
      </c>
      <c r="B124" s="5"/>
      <c r="C124" s="9" t="s">
        <v>173</v>
      </c>
      <c r="D124" s="9" t="s">
        <v>162</v>
      </c>
      <c r="F124" s="6">
        <v>300</v>
      </c>
      <c r="G124" s="6">
        <f t="shared" si="3"/>
        <v>300</v>
      </c>
      <c r="H124" s="6">
        <v>300</v>
      </c>
      <c r="I124" s="6">
        <f t="shared" si="4"/>
        <v>0</v>
      </c>
      <c r="J124" s="7" t="str">
        <f t="shared" si="5"/>
        <v>PAGADO</v>
      </c>
    </row>
    <row r="125" spans="1:10" x14ac:dyDescent="0.25">
      <c r="A125" s="5">
        <v>45474</v>
      </c>
      <c r="B125" s="5"/>
      <c r="C125" s="9" t="s">
        <v>174</v>
      </c>
      <c r="D125" t="s">
        <v>50</v>
      </c>
      <c r="F125" s="6">
        <v>170</v>
      </c>
      <c r="G125" s="6">
        <f t="shared" si="3"/>
        <v>170</v>
      </c>
      <c r="H125" s="6">
        <v>170</v>
      </c>
      <c r="I125" s="6">
        <f t="shared" si="4"/>
        <v>0</v>
      </c>
      <c r="J125" s="7" t="str">
        <f t="shared" si="5"/>
        <v>PAGADO</v>
      </c>
    </row>
    <row r="126" spans="1:10" x14ac:dyDescent="0.25">
      <c r="A126" s="5">
        <v>45474</v>
      </c>
      <c r="B126" s="5"/>
      <c r="C126" s="9" t="s">
        <v>175</v>
      </c>
      <c r="D126" s="9" t="s">
        <v>99</v>
      </c>
      <c r="F126" s="6">
        <v>10</v>
      </c>
      <c r="G126" s="6">
        <f t="shared" si="3"/>
        <v>10</v>
      </c>
      <c r="H126" s="6">
        <v>10</v>
      </c>
      <c r="I126" s="6">
        <f t="shared" si="4"/>
        <v>0</v>
      </c>
      <c r="J126" s="7" t="str">
        <f t="shared" si="5"/>
        <v>PAGADO</v>
      </c>
    </row>
    <row r="127" spans="1:10" x14ac:dyDescent="0.25">
      <c r="A127" s="5">
        <v>45474</v>
      </c>
      <c r="B127" s="5"/>
      <c r="C127" s="9" t="s">
        <v>102</v>
      </c>
      <c r="D127" s="9" t="s">
        <v>97</v>
      </c>
      <c r="F127" s="6">
        <v>20</v>
      </c>
      <c r="G127" s="6">
        <f t="shared" si="3"/>
        <v>20</v>
      </c>
      <c r="H127" s="6">
        <v>20</v>
      </c>
      <c r="I127" s="6">
        <f t="shared" si="4"/>
        <v>0</v>
      </c>
      <c r="J127" s="7" t="str">
        <f t="shared" si="5"/>
        <v>PAGADO</v>
      </c>
    </row>
    <row r="128" spans="1:10" x14ac:dyDescent="0.25">
      <c r="A128" s="5">
        <v>45475</v>
      </c>
      <c r="B128" s="5"/>
      <c r="C128" s="9" t="s">
        <v>176</v>
      </c>
      <c r="D128" s="9" t="s">
        <v>177</v>
      </c>
      <c r="F128" s="6">
        <v>105</v>
      </c>
      <c r="G128" s="6">
        <f t="shared" si="3"/>
        <v>105</v>
      </c>
      <c r="H128" s="6">
        <v>105</v>
      </c>
      <c r="I128" s="6">
        <f t="shared" si="4"/>
        <v>0</v>
      </c>
      <c r="J128" s="7" t="str">
        <f t="shared" si="5"/>
        <v>PAGADO</v>
      </c>
    </row>
    <row r="129" spans="1:10" x14ac:dyDescent="0.25">
      <c r="A129" s="5">
        <v>45475</v>
      </c>
      <c r="B129" s="5"/>
      <c r="C129" s="9" t="s">
        <v>178</v>
      </c>
      <c r="D129" s="9" t="s">
        <v>95</v>
      </c>
      <c r="F129" s="6">
        <v>20</v>
      </c>
      <c r="G129" s="6">
        <f t="shared" si="3"/>
        <v>20</v>
      </c>
      <c r="H129" s="6">
        <v>20</v>
      </c>
      <c r="I129" s="6">
        <f t="shared" si="4"/>
        <v>0</v>
      </c>
      <c r="J129" s="7" t="str">
        <f t="shared" si="5"/>
        <v>PAGADO</v>
      </c>
    </row>
    <row r="130" spans="1:10" x14ac:dyDescent="0.25">
      <c r="A130" s="5">
        <v>45475</v>
      </c>
      <c r="B130" s="5"/>
      <c r="C130" s="9" t="s">
        <v>36</v>
      </c>
      <c r="D130" s="9" t="s">
        <v>52</v>
      </c>
      <c r="F130" s="6">
        <v>78</v>
      </c>
      <c r="G130" s="6">
        <f t="shared" ref="G130:G193" si="6">F130-E130</f>
        <v>78</v>
      </c>
      <c r="H130" s="6">
        <f>40+38</f>
        <v>78</v>
      </c>
      <c r="I130" s="6">
        <f t="shared" ref="I130:I193" si="7">F130-H130</f>
        <v>0</v>
      </c>
      <c r="J130" s="7" t="str">
        <f t="shared" ref="J130:J193" si="8">IF(I130&gt;0,"DEBE","PAGADO")</f>
        <v>PAGADO</v>
      </c>
    </row>
    <row r="131" spans="1:10" x14ac:dyDescent="0.25">
      <c r="A131" s="5">
        <v>45475</v>
      </c>
      <c r="B131" s="5"/>
      <c r="C131" s="9" t="s">
        <v>179</v>
      </c>
      <c r="D131" s="9" t="s">
        <v>52</v>
      </c>
      <c r="F131" s="6">
        <v>150</v>
      </c>
      <c r="G131" s="6">
        <f t="shared" si="6"/>
        <v>150</v>
      </c>
      <c r="H131" s="6">
        <f>50+100</f>
        <v>150</v>
      </c>
      <c r="I131" s="6">
        <f t="shared" si="7"/>
        <v>0</v>
      </c>
      <c r="J131" s="7" t="str">
        <f t="shared" si="8"/>
        <v>PAGADO</v>
      </c>
    </row>
    <row r="132" spans="1:10" x14ac:dyDescent="0.25">
      <c r="A132" s="5">
        <v>45475</v>
      </c>
      <c r="B132" s="5"/>
      <c r="C132" s="9" t="s">
        <v>180</v>
      </c>
      <c r="D132" s="9" t="s">
        <v>89</v>
      </c>
      <c r="F132" s="6">
        <v>9</v>
      </c>
      <c r="G132" s="6">
        <f t="shared" si="6"/>
        <v>9</v>
      </c>
      <c r="H132" s="6">
        <v>9</v>
      </c>
      <c r="I132" s="6">
        <f t="shared" si="7"/>
        <v>0</v>
      </c>
      <c r="J132" s="7" t="str">
        <f t="shared" si="8"/>
        <v>PAGADO</v>
      </c>
    </row>
    <row r="133" spans="1:10" x14ac:dyDescent="0.25">
      <c r="A133" s="5">
        <v>45475</v>
      </c>
      <c r="B133" s="5"/>
      <c r="C133" s="9" t="s">
        <v>115</v>
      </c>
      <c r="D133" s="9" t="s">
        <v>52</v>
      </c>
      <c r="F133" s="6">
        <v>36</v>
      </c>
      <c r="G133" s="6">
        <f t="shared" si="6"/>
        <v>36</v>
      </c>
      <c r="H133" s="6">
        <v>36</v>
      </c>
      <c r="I133" s="6">
        <f t="shared" si="7"/>
        <v>0</v>
      </c>
      <c r="J133" s="7" t="str">
        <f t="shared" si="8"/>
        <v>PAGADO</v>
      </c>
    </row>
    <row r="134" spans="1:10" x14ac:dyDescent="0.25">
      <c r="A134" s="5">
        <v>45475</v>
      </c>
      <c r="B134" s="5"/>
      <c r="C134" s="9" t="s">
        <v>181</v>
      </c>
      <c r="D134" s="9" t="s">
        <v>52</v>
      </c>
      <c r="F134" s="6">
        <v>59</v>
      </c>
      <c r="G134" s="6">
        <f t="shared" si="6"/>
        <v>59</v>
      </c>
      <c r="H134" s="6">
        <v>59</v>
      </c>
      <c r="I134" s="6">
        <f t="shared" si="7"/>
        <v>0</v>
      </c>
      <c r="J134" s="7" t="str">
        <f t="shared" si="8"/>
        <v>PAGADO</v>
      </c>
    </row>
    <row r="135" spans="1:10" x14ac:dyDescent="0.25">
      <c r="A135" s="5">
        <v>45475</v>
      </c>
      <c r="B135" s="5"/>
      <c r="C135" s="9" t="s">
        <v>59</v>
      </c>
      <c r="D135" s="9" t="s">
        <v>52</v>
      </c>
      <c r="F135" s="6">
        <v>24</v>
      </c>
      <c r="G135" s="6">
        <f t="shared" si="6"/>
        <v>24</v>
      </c>
      <c r="H135" s="6">
        <v>24</v>
      </c>
      <c r="I135" s="6">
        <f t="shared" si="7"/>
        <v>0</v>
      </c>
      <c r="J135" s="7" t="str">
        <f t="shared" si="8"/>
        <v>PAGADO</v>
      </c>
    </row>
    <row r="136" spans="1:10" x14ac:dyDescent="0.25">
      <c r="A136" s="5">
        <v>45475</v>
      </c>
      <c r="B136" s="5"/>
      <c r="C136" s="9" t="s">
        <v>180</v>
      </c>
      <c r="D136" s="9" t="s">
        <v>52</v>
      </c>
      <c r="F136" s="6">
        <v>9</v>
      </c>
      <c r="G136" s="6">
        <f t="shared" si="6"/>
        <v>9</v>
      </c>
      <c r="H136" s="6">
        <v>9</v>
      </c>
      <c r="I136" s="6">
        <f t="shared" si="7"/>
        <v>0</v>
      </c>
      <c r="J136" s="7" t="str">
        <f t="shared" si="8"/>
        <v>PAGADO</v>
      </c>
    </row>
    <row r="137" spans="1:10" x14ac:dyDescent="0.25">
      <c r="A137" s="5">
        <v>45475</v>
      </c>
      <c r="B137" s="5"/>
      <c r="C137" s="9" t="s">
        <v>181</v>
      </c>
      <c r="D137" t="s">
        <v>27</v>
      </c>
      <c r="F137" s="6">
        <v>75</v>
      </c>
      <c r="G137" s="6">
        <f t="shared" si="6"/>
        <v>75</v>
      </c>
      <c r="H137" s="6">
        <v>75</v>
      </c>
      <c r="I137" s="6">
        <f t="shared" si="7"/>
        <v>0</v>
      </c>
      <c r="J137" s="7" t="str">
        <f t="shared" si="8"/>
        <v>PAGADO</v>
      </c>
    </row>
    <row r="138" spans="1:10" x14ac:dyDescent="0.25">
      <c r="A138" s="5">
        <v>45475</v>
      </c>
      <c r="B138" s="5"/>
      <c r="C138" s="9" t="s">
        <v>182</v>
      </c>
      <c r="D138" t="s">
        <v>127</v>
      </c>
      <c r="F138" s="6">
        <v>15</v>
      </c>
      <c r="G138" s="6">
        <f t="shared" si="6"/>
        <v>15</v>
      </c>
      <c r="H138" s="6">
        <v>15</v>
      </c>
      <c r="I138" s="6">
        <f t="shared" si="7"/>
        <v>0</v>
      </c>
      <c r="J138" s="7" t="str">
        <f t="shared" si="8"/>
        <v>PAGADO</v>
      </c>
    </row>
    <row r="139" spans="1:10" x14ac:dyDescent="0.25">
      <c r="A139" s="5">
        <v>45475</v>
      </c>
      <c r="B139" s="5"/>
      <c r="C139" s="9" t="s">
        <v>183</v>
      </c>
      <c r="D139" t="s">
        <v>127</v>
      </c>
      <c r="F139" s="6">
        <v>9</v>
      </c>
      <c r="G139" s="6">
        <f t="shared" si="6"/>
        <v>9</v>
      </c>
      <c r="H139" s="6">
        <v>9</v>
      </c>
      <c r="I139" s="6">
        <f t="shared" si="7"/>
        <v>0</v>
      </c>
      <c r="J139" s="7" t="str">
        <f t="shared" si="8"/>
        <v>PAGADO</v>
      </c>
    </row>
    <row r="140" spans="1:10" x14ac:dyDescent="0.25">
      <c r="A140" s="5">
        <v>45475</v>
      </c>
      <c r="B140" s="5"/>
      <c r="C140" s="9" t="s">
        <v>167</v>
      </c>
      <c r="D140" t="s">
        <v>127</v>
      </c>
      <c r="F140" s="6">
        <v>10</v>
      </c>
      <c r="G140" s="6">
        <f t="shared" si="6"/>
        <v>10</v>
      </c>
      <c r="H140" s="6">
        <v>10</v>
      </c>
      <c r="I140" s="6">
        <f t="shared" si="7"/>
        <v>0</v>
      </c>
      <c r="J140" s="7" t="str">
        <f t="shared" si="8"/>
        <v>PAGADO</v>
      </c>
    </row>
    <row r="141" spans="1:10" x14ac:dyDescent="0.25">
      <c r="A141" s="5">
        <v>45475</v>
      </c>
      <c r="B141" s="5"/>
      <c r="C141" s="9" t="s">
        <v>166</v>
      </c>
      <c r="D141" t="s">
        <v>127</v>
      </c>
      <c r="F141" s="6">
        <v>10</v>
      </c>
      <c r="G141" s="6">
        <f t="shared" si="6"/>
        <v>10</v>
      </c>
      <c r="H141" s="6">
        <v>10</v>
      </c>
      <c r="I141" s="6">
        <f t="shared" si="7"/>
        <v>0</v>
      </c>
      <c r="J141" s="7" t="str">
        <f t="shared" si="8"/>
        <v>PAGADO</v>
      </c>
    </row>
    <row r="142" spans="1:10" x14ac:dyDescent="0.25">
      <c r="A142" s="5">
        <v>45475</v>
      </c>
      <c r="B142" s="5"/>
      <c r="C142" s="9" t="s">
        <v>184</v>
      </c>
      <c r="D142" t="s">
        <v>127</v>
      </c>
      <c r="F142" s="6">
        <v>24</v>
      </c>
      <c r="G142" s="6">
        <f t="shared" si="6"/>
        <v>24</v>
      </c>
      <c r="H142" s="6">
        <v>24</v>
      </c>
      <c r="I142" s="6">
        <f t="shared" si="7"/>
        <v>0</v>
      </c>
      <c r="J142" s="7" t="str">
        <f t="shared" si="8"/>
        <v>PAGADO</v>
      </c>
    </row>
    <row r="143" spans="1:10" ht="18" customHeight="1" x14ac:dyDescent="0.25">
      <c r="A143" s="5">
        <v>45475</v>
      </c>
      <c r="B143" s="5"/>
      <c r="C143" s="9" t="s">
        <v>185</v>
      </c>
      <c r="D143" s="9" t="s">
        <v>136</v>
      </c>
      <c r="F143" s="6">
        <v>8</v>
      </c>
      <c r="G143" s="6">
        <f t="shared" si="6"/>
        <v>8</v>
      </c>
      <c r="H143" s="6">
        <v>8</v>
      </c>
      <c r="I143" s="6">
        <f t="shared" si="7"/>
        <v>0</v>
      </c>
      <c r="J143" s="7" t="str">
        <f t="shared" si="8"/>
        <v>PAGADO</v>
      </c>
    </row>
    <row r="144" spans="1:10" x14ac:dyDescent="0.25">
      <c r="A144" s="5">
        <v>45475</v>
      </c>
      <c r="B144" s="5"/>
      <c r="C144" s="9" t="s">
        <v>186</v>
      </c>
      <c r="D144" s="9" t="s">
        <v>136</v>
      </c>
      <c r="F144" s="6">
        <v>31</v>
      </c>
      <c r="G144" s="6">
        <f t="shared" si="6"/>
        <v>31</v>
      </c>
      <c r="H144" s="6">
        <v>31</v>
      </c>
      <c r="I144" s="6">
        <f t="shared" si="7"/>
        <v>0</v>
      </c>
      <c r="J144" s="7" t="str">
        <f t="shared" si="8"/>
        <v>PAGADO</v>
      </c>
    </row>
    <row r="145" spans="1:10" x14ac:dyDescent="0.25">
      <c r="A145" s="5">
        <v>45475</v>
      </c>
      <c r="B145" s="5"/>
      <c r="C145" s="9" t="s">
        <v>181</v>
      </c>
      <c r="D145" s="9" t="s">
        <v>136</v>
      </c>
      <c r="F145" s="6">
        <v>59</v>
      </c>
      <c r="G145" s="6">
        <f t="shared" si="6"/>
        <v>59</v>
      </c>
      <c r="H145" s="6">
        <v>59</v>
      </c>
      <c r="I145" s="6">
        <f t="shared" si="7"/>
        <v>0</v>
      </c>
      <c r="J145" s="7" t="str">
        <f t="shared" si="8"/>
        <v>PAGADO</v>
      </c>
    </row>
    <row r="146" spans="1:10" x14ac:dyDescent="0.25">
      <c r="A146" s="5">
        <v>45475</v>
      </c>
      <c r="B146" s="5"/>
      <c r="C146" s="9" t="s">
        <v>184</v>
      </c>
      <c r="D146" s="9" t="s">
        <v>136</v>
      </c>
      <c r="F146" s="6">
        <v>24</v>
      </c>
      <c r="G146" s="6">
        <f t="shared" si="6"/>
        <v>24</v>
      </c>
      <c r="H146" s="6">
        <v>24</v>
      </c>
      <c r="I146" s="6">
        <f t="shared" si="7"/>
        <v>0</v>
      </c>
      <c r="J146" s="7" t="str">
        <f t="shared" si="8"/>
        <v>PAGADO</v>
      </c>
    </row>
    <row r="147" spans="1:10" x14ac:dyDescent="0.25">
      <c r="A147" s="5">
        <v>45475</v>
      </c>
      <c r="B147" s="5"/>
      <c r="C147" s="9" t="s">
        <v>102</v>
      </c>
      <c r="D147" s="9" t="s">
        <v>99</v>
      </c>
      <c r="F147" s="6">
        <v>20</v>
      </c>
      <c r="G147" s="6">
        <f t="shared" si="6"/>
        <v>20</v>
      </c>
      <c r="H147" s="6">
        <v>20</v>
      </c>
      <c r="I147" s="6">
        <f t="shared" si="7"/>
        <v>0</v>
      </c>
      <c r="J147" s="7" t="str">
        <f t="shared" si="8"/>
        <v>PAGADO</v>
      </c>
    </row>
    <row r="148" spans="1:10" x14ac:dyDescent="0.25">
      <c r="A148" s="5">
        <v>45475</v>
      </c>
      <c r="B148" s="5"/>
      <c r="C148" s="9" t="s">
        <v>187</v>
      </c>
      <c r="D148" s="9" t="s">
        <v>20</v>
      </c>
      <c r="F148" s="6">
        <v>70</v>
      </c>
      <c r="G148" s="6">
        <f t="shared" si="6"/>
        <v>70</v>
      </c>
      <c r="H148" s="6">
        <v>70</v>
      </c>
      <c r="I148" s="6">
        <f t="shared" si="7"/>
        <v>0</v>
      </c>
      <c r="J148" s="7" t="str">
        <f t="shared" si="8"/>
        <v>PAGADO</v>
      </c>
    </row>
    <row r="149" spans="1:10" x14ac:dyDescent="0.25">
      <c r="A149" s="5">
        <v>45475</v>
      </c>
      <c r="B149" s="5"/>
      <c r="C149" s="9" t="s">
        <v>188</v>
      </c>
      <c r="D149" s="9" t="s">
        <v>189</v>
      </c>
      <c r="F149" s="6">
        <v>39</v>
      </c>
      <c r="G149" s="6">
        <f t="shared" si="6"/>
        <v>39</v>
      </c>
      <c r="H149" s="6">
        <v>39</v>
      </c>
      <c r="I149" s="6">
        <f t="shared" si="7"/>
        <v>0</v>
      </c>
      <c r="J149" s="7" t="str">
        <f t="shared" si="8"/>
        <v>PAGADO</v>
      </c>
    </row>
    <row r="150" spans="1:10" x14ac:dyDescent="0.25">
      <c r="A150" s="5">
        <v>45475</v>
      </c>
      <c r="B150" s="5"/>
      <c r="C150" s="9" t="s">
        <v>190</v>
      </c>
      <c r="D150" s="9" t="s">
        <v>93</v>
      </c>
      <c r="F150" s="6">
        <v>60</v>
      </c>
      <c r="G150" s="6">
        <f t="shared" si="6"/>
        <v>60</v>
      </c>
      <c r="H150" s="6">
        <v>60</v>
      </c>
      <c r="I150" s="6">
        <f t="shared" si="7"/>
        <v>0</v>
      </c>
      <c r="J150" s="7" t="str">
        <f t="shared" si="8"/>
        <v>PAGADO</v>
      </c>
    </row>
    <row r="151" spans="1:10" x14ac:dyDescent="0.25">
      <c r="A151" s="5">
        <v>45476</v>
      </c>
      <c r="B151" s="5"/>
      <c r="C151" s="9" t="s">
        <v>191</v>
      </c>
      <c r="D151" s="9" t="s">
        <v>89</v>
      </c>
      <c r="F151" s="6">
        <v>470</v>
      </c>
      <c r="G151" s="6">
        <f t="shared" si="6"/>
        <v>470</v>
      </c>
      <c r="H151" s="6">
        <v>470</v>
      </c>
      <c r="I151" s="6">
        <f t="shared" si="7"/>
        <v>0</v>
      </c>
      <c r="J151" s="7" t="str">
        <f t="shared" si="8"/>
        <v>PAGADO</v>
      </c>
    </row>
    <row r="152" spans="1:10" x14ac:dyDescent="0.25">
      <c r="A152" s="5">
        <v>45476</v>
      </c>
      <c r="B152" s="5"/>
      <c r="C152" s="9" t="s">
        <v>192</v>
      </c>
      <c r="D152" t="s">
        <v>27</v>
      </c>
      <c r="F152" s="6">
        <v>80</v>
      </c>
      <c r="G152" s="6">
        <f t="shared" si="6"/>
        <v>80</v>
      </c>
      <c r="H152" s="6">
        <v>80</v>
      </c>
      <c r="I152" s="6">
        <f t="shared" si="7"/>
        <v>0</v>
      </c>
      <c r="J152" s="7" t="str">
        <f t="shared" si="8"/>
        <v>PAGADO</v>
      </c>
    </row>
    <row r="153" spans="1:10" x14ac:dyDescent="0.25">
      <c r="A153" s="5">
        <v>45477</v>
      </c>
      <c r="B153" s="5"/>
      <c r="C153" s="9" t="s">
        <v>193</v>
      </c>
      <c r="D153" s="9" t="s">
        <v>67</v>
      </c>
      <c r="F153" s="6">
        <v>150</v>
      </c>
      <c r="G153" s="6">
        <f t="shared" si="6"/>
        <v>150</v>
      </c>
      <c r="H153" s="6">
        <f>75+75</f>
        <v>150</v>
      </c>
      <c r="I153" s="6">
        <f t="shared" si="7"/>
        <v>0</v>
      </c>
      <c r="J153" s="7" t="str">
        <f t="shared" si="8"/>
        <v>PAGADO</v>
      </c>
    </row>
    <row r="154" spans="1:10" x14ac:dyDescent="0.25">
      <c r="A154" s="5">
        <v>45477</v>
      </c>
      <c r="B154" s="5"/>
      <c r="C154" s="9" t="s">
        <v>194</v>
      </c>
      <c r="D154" s="9" t="s">
        <v>50</v>
      </c>
      <c r="F154" s="6">
        <v>230</v>
      </c>
      <c r="G154" s="6">
        <f t="shared" si="6"/>
        <v>230</v>
      </c>
      <c r="H154" s="6">
        <v>230</v>
      </c>
      <c r="I154" s="6">
        <f t="shared" si="7"/>
        <v>0</v>
      </c>
      <c r="J154" s="7" t="str">
        <f t="shared" si="8"/>
        <v>PAGADO</v>
      </c>
    </row>
    <row r="155" spans="1:10" x14ac:dyDescent="0.25">
      <c r="A155" s="5">
        <v>45477</v>
      </c>
      <c r="B155" s="5"/>
      <c r="C155" s="9" t="s">
        <v>195</v>
      </c>
      <c r="D155" s="9" t="s">
        <v>101</v>
      </c>
      <c r="F155" s="6">
        <v>280</v>
      </c>
      <c r="G155" s="6">
        <f t="shared" si="6"/>
        <v>280</v>
      </c>
      <c r="H155" s="6">
        <v>280</v>
      </c>
      <c r="I155" s="6">
        <f t="shared" si="7"/>
        <v>0</v>
      </c>
      <c r="J155" s="7" t="str">
        <f t="shared" si="8"/>
        <v>PAGADO</v>
      </c>
    </row>
    <row r="156" spans="1:10" x14ac:dyDescent="0.25">
      <c r="A156" s="5">
        <v>45477</v>
      </c>
      <c r="B156" s="5"/>
      <c r="C156" s="9" t="s">
        <v>196</v>
      </c>
      <c r="D156" s="9" t="s">
        <v>101</v>
      </c>
      <c r="F156" s="6">
        <v>320</v>
      </c>
      <c r="G156" s="6">
        <f t="shared" si="6"/>
        <v>320</v>
      </c>
      <c r="H156" s="6">
        <v>320</v>
      </c>
      <c r="I156" s="6">
        <f t="shared" si="7"/>
        <v>0</v>
      </c>
      <c r="J156" s="7" t="str">
        <f t="shared" si="8"/>
        <v>PAGADO</v>
      </c>
    </row>
    <row r="157" spans="1:10" x14ac:dyDescent="0.25">
      <c r="A157" s="5">
        <v>45477</v>
      </c>
      <c r="B157" s="5"/>
      <c r="C157" s="9" t="s">
        <v>197</v>
      </c>
      <c r="D157" s="9" t="s">
        <v>50</v>
      </c>
      <c r="F157" s="6">
        <v>180</v>
      </c>
      <c r="G157" s="6">
        <f t="shared" si="6"/>
        <v>180</v>
      </c>
      <c r="H157" s="6">
        <v>180</v>
      </c>
      <c r="I157" s="6">
        <f t="shared" si="7"/>
        <v>0</v>
      </c>
      <c r="J157" s="7" t="str">
        <f t="shared" si="8"/>
        <v>PAGADO</v>
      </c>
    </row>
    <row r="158" spans="1:10" x14ac:dyDescent="0.25">
      <c r="A158" s="5">
        <v>45478</v>
      </c>
      <c r="B158" s="5"/>
      <c r="C158" s="9" t="s">
        <v>198</v>
      </c>
      <c r="D158" s="9" t="s">
        <v>72</v>
      </c>
      <c r="F158" s="6">
        <v>280</v>
      </c>
      <c r="G158" s="6">
        <f t="shared" si="6"/>
        <v>280</v>
      </c>
      <c r="H158" s="6">
        <v>280</v>
      </c>
      <c r="I158" s="6">
        <f t="shared" si="7"/>
        <v>0</v>
      </c>
      <c r="J158" s="7" t="str">
        <f t="shared" si="8"/>
        <v>PAGADO</v>
      </c>
    </row>
    <row r="159" spans="1:10" x14ac:dyDescent="0.25">
      <c r="A159" s="5">
        <v>45478</v>
      </c>
      <c r="B159" s="5"/>
      <c r="C159" s="9" t="s">
        <v>199</v>
      </c>
      <c r="D159" s="9" t="s">
        <v>72</v>
      </c>
      <c r="F159" s="6">
        <v>10</v>
      </c>
      <c r="G159" s="6">
        <f t="shared" si="6"/>
        <v>10</v>
      </c>
      <c r="H159" s="6">
        <v>10</v>
      </c>
      <c r="I159" s="6">
        <f t="shared" si="7"/>
        <v>0</v>
      </c>
      <c r="J159" s="7" t="str">
        <f t="shared" si="8"/>
        <v>PAGADO</v>
      </c>
    </row>
    <row r="160" spans="1:10" x14ac:dyDescent="0.25">
      <c r="A160" s="5">
        <v>45478</v>
      </c>
      <c r="B160" s="5"/>
      <c r="C160" s="9" t="s">
        <v>200</v>
      </c>
      <c r="D160" s="9" t="s">
        <v>74</v>
      </c>
      <c r="F160" s="6">
        <v>270</v>
      </c>
      <c r="G160" s="6">
        <f t="shared" si="6"/>
        <v>270</v>
      </c>
      <c r="H160" s="6">
        <f>135+135</f>
        <v>270</v>
      </c>
      <c r="I160" s="6">
        <f t="shared" si="7"/>
        <v>0</v>
      </c>
      <c r="J160" s="7" t="str">
        <f t="shared" si="8"/>
        <v>PAGADO</v>
      </c>
    </row>
    <row r="161" spans="1:10" x14ac:dyDescent="0.25">
      <c r="A161" s="5">
        <v>45478</v>
      </c>
      <c r="B161" s="5"/>
      <c r="C161" s="9" t="s">
        <v>12</v>
      </c>
      <c r="D161" s="9" t="s">
        <v>74</v>
      </c>
      <c r="F161" s="6">
        <v>145</v>
      </c>
      <c r="G161" s="6">
        <f t="shared" si="6"/>
        <v>145</v>
      </c>
      <c r="H161" s="6">
        <v>145</v>
      </c>
      <c r="I161" s="6">
        <f t="shared" si="7"/>
        <v>0</v>
      </c>
      <c r="J161" s="7" t="str">
        <f t="shared" si="8"/>
        <v>PAGADO</v>
      </c>
    </row>
    <row r="162" spans="1:10" x14ac:dyDescent="0.25">
      <c r="A162" s="5">
        <v>45478</v>
      </c>
      <c r="B162" s="5"/>
      <c r="C162" s="9" t="s">
        <v>201</v>
      </c>
      <c r="D162" s="9" t="s">
        <v>202</v>
      </c>
      <c r="F162" s="6">
        <v>96</v>
      </c>
      <c r="G162" s="6">
        <f t="shared" si="6"/>
        <v>96</v>
      </c>
      <c r="H162" s="6">
        <v>96</v>
      </c>
      <c r="I162" s="6">
        <f t="shared" si="7"/>
        <v>0</v>
      </c>
      <c r="J162" s="7" t="str">
        <f t="shared" si="8"/>
        <v>PAGADO</v>
      </c>
    </row>
    <row r="163" spans="1:10" x14ac:dyDescent="0.25">
      <c r="A163" s="5">
        <v>45478</v>
      </c>
      <c r="B163" s="5"/>
      <c r="C163" s="9" t="s">
        <v>203</v>
      </c>
      <c r="D163" s="9" t="s">
        <v>204</v>
      </c>
      <c r="F163" s="6">
        <v>80</v>
      </c>
      <c r="G163" s="6">
        <f t="shared" si="6"/>
        <v>80</v>
      </c>
      <c r="H163" s="6">
        <v>80</v>
      </c>
      <c r="I163" s="6">
        <f t="shared" si="7"/>
        <v>0</v>
      </c>
      <c r="J163" s="7" t="str">
        <f t="shared" si="8"/>
        <v>PAGADO</v>
      </c>
    </row>
    <row r="164" spans="1:10" x14ac:dyDescent="0.25">
      <c r="A164" s="5">
        <v>45478</v>
      </c>
      <c r="B164" s="5"/>
      <c r="C164" s="9" t="s">
        <v>205</v>
      </c>
      <c r="D164" s="9" t="s">
        <v>204</v>
      </c>
      <c r="F164" s="6">
        <v>75</v>
      </c>
      <c r="G164" s="6">
        <f t="shared" si="6"/>
        <v>75</v>
      </c>
      <c r="H164" s="6">
        <v>75</v>
      </c>
      <c r="I164" s="6">
        <f t="shared" si="7"/>
        <v>0</v>
      </c>
      <c r="J164" s="7" t="str">
        <f t="shared" si="8"/>
        <v>PAGADO</v>
      </c>
    </row>
    <row r="165" spans="1:10" x14ac:dyDescent="0.25">
      <c r="A165" s="5">
        <v>45478</v>
      </c>
      <c r="B165" s="5"/>
      <c r="C165" s="9" t="s">
        <v>206</v>
      </c>
      <c r="D165" s="9" t="s">
        <v>204</v>
      </c>
      <c r="F165" s="6">
        <v>10</v>
      </c>
      <c r="G165" s="6">
        <f t="shared" si="6"/>
        <v>10</v>
      </c>
      <c r="H165" s="6">
        <v>10</v>
      </c>
      <c r="I165" s="6">
        <f t="shared" si="7"/>
        <v>0</v>
      </c>
      <c r="J165" s="7" t="str">
        <f t="shared" si="8"/>
        <v>PAGADO</v>
      </c>
    </row>
    <row r="166" spans="1:10" x14ac:dyDescent="0.25">
      <c r="A166" s="5">
        <v>45478</v>
      </c>
      <c r="B166" s="5"/>
      <c r="C166" s="9" t="s">
        <v>206</v>
      </c>
      <c r="D166" s="9" t="s">
        <v>204</v>
      </c>
      <c r="F166" s="6">
        <v>15</v>
      </c>
      <c r="G166" s="6">
        <f t="shared" si="6"/>
        <v>15</v>
      </c>
      <c r="H166" s="6">
        <v>15</v>
      </c>
      <c r="I166" s="6">
        <f t="shared" si="7"/>
        <v>0</v>
      </c>
      <c r="J166" s="7" t="str">
        <f t="shared" si="8"/>
        <v>PAGADO</v>
      </c>
    </row>
    <row r="167" spans="1:10" x14ac:dyDescent="0.25">
      <c r="A167" s="5">
        <v>45478</v>
      </c>
      <c r="B167" s="5"/>
      <c r="C167" s="9" t="s">
        <v>207</v>
      </c>
      <c r="D167" s="9" t="s">
        <v>204</v>
      </c>
      <c r="F167" s="6">
        <v>10</v>
      </c>
      <c r="G167" s="6">
        <f t="shared" si="6"/>
        <v>10</v>
      </c>
      <c r="H167" s="6">
        <v>10</v>
      </c>
      <c r="I167" s="6">
        <f t="shared" si="7"/>
        <v>0</v>
      </c>
      <c r="J167" s="7" t="str">
        <f t="shared" si="8"/>
        <v>PAGADO</v>
      </c>
    </row>
    <row r="168" spans="1:10" x14ac:dyDescent="0.25">
      <c r="A168" s="5">
        <v>45478</v>
      </c>
      <c r="B168" s="5"/>
      <c r="C168" s="9" t="s">
        <v>102</v>
      </c>
      <c r="D168" s="9" t="s">
        <v>204</v>
      </c>
      <c r="F168" s="6">
        <v>20</v>
      </c>
      <c r="G168" s="6">
        <f t="shared" si="6"/>
        <v>20</v>
      </c>
      <c r="H168" s="6">
        <v>20</v>
      </c>
      <c r="I168" s="6">
        <f t="shared" si="7"/>
        <v>0</v>
      </c>
      <c r="J168" s="7" t="str">
        <f t="shared" si="8"/>
        <v>PAGADO</v>
      </c>
    </row>
    <row r="169" spans="1:10" x14ac:dyDescent="0.25">
      <c r="A169" s="5">
        <v>45478</v>
      </c>
      <c r="B169" s="5"/>
      <c r="C169" s="9" t="s">
        <v>208</v>
      </c>
      <c r="D169" t="s">
        <v>27</v>
      </c>
      <c r="F169" s="6">
        <v>66</v>
      </c>
      <c r="G169" s="6">
        <f t="shared" si="6"/>
        <v>66</v>
      </c>
      <c r="H169" s="6">
        <v>66</v>
      </c>
      <c r="I169" s="6">
        <f t="shared" si="7"/>
        <v>0</v>
      </c>
      <c r="J169" s="7" t="str">
        <f t="shared" si="8"/>
        <v>PAGADO</v>
      </c>
    </row>
    <row r="170" spans="1:10" x14ac:dyDescent="0.25">
      <c r="A170" s="5">
        <v>45478</v>
      </c>
      <c r="B170" s="5"/>
      <c r="C170" s="9" t="s">
        <v>209</v>
      </c>
      <c r="D170" t="s">
        <v>27</v>
      </c>
      <c r="F170" s="6">
        <v>66</v>
      </c>
      <c r="G170" s="6">
        <f t="shared" si="6"/>
        <v>66</v>
      </c>
      <c r="H170" s="6">
        <v>66</v>
      </c>
      <c r="I170" s="6">
        <f t="shared" si="7"/>
        <v>0</v>
      </c>
      <c r="J170" s="7" t="str">
        <f t="shared" si="8"/>
        <v>PAGADO</v>
      </c>
    </row>
    <row r="171" spans="1:10" x14ac:dyDescent="0.25">
      <c r="A171" s="5">
        <v>45478</v>
      </c>
      <c r="B171" s="5"/>
      <c r="C171" s="9" t="s">
        <v>210</v>
      </c>
      <c r="D171" t="s">
        <v>27</v>
      </c>
      <c r="F171" s="6">
        <v>66</v>
      </c>
      <c r="G171" s="6">
        <f t="shared" si="6"/>
        <v>66</v>
      </c>
      <c r="H171" s="6">
        <v>66</v>
      </c>
      <c r="I171" s="6">
        <f t="shared" si="7"/>
        <v>0</v>
      </c>
      <c r="J171" s="7" t="str">
        <f t="shared" si="8"/>
        <v>PAGADO</v>
      </c>
    </row>
    <row r="172" spans="1:10" x14ac:dyDescent="0.25">
      <c r="A172" s="5">
        <v>45478</v>
      </c>
      <c r="B172" s="5"/>
      <c r="C172" s="9" t="s">
        <v>211</v>
      </c>
      <c r="D172" t="s">
        <v>27</v>
      </c>
      <c r="F172" s="6">
        <v>70</v>
      </c>
      <c r="G172" s="6">
        <f t="shared" si="6"/>
        <v>70</v>
      </c>
      <c r="H172" s="6">
        <v>70</v>
      </c>
      <c r="I172" s="6">
        <f t="shared" si="7"/>
        <v>0</v>
      </c>
      <c r="J172" s="7" t="str">
        <f t="shared" si="8"/>
        <v>PAGADO</v>
      </c>
    </row>
    <row r="173" spans="1:10" x14ac:dyDescent="0.25">
      <c r="A173" s="5">
        <v>45478</v>
      </c>
      <c r="B173" s="5"/>
      <c r="C173" s="9" t="s">
        <v>212</v>
      </c>
      <c r="D173" t="s">
        <v>27</v>
      </c>
      <c r="F173" s="6">
        <v>70</v>
      </c>
      <c r="G173" s="6">
        <f t="shared" si="6"/>
        <v>70</v>
      </c>
      <c r="H173" s="6">
        <v>70</v>
      </c>
      <c r="I173" s="6">
        <f t="shared" si="7"/>
        <v>0</v>
      </c>
      <c r="J173" s="7" t="str">
        <f t="shared" si="8"/>
        <v>PAGADO</v>
      </c>
    </row>
    <row r="174" spans="1:10" x14ac:dyDescent="0.25">
      <c r="A174" s="5">
        <v>45478</v>
      </c>
      <c r="B174" s="5"/>
      <c r="C174" s="9" t="s">
        <v>213</v>
      </c>
      <c r="D174" t="s">
        <v>27</v>
      </c>
      <c r="F174" s="6">
        <v>300</v>
      </c>
      <c r="G174" s="6">
        <f t="shared" si="6"/>
        <v>300</v>
      </c>
      <c r="H174" s="6">
        <v>300</v>
      </c>
      <c r="I174" s="6">
        <f t="shared" si="7"/>
        <v>0</v>
      </c>
      <c r="J174" s="7" t="str">
        <f t="shared" si="8"/>
        <v>PAGADO</v>
      </c>
    </row>
    <row r="175" spans="1:10" x14ac:dyDescent="0.25">
      <c r="A175" s="5">
        <v>45478</v>
      </c>
      <c r="B175" s="5"/>
      <c r="C175" s="9" t="s">
        <v>214</v>
      </c>
      <c r="D175" t="s">
        <v>27</v>
      </c>
      <c r="F175" s="6">
        <v>10</v>
      </c>
      <c r="G175" s="6">
        <f t="shared" si="6"/>
        <v>10</v>
      </c>
      <c r="H175" s="6">
        <v>10</v>
      </c>
      <c r="I175" s="6">
        <f t="shared" si="7"/>
        <v>0</v>
      </c>
      <c r="J175" s="7" t="str">
        <f t="shared" si="8"/>
        <v>PAGADO</v>
      </c>
    </row>
    <row r="176" spans="1:10" x14ac:dyDescent="0.25">
      <c r="A176" s="5">
        <v>45478</v>
      </c>
      <c r="B176" s="5"/>
      <c r="C176" s="9" t="s">
        <v>215</v>
      </c>
      <c r="D176" t="s">
        <v>27</v>
      </c>
      <c r="F176" s="6">
        <v>170</v>
      </c>
      <c r="G176" s="6">
        <f t="shared" si="6"/>
        <v>170</v>
      </c>
      <c r="H176" s="6">
        <v>170</v>
      </c>
      <c r="I176" s="6">
        <f t="shared" si="7"/>
        <v>0</v>
      </c>
      <c r="J176" s="7" t="str">
        <f t="shared" si="8"/>
        <v>PAGADO</v>
      </c>
    </row>
    <row r="177" spans="1:10" x14ac:dyDescent="0.25">
      <c r="A177" s="5">
        <v>45478</v>
      </c>
      <c r="B177" s="5"/>
      <c r="C177" s="9" t="s">
        <v>216</v>
      </c>
      <c r="D177" t="s">
        <v>27</v>
      </c>
      <c r="F177" s="6">
        <v>100</v>
      </c>
      <c r="G177" s="6">
        <f t="shared" si="6"/>
        <v>100</v>
      </c>
      <c r="H177" s="6">
        <v>100</v>
      </c>
      <c r="I177" s="6">
        <f t="shared" si="7"/>
        <v>0</v>
      </c>
      <c r="J177" s="7" t="str">
        <f t="shared" si="8"/>
        <v>PAGADO</v>
      </c>
    </row>
    <row r="178" spans="1:10" x14ac:dyDescent="0.25">
      <c r="A178" s="5">
        <v>45478</v>
      </c>
      <c r="B178" s="5"/>
      <c r="C178" s="9" t="s">
        <v>217</v>
      </c>
      <c r="D178" t="s">
        <v>27</v>
      </c>
      <c r="F178" s="6">
        <v>65</v>
      </c>
      <c r="G178" s="6">
        <f t="shared" si="6"/>
        <v>65</v>
      </c>
      <c r="H178" s="6">
        <v>65</v>
      </c>
      <c r="I178" s="6">
        <f t="shared" si="7"/>
        <v>0</v>
      </c>
      <c r="J178" s="7" t="str">
        <f t="shared" si="8"/>
        <v>PAGADO</v>
      </c>
    </row>
    <row r="179" spans="1:10" x14ac:dyDescent="0.25">
      <c r="A179" s="5">
        <v>45478</v>
      </c>
      <c r="B179" s="5"/>
      <c r="C179" s="9" t="s">
        <v>218</v>
      </c>
      <c r="D179" t="s">
        <v>27</v>
      </c>
      <c r="F179" s="6">
        <v>13</v>
      </c>
      <c r="G179" s="6">
        <f t="shared" si="6"/>
        <v>13</v>
      </c>
      <c r="H179" s="6">
        <v>13</v>
      </c>
      <c r="I179" s="6">
        <f t="shared" si="7"/>
        <v>0</v>
      </c>
      <c r="J179" s="7" t="str">
        <f t="shared" si="8"/>
        <v>PAGADO</v>
      </c>
    </row>
    <row r="180" spans="1:10" x14ac:dyDescent="0.25">
      <c r="A180" s="5">
        <v>45478</v>
      </c>
      <c r="B180" s="5"/>
      <c r="C180" s="9" t="s">
        <v>219</v>
      </c>
      <c r="D180" t="s">
        <v>27</v>
      </c>
      <c r="F180" s="11">
        <v>75</v>
      </c>
      <c r="G180" s="6">
        <f t="shared" si="6"/>
        <v>75</v>
      </c>
      <c r="H180" s="6">
        <v>75</v>
      </c>
      <c r="I180" s="6">
        <f t="shared" si="7"/>
        <v>0</v>
      </c>
      <c r="J180" s="7" t="str">
        <f t="shared" si="8"/>
        <v>PAGADO</v>
      </c>
    </row>
    <row r="181" spans="1:10" x14ac:dyDescent="0.25">
      <c r="A181" s="5">
        <v>45478</v>
      </c>
      <c r="B181" s="5"/>
      <c r="C181" s="9" t="s">
        <v>220</v>
      </c>
      <c r="D181" t="s">
        <v>27</v>
      </c>
      <c r="F181" s="6">
        <v>12</v>
      </c>
      <c r="G181" s="6">
        <f t="shared" si="6"/>
        <v>12</v>
      </c>
      <c r="H181" s="6">
        <v>12</v>
      </c>
      <c r="I181" s="6">
        <f t="shared" si="7"/>
        <v>0</v>
      </c>
      <c r="J181" s="7" t="str">
        <f t="shared" si="8"/>
        <v>PAGADO</v>
      </c>
    </row>
    <row r="182" spans="1:10" x14ac:dyDescent="0.25">
      <c r="A182" s="5">
        <v>45478</v>
      </c>
      <c r="B182" s="5"/>
      <c r="C182" s="9" t="s">
        <v>218</v>
      </c>
      <c r="D182" s="9" t="s">
        <v>72</v>
      </c>
      <c r="F182" s="6">
        <v>12</v>
      </c>
      <c r="G182" s="6">
        <f t="shared" si="6"/>
        <v>12</v>
      </c>
      <c r="H182" s="6">
        <v>12</v>
      </c>
      <c r="I182" s="6">
        <f t="shared" si="7"/>
        <v>0</v>
      </c>
      <c r="J182" s="7" t="str">
        <f t="shared" si="8"/>
        <v>PAGADO</v>
      </c>
    </row>
    <row r="183" spans="1:10" x14ac:dyDescent="0.25">
      <c r="A183" s="5">
        <v>45478</v>
      </c>
      <c r="B183" s="5"/>
      <c r="C183" s="9" t="s">
        <v>221</v>
      </c>
      <c r="D183" s="9" t="s">
        <v>89</v>
      </c>
      <c r="F183" s="6">
        <v>22</v>
      </c>
      <c r="G183" s="6">
        <f t="shared" si="6"/>
        <v>22</v>
      </c>
      <c r="H183" s="6">
        <v>22</v>
      </c>
      <c r="I183" s="6">
        <f t="shared" si="7"/>
        <v>0</v>
      </c>
      <c r="J183" s="7" t="str">
        <f t="shared" si="8"/>
        <v>PAGADO</v>
      </c>
    </row>
    <row r="184" spans="1:10" x14ac:dyDescent="0.25">
      <c r="A184" s="5">
        <v>45478</v>
      </c>
      <c r="B184" s="5"/>
      <c r="C184" s="9" t="s">
        <v>222</v>
      </c>
      <c r="D184" s="9" t="s">
        <v>89</v>
      </c>
      <c r="F184" s="6">
        <v>19</v>
      </c>
      <c r="G184" s="6">
        <f t="shared" si="6"/>
        <v>19</v>
      </c>
      <c r="H184" s="6">
        <v>19</v>
      </c>
      <c r="I184" s="6">
        <f t="shared" si="7"/>
        <v>0</v>
      </c>
      <c r="J184" s="7" t="str">
        <f t="shared" si="8"/>
        <v>PAGADO</v>
      </c>
    </row>
    <row r="185" spans="1:10" x14ac:dyDescent="0.25">
      <c r="A185" s="5">
        <v>45478</v>
      </c>
      <c r="B185" s="5"/>
      <c r="C185" s="9" t="s">
        <v>155</v>
      </c>
      <c r="D185" s="9" t="s">
        <v>89</v>
      </c>
      <c r="F185" s="6">
        <v>6</v>
      </c>
      <c r="G185" s="6">
        <f t="shared" si="6"/>
        <v>6</v>
      </c>
      <c r="H185" s="6">
        <v>6</v>
      </c>
      <c r="I185" s="6">
        <f t="shared" si="7"/>
        <v>0</v>
      </c>
      <c r="J185" s="7" t="str">
        <f t="shared" si="8"/>
        <v>PAGADO</v>
      </c>
    </row>
    <row r="186" spans="1:10" x14ac:dyDescent="0.25">
      <c r="A186" s="5">
        <v>45478</v>
      </c>
      <c r="B186" s="5"/>
      <c r="C186" s="9" t="s">
        <v>211</v>
      </c>
      <c r="D186" s="9" t="s">
        <v>16</v>
      </c>
      <c r="F186" s="6">
        <v>70</v>
      </c>
      <c r="G186" s="6">
        <f t="shared" si="6"/>
        <v>70</v>
      </c>
      <c r="H186" s="6">
        <v>70</v>
      </c>
      <c r="I186" s="6">
        <f t="shared" si="7"/>
        <v>0</v>
      </c>
      <c r="J186" s="7" t="str">
        <f t="shared" si="8"/>
        <v>PAGADO</v>
      </c>
    </row>
    <row r="187" spans="1:10" x14ac:dyDescent="0.25">
      <c r="A187" s="5">
        <v>45478</v>
      </c>
      <c r="B187" s="5"/>
      <c r="C187" s="9" t="s">
        <v>223</v>
      </c>
      <c r="D187" s="9" t="s">
        <v>224</v>
      </c>
      <c r="F187" s="6">
        <v>70</v>
      </c>
      <c r="G187" s="6">
        <f t="shared" si="6"/>
        <v>70</v>
      </c>
      <c r="H187" s="6">
        <f>35+20+15</f>
        <v>70</v>
      </c>
      <c r="I187" s="6">
        <f t="shared" si="7"/>
        <v>0</v>
      </c>
      <c r="J187" s="7" t="str">
        <f t="shared" si="8"/>
        <v>PAGADO</v>
      </c>
    </row>
    <row r="188" spans="1:10" x14ac:dyDescent="0.25">
      <c r="A188" s="5">
        <v>45478</v>
      </c>
      <c r="B188" s="5"/>
      <c r="C188" s="9" t="s">
        <v>225</v>
      </c>
      <c r="D188" s="9" t="s">
        <v>101</v>
      </c>
      <c r="F188" s="6">
        <v>120</v>
      </c>
      <c r="G188" s="6">
        <f t="shared" si="6"/>
        <v>120</v>
      </c>
      <c r="H188" s="6">
        <v>120</v>
      </c>
      <c r="I188" s="6">
        <f t="shared" si="7"/>
        <v>0</v>
      </c>
      <c r="J188" s="7" t="str">
        <f t="shared" si="8"/>
        <v>PAGADO</v>
      </c>
    </row>
    <row r="189" spans="1:10" x14ac:dyDescent="0.25">
      <c r="A189" s="5">
        <v>45478</v>
      </c>
      <c r="B189" s="5"/>
      <c r="C189" s="9" t="s">
        <v>226</v>
      </c>
      <c r="D189" s="9" t="s">
        <v>227</v>
      </c>
      <c r="F189" s="6">
        <v>75</v>
      </c>
      <c r="G189" s="6">
        <f t="shared" si="6"/>
        <v>75</v>
      </c>
      <c r="H189" s="6">
        <v>75</v>
      </c>
      <c r="I189" s="6">
        <f t="shared" si="7"/>
        <v>0</v>
      </c>
      <c r="J189" s="7" t="str">
        <f t="shared" si="8"/>
        <v>PAGADO</v>
      </c>
    </row>
    <row r="190" spans="1:10" x14ac:dyDescent="0.25">
      <c r="A190" s="5">
        <v>45478</v>
      </c>
      <c r="B190" s="5"/>
      <c r="C190" s="9" t="s">
        <v>228</v>
      </c>
      <c r="D190" s="9" t="s">
        <v>67</v>
      </c>
      <c r="F190" s="6">
        <v>140</v>
      </c>
      <c r="G190" s="6">
        <f t="shared" si="6"/>
        <v>140</v>
      </c>
      <c r="H190" s="6">
        <f>50+90</f>
        <v>140</v>
      </c>
      <c r="I190" s="6">
        <f t="shared" si="7"/>
        <v>0</v>
      </c>
      <c r="J190" s="7" t="str">
        <f t="shared" si="8"/>
        <v>PAGADO</v>
      </c>
    </row>
    <row r="191" spans="1:10" x14ac:dyDescent="0.25">
      <c r="A191" s="5">
        <v>45478</v>
      </c>
      <c r="B191" s="5"/>
      <c r="C191" s="9" t="s">
        <v>211</v>
      </c>
      <c r="D191" t="s">
        <v>127</v>
      </c>
      <c r="F191" s="6">
        <v>65</v>
      </c>
      <c r="G191" s="6">
        <f t="shared" si="6"/>
        <v>65</v>
      </c>
      <c r="H191" s="6">
        <v>65</v>
      </c>
      <c r="I191" s="6">
        <f t="shared" si="7"/>
        <v>0</v>
      </c>
      <c r="J191" s="7" t="str">
        <f t="shared" si="8"/>
        <v>PAGADO</v>
      </c>
    </row>
    <row r="192" spans="1:10" x14ac:dyDescent="0.25">
      <c r="A192" s="5">
        <v>45478</v>
      </c>
      <c r="B192" s="5"/>
      <c r="C192" s="9" t="s">
        <v>223</v>
      </c>
      <c r="D192" t="s">
        <v>127</v>
      </c>
      <c r="F192" s="6">
        <v>65</v>
      </c>
      <c r="G192" s="6">
        <f t="shared" si="6"/>
        <v>65</v>
      </c>
      <c r="H192" s="6">
        <v>65</v>
      </c>
      <c r="I192" s="6">
        <f t="shared" si="7"/>
        <v>0</v>
      </c>
      <c r="J192" s="7" t="str">
        <f t="shared" si="8"/>
        <v>PAGADO</v>
      </c>
    </row>
    <row r="193" spans="1:12" x14ac:dyDescent="0.25">
      <c r="A193" s="5">
        <v>45478</v>
      </c>
      <c r="B193" s="5"/>
      <c r="C193" s="9" t="s">
        <v>218</v>
      </c>
      <c r="D193" s="9" t="s">
        <v>16</v>
      </c>
      <c r="F193" s="6">
        <v>9</v>
      </c>
      <c r="G193" s="6">
        <f t="shared" si="6"/>
        <v>9</v>
      </c>
      <c r="H193" s="6">
        <v>9</v>
      </c>
      <c r="I193" s="6">
        <f t="shared" si="7"/>
        <v>0</v>
      </c>
      <c r="J193" s="7" t="str">
        <f t="shared" si="8"/>
        <v>PAGADO</v>
      </c>
    </row>
    <row r="194" spans="1:12" x14ac:dyDescent="0.25">
      <c r="A194" s="5">
        <v>45478</v>
      </c>
      <c r="B194" s="5"/>
      <c r="C194" s="9" t="s">
        <v>155</v>
      </c>
      <c r="D194" s="9" t="s">
        <v>16</v>
      </c>
      <c r="F194" s="6">
        <v>8</v>
      </c>
      <c r="G194" s="6">
        <f t="shared" ref="G194:G257" si="9">F194-E194</f>
        <v>8</v>
      </c>
      <c r="H194" s="6">
        <v>8</v>
      </c>
      <c r="I194" s="6">
        <f t="shared" ref="I194:I257" si="10">F194-H194</f>
        <v>0</v>
      </c>
      <c r="J194" s="7" t="str">
        <f t="shared" ref="J194:J257" si="11">IF(I194&gt;0,"DEBE","PAGADO")</f>
        <v>PAGADO</v>
      </c>
    </row>
    <row r="195" spans="1:12" x14ac:dyDescent="0.25">
      <c r="A195" s="5">
        <v>45478</v>
      </c>
      <c r="B195" s="5"/>
      <c r="C195" s="9" t="s">
        <v>218</v>
      </c>
      <c r="D195" t="s">
        <v>45</v>
      </c>
      <c r="F195" s="6">
        <v>7</v>
      </c>
      <c r="G195" s="6">
        <f t="shared" si="9"/>
        <v>7</v>
      </c>
      <c r="H195" s="6">
        <v>7</v>
      </c>
      <c r="I195" s="6">
        <f t="shared" si="10"/>
        <v>0</v>
      </c>
      <c r="J195" s="7" t="str">
        <f t="shared" si="11"/>
        <v>PAGADO</v>
      </c>
    </row>
    <row r="196" spans="1:12" x14ac:dyDescent="0.25">
      <c r="A196" s="5">
        <v>45478</v>
      </c>
      <c r="B196" s="5"/>
      <c r="C196" s="9" t="s">
        <v>229</v>
      </c>
      <c r="D196" s="9" t="s">
        <v>52</v>
      </c>
      <c r="F196" s="6">
        <v>73</v>
      </c>
      <c r="G196" s="6">
        <f t="shared" si="9"/>
        <v>73</v>
      </c>
      <c r="H196" s="6">
        <v>73</v>
      </c>
      <c r="I196" s="6">
        <f t="shared" si="10"/>
        <v>0</v>
      </c>
      <c r="J196" s="7" t="str">
        <f t="shared" si="11"/>
        <v>PAGADO</v>
      </c>
    </row>
    <row r="197" spans="1:12" x14ac:dyDescent="0.25">
      <c r="A197" s="5">
        <v>45478</v>
      </c>
      <c r="B197" s="5"/>
      <c r="C197" s="9" t="s">
        <v>230</v>
      </c>
      <c r="D197" t="s">
        <v>45</v>
      </c>
      <c r="F197" s="6">
        <v>10</v>
      </c>
      <c r="G197" s="6">
        <f t="shared" si="9"/>
        <v>10</v>
      </c>
      <c r="H197" s="6">
        <v>10</v>
      </c>
      <c r="I197" s="6">
        <f t="shared" si="10"/>
        <v>0</v>
      </c>
      <c r="J197" s="7" t="str">
        <f t="shared" si="11"/>
        <v>PAGADO</v>
      </c>
    </row>
    <row r="198" spans="1:12" x14ac:dyDescent="0.25">
      <c r="A198" s="5">
        <v>45478</v>
      </c>
      <c r="B198" s="5"/>
      <c r="C198" s="9" t="s">
        <v>121</v>
      </c>
      <c r="D198" t="s">
        <v>45</v>
      </c>
      <c r="F198" s="6">
        <v>300</v>
      </c>
      <c r="G198" s="6">
        <f t="shared" si="9"/>
        <v>300</v>
      </c>
      <c r="H198" s="6">
        <v>300</v>
      </c>
      <c r="I198" s="6">
        <f t="shared" si="10"/>
        <v>0</v>
      </c>
      <c r="J198" s="7" t="str">
        <f t="shared" si="11"/>
        <v>PAGADO</v>
      </c>
      <c r="L198" s="9"/>
    </row>
    <row r="199" spans="1:12" x14ac:dyDescent="0.25">
      <c r="A199" s="5">
        <v>45478</v>
      </c>
      <c r="B199" s="5"/>
      <c r="C199" s="9" t="s">
        <v>231</v>
      </c>
      <c r="D199" s="9" t="s">
        <v>232</v>
      </c>
      <c r="F199" s="6">
        <v>95</v>
      </c>
      <c r="G199" s="6">
        <f t="shared" si="9"/>
        <v>95</v>
      </c>
      <c r="H199" s="6">
        <v>95</v>
      </c>
      <c r="I199" s="6">
        <f t="shared" si="10"/>
        <v>0</v>
      </c>
      <c r="J199" s="7" t="str">
        <f t="shared" si="11"/>
        <v>PAGADO</v>
      </c>
    </row>
    <row r="200" spans="1:12" x14ac:dyDescent="0.25">
      <c r="A200" s="5">
        <v>45482</v>
      </c>
      <c r="B200" s="5"/>
      <c r="C200" s="9" t="s">
        <v>41</v>
      </c>
      <c r="D200" s="9" t="s">
        <v>70</v>
      </c>
      <c r="F200" s="6">
        <v>73</v>
      </c>
      <c r="G200" s="6">
        <f t="shared" si="9"/>
        <v>73</v>
      </c>
      <c r="H200" s="6">
        <v>73</v>
      </c>
      <c r="I200" s="6">
        <f t="shared" si="10"/>
        <v>0</v>
      </c>
      <c r="J200" s="7" t="str">
        <f t="shared" si="11"/>
        <v>PAGADO</v>
      </c>
    </row>
    <row r="201" spans="1:12" x14ac:dyDescent="0.25">
      <c r="A201" s="5">
        <v>45482</v>
      </c>
      <c r="B201" s="5"/>
      <c r="C201" s="9" t="s">
        <v>233</v>
      </c>
      <c r="D201" s="9" t="s">
        <v>99</v>
      </c>
      <c r="F201" s="6">
        <v>70</v>
      </c>
      <c r="G201" s="6">
        <f t="shared" si="9"/>
        <v>70</v>
      </c>
      <c r="H201" s="6">
        <v>70</v>
      </c>
      <c r="I201" s="6">
        <f t="shared" si="10"/>
        <v>0</v>
      </c>
      <c r="J201" s="7" t="str">
        <f t="shared" si="11"/>
        <v>PAGADO</v>
      </c>
    </row>
    <row r="202" spans="1:12" x14ac:dyDescent="0.25">
      <c r="A202" s="5">
        <v>45482</v>
      </c>
      <c r="B202" s="5"/>
      <c r="C202" s="9" t="s">
        <v>234</v>
      </c>
      <c r="D202" s="9" t="s">
        <v>99</v>
      </c>
      <c r="F202" s="6">
        <v>70</v>
      </c>
      <c r="G202" s="6">
        <f t="shared" si="9"/>
        <v>70</v>
      </c>
      <c r="H202" s="6">
        <v>70</v>
      </c>
      <c r="I202" s="6">
        <f t="shared" si="10"/>
        <v>0</v>
      </c>
      <c r="J202" s="7" t="str">
        <f t="shared" si="11"/>
        <v>PAGADO</v>
      </c>
    </row>
    <row r="203" spans="1:12" x14ac:dyDescent="0.25">
      <c r="A203" s="5">
        <v>45482</v>
      </c>
      <c r="B203" s="5"/>
      <c r="C203" s="9" t="s">
        <v>85</v>
      </c>
      <c r="D203" s="9" t="s">
        <v>33</v>
      </c>
      <c r="F203" s="6">
        <v>70</v>
      </c>
      <c r="G203" s="6">
        <f t="shared" si="9"/>
        <v>70</v>
      </c>
      <c r="H203" s="6">
        <v>70</v>
      </c>
      <c r="I203" s="6">
        <f t="shared" si="10"/>
        <v>0</v>
      </c>
      <c r="J203" s="7" t="str">
        <f t="shared" si="11"/>
        <v>PAGADO</v>
      </c>
    </row>
    <row r="204" spans="1:12" x14ac:dyDescent="0.25">
      <c r="A204" s="5">
        <v>45482</v>
      </c>
      <c r="B204" s="5"/>
      <c r="C204" s="9" t="s">
        <v>235</v>
      </c>
      <c r="D204" s="9" t="s">
        <v>236</v>
      </c>
      <c r="F204" s="6">
        <v>75</v>
      </c>
      <c r="G204" s="6">
        <f t="shared" si="9"/>
        <v>75</v>
      </c>
      <c r="H204" s="6">
        <v>75</v>
      </c>
      <c r="I204" s="6">
        <f t="shared" si="10"/>
        <v>0</v>
      </c>
      <c r="J204" s="7" t="str">
        <f t="shared" si="11"/>
        <v>PAGADO</v>
      </c>
    </row>
    <row r="205" spans="1:12" x14ac:dyDescent="0.25">
      <c r="A205" s="5">
        <v>45482</v>
      </c>
      <c r="B205" s="5"/>
      <c r="C205" s="9" t="s">
        <v>199</v>
      </c>
      <c r="D205" s="9" t="s">
        <v>236</v>
      </c>
      <c r="F205" s="6">
        <v>10</v>
      </c>
      <c r="G205" s="6">
        <f t="shared" si="9"/>
        <v>10</v>
      </c>
      <c r="H205" s="6">
        <v>10</v>
      </c>
      <c r="I205" s="6">
        <f t="shared" si="10"/>
        <v>0</v>
      </c>
      <c r="J205" s="7" t="str">
        <f t="shared" si="11"/>
        <v>PAGADO</v>
      </c>
    </row>
    <row r="206" spans="1:12" x14ac:dyDescent="0.25">
      <c r="A206" s="5">
        <v>45482</v>
      </c>
      <c r="B206" s="5"/>
      <c r="C206" s="9" t="s">
        <v>199</v>
      </c>
      <c r="D206" s="9" t="s">
        <v>236</v>
      </c>
      <c r="F206" s="6">
        <v>10</v>
      </c>
      <c r="G206" s="6">
        <f t="shared" si="9"/>
        <v>10</v>
      </c>
      <c r="H206" s="6">
        <v>10</v>
      </c>
      <c r="I206" s="6">
        <f t="shared" si="10"/>
        <v>0</v>
      </c>
      <c r="J206" s="7" t="str">
        <f t="shared" si="11"/>
        <v>PAGADO</v>
      </c>
    </row>
    <row r="207" spans="1:12" x14ac:dyDescent="0.25">
      <c r="A207" s="5">
        <v>45482</v>
      </c>
      <c r="B207" s="5"/>
      <c r="C207" s="9" t="s">
        <v>218</v>
      </c>
      <c r="D207" s="9" t="s">
        <v>236</v>
      </c>
      <c r="F207" s="6">
        <v>15</v>
      </c>
      <c r="G207" s="6">
        <f t="shared" si="9"/>
        <v>15</v>
      </c>
      <c r="H207" s="6">
        <v>15</v>
      </c>
      <c r="I207" s="6">
        <f t="shared" si="10"/>
        <v>0</v>
      </c>
      <c r="J207" s="7" t="str">
        <f t="shared" si="11"/>
        <v>PAGADO</v>
      </c>
    </row>
    <row r="208" spans="1:12" x14ac:dyDescent="0.25">
      <c r="A208" s="5">
        <v>45482</v>
      </c>
      <c r="B208" s="5"/>
      <c r="C208" s="9" t="s">
        <v>166</v>
      </c>
      <c r="D208" s="9" t="s">
        <v>236</v>
      </c>
      <c r="F208" s="6">
        <v>10</v>
      </c>
      <c r="G208" s="6">
        <f t="shared" si="9"/>
        <v>10</v>
      </c>
      <c r="H208" s="6">
        <v>10</v>
      </c>
      <c r="I208" s="6">
        <f t="shared" si="10"/>
        <v>0</v>
      </c>
      <c r="J208" s="7" t="str">
        <f t="shared" si="11"/>
        <v>PAGADO</v>
      </c>
    </row>
    <row r="209" spans="1:10" x14ac:dyDescent="0.25">
      <c r="A209" s="5">
        <v>45482</v>
      </c>
      <c r="B209" s="5"/>
      <c r="C209" s="9" t="s">
        <v>155</v>
      </c>
      <c r="D209" s="9" t="s">
        <v>236</v>
      </c>
      <c r="F209" s="6">
        <v>14</v>
      </c>
      <c r="G209" s="6">
        <f t="shared" si="9"/>
        <v>14</v>
      </c>
      <c r="H209" s="6">
        <v>14</v>
      </c>
      <c r="I209" s="6">
        <f t="shared" si="10"/>
        <v>0</v>
      </c>
      <c r="J209" s="7" t="str">
        <f t="shared" si="11"/>
        <v>PAGADO</v>
      </c>
    </row>
    <row r="210" spans="1:10" x14ac:dyDescent="0.25">
      <c r="A210" s="5">
        <v>45482</v>
      </c>
      <c r="B210" s="5"/>
      <c r="C210" s="9" t="s">
        <v>237</v>
      </c>
      <c r="D210" s="9" t="s">
        <v>238</v>
      </c>
      <c r="F210" s="6">
        <v>70</v>
      </c>
      <c r="G210" s="6">
        <f t="shared" si="9"/>
        <v>70</v>
      </c>
      <c r="H210" s="6">
        <v>70</v>
      </c>
      <c r="I210" s="6">
        <f t="shared" si="10"/>
        <v>0</v>
      </c>
      <c r="J210" s="7" t="str">
        <f t="shared" si="11"/>
        <v>PAGADO</v>
      </c>
    </row>
    <row r="211" spans="1:10" x14ac:dyDescent="0.25">
      <c r="A211" s="5">
        <v>45482</v>
      </c>
      <c r="B211" s="5"/>
      <c r="C211" s="9" t="s">
        <v>239</v>
      </c>
      <c r="D211" s="9" t="s">
        <v>238</v>
      </c>
      <c r="F211" s="6">
        <v>70</v>
      </c>
      <c r="G211" s="6">
        <f t="shared" si="9"/>
        <v>70</v>
      </c>
      <c r="H211" s="6">
        <v>70</v>
      </c>
      <c r="I211" s="6">
        <f t="shared" si="10"/>
        <v>0</v>
      </c>
      <c r="J211" s="7" t="str">
        <f t="shared" si="11"/>
        <v>PAGADO</v>
      </c>
    </row>
    <row r="212" spans="1:10" x14ac:dyDescent="0.25">
      <c r="A212" s="5">
        <v>45482</v>
      </c>
      <c r="B212" s="5"/>
      <c r="C212" s="9" t="s">
        <v>212</v>
      </c>
      <c r="D212" s="9" t="s">
        <v>240</v>
      </c>
      <c r="F212" s="6">
        <v>70</v>
      </c>
      <c r="G212" s="6">
        <f t="shared" si="9"/>
        <v>70</v>
      </c>
      <c r="H212" s="6">
        <v>70</v>
      </c>
      <c r="I212" s="6">
        <f t="shared" si="10"/>
        <v>0</v>
      </c>
      <c r="J212" s="7" t="str">
        <f t="shared" si="11"/>
        <v>PAGADO</v>
      </c>
    </row>
    <row r="213" spans="1:10" x14ac:dyDescent="0.25">
      <c r="A213" s="5">
        <v>45482</v>
      </c>
      <c r="B213" s="5"/>
      <c r="C213" s="9" t="s">
        <v>241</v>
      </c>
      <c r="D213" s="9" t="s">
        <v>240</v>
      </c>
      <c r="F213" s="6">
        <v>9</v>
      </c>
      <c r="G213" s="6">
        <f t="shared" si="9"/>
        <v>9</v>
      </c>
      <c r="H213" s="6">
        <v>9</v>
      </c>
      <c r="I213" s="6">
        <f t="shared" si="10"/>
        <v>0</v>
      </c>
      <c r="J213" s="7" t="str">
        <f t="shared" si="11"/>
        <v>PAGADO</v>
      </c>
    </row>
    <row r="214" spans="1:10" x14ac:dyDescent="0.25">
      <c r="A214" s="5">
        <v>45482</v>
      </c>
      <c r="B214" s="5"/>
      <c r="C214" s="9" t="s">
        <v>242</v>
      </c>
      <c r="D214" s="9" t="s">
        <v>243</v>
      </c>
      <c r="F214" s="6">
        <v>12</v>
      </c>
      <c r="G214" s="6">
        <f t="shared" si="9"/>
        <v>12</v>
      </c>
      <c r="H214" s="6">
        <v>12</v>
      </c>
      <c r="I214" s="6">
        <f t="shared" si="10"/>
        <v>0</v>
      </c>
      <c r="J214" s="7" t="str">
        <f t="shared" si="11"/>
        <v>PAGADO</v>
      </c>
    </row>
    <row r="215" spans="1:10" x14ac:dyDescent="0.25">
      <c r="A215" s="5">
        <v>45482</v>
      </c>
      <c r="B215" s="5"/>
      <c r="C215" s="9" t="s">
        <v>242</v>
      </c>
      <c r="D215" s="9" t="s">
        <v>243</v>
      </c>
      <c r="F215" s="6">
        <v>11</v>
      </c>
      <c r="G215" s="6">
        <f t="shared" si="9"/>
        <v>11</v>
      </c>
      <c r="H215" s="6">
        <v>11</v>
      </c>
      <c r="I215" s="6">
        <f t="shared" si="10"/>
        <v>0</v>
      </c>
      <c r="J215" s="7" t="str">
        <f t="shared" si="11"/>
        <v>PAGADO</v>
      </c>
    </row>
    <row r="216" spans="1:10" x14ac:dyDescent="0.25">
      <c r="A216" s="5">
        <v>45482</v>
      </c>
      <c r="B216" s="5"/>
      <c r="C216" s="9" t="s">
        <v>244</v>
      </c>
      <c r="D216" t="s">
        <v>204</v>
      </c>
      <c r="F216" s="6">
        <v>15</v>
      </c>
      <c r="G216" s="6">
        <f t="shared" si="9"/>
        <v>15</v>
      </c>
      <c r="H216" s="6">
        <v>15</v>
      </c>
      <c r="I216" s="6">
        <f t="shared" si="10"/>
        <v>0</v>
      </c>
      <c r="J216" s="7" t="str">
        <f t="shared" si="11"/>
        <v>PAGADO</v>
      </c>
    </row>
    <row r="217" spans="1:10" x14ac:dyDescent="0.25">
      <c r="A217" s="5">
        <v>45482</v>
      </c>
      <c r="B217" s="5"/>
      <c r="C217" s="9" t="s">
        <v>245</v>
      </c>
      <c r="D217" t="s">
        <v>18</v>
      </c>
      <c r="F217" s="6">
        <v>70</v>
      </c>
      <c r="G217" s="6">
        <f t="shared" si="9"/>
        <v>70</v>
      </c>
      <c r="H217" s="6">
        <v>70</v>
      </c>
      <c r="I217" s="6">
        <f t="shared" si="10"/>
        <v>0</v>
      </c>
      <c r="J217" s="7" t="str">
        <f t="shared" si="11"/>
        <v>PAGADO</v>
      </c>
    </row>
    <row r="218" spans="1:10" x14ac:dyDescent="0.25">
      <c r="A218" s="5">
        <v>45482</v>
      </c>
      <c r="B218" s="5"/>
      <c r="C218" s="9" t="s">
        <v>246</v>
      </c>
      <c r="D218" t="s">
        <v>80</v>
      </c>
      <c r="F218" s="6">
        <v>70</v>
      </c>
      <c r="G218" s="6">
        <f t="shared" si="9"/>
        <v>70</v>
      </c>
      <c r="H218" s="6">
        <v>70</v>
      </c>
      <c r="I218" s="6">
        <f t="shared" si="10"/>
        <v>0</v>
      </c>
      <c r="J218" s="7" t="str">
        <f t="shared" si="11"/>
        <v>PAGADO</v>
      </c>
    </row>
    <row r="219" spans="1:10" x14ac:dyDescent="0.25">
      <c r="A219" s="5">
        <v>45482</v>
      </c>
      <c r="B219" s="5"/>
      <c r="C219" s="9" t="s">
        <v>247</v>
      </c>
      <c r="D219" t="s">
        <v>52</v>
      </c>
      <c r="F219" s="6">
        <v>72</v>
      </c>
      <c r="G219" s="6">
        <f t="shared" si="9"/>
        <v>72</v>
      </c>
      <c r="H219" s="6">
        <v>72</v>
      </c>
      <c r="I219" s="6">
        <f t="shared" si="10"/>
        <v>0</v>
      </c>
      <c r="J219" s="7" t="str">
        <f t="shared" si="11"/>
        <v>PAGADO</v>
      </c>
    </row>
    <row r="220" spans="1:10" x14ac:dyDescent="0.25">
      <c r="A220" s="5">
        <v>45482</v>
      </c>
      <c r="B220" s="5"/>
      <c r="C220" s="9" t="s">
        <v>121</v>
      </c>
      <c r="D220" t="s">
        <v>16</v>
      </c>
      <c r="F220" s="6">
        <v>16</v>
      </c>
      <c r="G220" s="6">
        <f t="shared" si="9"/>
        <v>16</v>
      </c>
      <c r="H220" s="6">
        <v>16</v>
      </c>
      <c r="I220" s="6">
        <f t="shared" si="10"/>
        <v>0</v>
      </c>
      <c r="J220" s="7" t="str">
        <f t="shared" si="11"/>
        <v>PAGADO</v>
      </c>
    </row>
    <row r="221" spans="1:10" x14ac:dyDescent="0.25">
      <c r="A221" s="5">
        <v>45482</v>
      </c>
      <c r="B221" s="5"/>
      <c r="C221" s="9" t="s">
        <v>132</v>
      </c>
      <c r="D221" t="s">
        <v>248</v>
      </c>
      <c r="F221" s="6">
        <v>12</v>
      </c>
      <c r="G221" s="6">
        <f t="shared" si="9"/>
        <v>12</v>
      </c>
      <c r="H221" s="6">
        <v>12</v>
      </c>
      <c r="I221" s="6">
        <f t="shared" si="10"/>
        <v>0</v>
      </c>
      <c r="J221" s="7" t="str">
        <f t="shared" si="11"/>
        <v>PAGADO</v>
      </c>
    </row>
    <row r="222" spans="1:10" x14ac:dyDescent="0.25">
      <c r="A222" s="5">
        <v>45482</v>
      </c>
      <c r="B222" s="5"/>
      <c r="C222" s="9" t="s">
        <v>184</v>
      </c>
      <c r="D222" t="s">
        <v>136</v>
      </c>
      <c r="F222" s="6">
        <v>27</v>
      </c>
      <c r="G222" s="6">
        <f t="shared" si="9"/>
        <v>27</v>
      </c>
      <c r="H222" s="6">
        <v>27</v>
      </c>
      <c r="I222" s="12">
        <f t="shared" si="10"/>
        <v>0</v>
      </c>
      <c r="J222" s="7" t="str">
        <f t="shared" si="11"/>
        <v>PAGADO</v>
      </c>
    </row>
    <row r="223" spans="1:10" x14ac:dyDescent="0.25">
      <c r="A223" s="5">
        <v>45482</v>
      </c>
      <c r="B223" s="5"/>
      <c r="C223" s="9" t="s">
        <v>170</v>
      </c>
      <c r="D223" t="s">
        <v>45</v>
      </c>
      <c r="F223" s="6">
        <v>10</v>
      </c>
      <c r="G223" s="6">
        <f t="shared" si="9"/>
        <v>10</v>
      </c>
      <c r="H223" s="6">
        <v>10</v>
      </c>
      <c r="I223" s="6">
        <f t="shared" si="10"/>
        <v>0</v>
      </c>
      <c r="J223" s="7" t="str">
        <f t="shared" si="11"/>
        <v>PAGADO</v>
      </c>
    </row>
    <row r="224" spans="1:10" x14ac:dyDescent="0.25">
      <c r="A224" s="5">
        <v>45482</v>
      </c>
      <c r="B224" s="5"/>
      <c r="C224" s="9" t="s">
        <v>249</v>
      </c>
      <c r="D224" t="s">
        <v>250</v>
      </c>
      <c r="F224" s="6">
        <v>20</v>
      </c>
      <c r="G224" s="6">
        <f t="shared" si="9"/>
        <v>20</v>
      </c>
      <c r="H224" s="6">
        <v>20</v>
      </c>
      <c r="I224" s="6">
        <f t="shared" si="10"/>
        <v>0</v>
      </c>
      <c r="J224" s="7" t="str">
        <f t="shared" si="11"/>
        <v>PAGADO</v>
      </c>
    </row>
    <row r="225" spans="1:10" x14ac:dyDescent="0.25">
      <c r="A225" s="5">
        <v>45482</v>
      </c>
      <c r="B225" s="5"/>
      <c r="C225" s="9" t="s">
        <v>170</v>
      </c>
      <c r="D225" t="s">
        <v>129</v>
      </c>
      <c r="F225" s="6">
        <v>9</v>
      </c>
      <c r="G225" s="6">
        <f t="shared" si="9"/>
        <v>9</v>
      </c>
      <c r="H225" s="6">
        <v>9</v>
      </c>
      <c r="I225" s="6">
        <f t="shared" si="10"/>
        <v>0</v>
      </c>
      <c r="J225" s="7" t="str">
        <f t="shared" si="11"/>
        <v>PAGADO</v>
      </c>
    </row>
    <row r="226" spans="1:10" x14ac:dyDescent="0.25">
      <c r="A226" s="5">
        <v>45482</v>
      </c>
      <c r="B226" s="5"/>
      <c r="C226" s="9" t="s">
        <v>251</v>
      </c>
      <c r="D226" t="s">
        <v>74</v>
      </c>
      <c r="F226" s="6">
        <v>30</v>
      </c>
      <c r="G226" s="6">
        <f t="shared" si="9"/>
        <v>30</v>
      </c>
      <c r="H226" s="6">
        <v>30</v>
      </c>
      <c r="I226" s="6">
        <f t="shared" si="10"/>
        <v>0</v>
      </c>
      <c r="J226" s="7" t="str">
        <f t="shared" si="11"/>
        <v>PAGADO</v>
      </c>
    </row>
    <row r="227" spans="1:10" x14ac:dyDescent="0.25">
      <c r="A227" s="5">
        <v>45482</v>
      </c>
      <c r="B227" s="5"/>
      <c r="C227" s="9" t="s">
        <v>252</v>
      </c>
      <c r="D227" t="s">
        <v>74</v>
      </c>
      <c r="F227" s="6">
        <v>9</v>
      </c>
      <c r="G227" s="6">
        <f t="shared" si="9"/>
        <v>9</v>
      </c>
      <c r="H227" s="6">
        <v>9</v>
      </c>
      <c r="I227" s="6">
        <f t="shared" si="10"/>
        <v>0</v>
      </c>
      <c r="J227" s="7" t="str">
        <f t="shared" si="11"/>
        <v>PAGADO</v>
      </c>
    </row>
    <row r="228" spans="1:10" x14ac:dyDescent="0.25">
      <c r="A228" s="5">
        <v>45482</v>
      </c>
      <c r="B228" s="5"/>
      <c r="C228" s="9" t="s">
        <v>253</v>
      </c>
      <c r="D228" t="s">
        <v>74</v>
      </c>
      <c r="F228" s="6">
        <v>14</v>
      </c>
      <c r="G228" s="6">
        <f t="shared" si="9"/>
        <v>14</v>
      </c>
      <c r="H228" s="6">
        <v>14</v>
      </c>
      <c r="I228" s="6">
        <f t="shared" si="10"/>
        <v>0</v>
      </c>
      <c r="J228" s="7" t="str">
        <f t="shared" si="11"/>
        <v>PAGADO</v>
      </c>
    </row>
    <row r="229" spans="1:10" x14ac:dyDescent="0.25">
      <c r="A229" s="5">
        <v>45482</v>
      </c>
      <c r="B229" s="5"/>
      <c r="C229" s="9" t="s">
        <v>207</v>
      </c>
      <c r="D229" t="s">
        <v>74</v>
      </c>
      <c r="F229" s="6">
        <v>10</v>
      </c>
      <c r="G229" s="6">
        <f t="shared" si="9"/>
        <v>10</v>
      </c>
      <c r="H229" s="6">
        <v>10</v>
      </c>
      <c r="I229" s="6">
        <f t="shared" si="10"/>
        <v>0</v>
      </c>
      <c r="J229" s="7" t="str">
        <f t="shared" si="11"/>
        <v>PAGADO</v>
      </c>
    </row>
    <row r="230" spans="1:10" x14ac:dyDescent="0.25">
      <c r="A230" s="5">
        <v>45482</v>
      </c>
      <c r="B230" s="5"/>
      <c r="C230" s="9" t="s">
        <v>254</v>
      </c>
      <c r="D230" t="s">
        <v>52</v>
      </c>
      <c r="F230" s="6">
        <v>18</v>
      </c>
      <c r="G230" s="6">
        <f t="shared" si="9"/>
        <v>18</v>
      </c>
      <c r="H230" s="6">
        <v>18</v>
      </c>
      <c r="I230" s="6">
        <f t="shared" si="10"/>
        <v>0</v>
      </c>
      <c r="J230" s="7" t="str">
        <f t="shared" si="11"/>
        <v>PAGADO</v>
      </c>
    </row>
    <row r="231" spans="1:10" x14ac:dyDescent="0.25">
      <c r="A231" s="5">
        <v>45482</v>
      </c>
      <c r="B231" s="5"/>
      <c r="C231" s="9" t="s">
        <v>242</v>
      </c>
      <c r="D231" t="s">
        <v>52</v>
      </c>
      <c r="F231" s="6">
        <v>6</v>
      </c>
      <c r="G231" s="6">
        <f t="shared" si="9"/>
        <v>6</v>
      </c>
      <c r="H231" s="6">
        <v>6</v>
      </c>
      <c r="I231" s="6">
        <f t="shared" si="10"/>
        <v>0</v>
      </c>
      <c r="J231" s="7" t="str">
        <f t="shared" si="11"/>
        <v>PAGADO</v>
      </c>
    </row>
    <row r="232" spans="1:10" x14ac:dyDescent="0.25">
      <c r="A232" s="5">
        <v>45482</v>
      </c>
      <c r="B232" s="5"/>
      <c r="C232" s="9" t="s">
        <v>242</v>
      </c>
      <c r="D232" t="s">
        <v>52</v>
      </c>
      <c r="F232" s="6">
        <v>8</v>
      </c>
      <c r="G232" s="6">
        <f t="shared" si="9"/>
        <v>8</v>
      </c>
      <c r="H232" s="6">
        <v>8</v>
      </c>
      <c r="I232" s="6">
        <f t="shared" si="10"/>
        <v>0</v>
      </c>
      <c r="J232" s="7" t="str">
        <f t="shared" si="11"/>
        <v>PAGADO</v>
      </c>
    </row>
    <row r="233" spans="1:10" x14ac:dyDescent="0.25">
      <c r="A233" s="5">
        <v>45482</v>
      </c>
      <c r="B233" s="5"/>
      <c r="C233" s="9" t="s">
        <v>255</v>
      </c>
      <c r="D233" t="s">
        <v>52</v>
      </c>
      <c r="F233" s="6">
        <v>16</v>
      </c>
      <c r="G233" s="6">
        <f t="shared" si="9"/>
        <v>16</v>
      </c>
      <c r="H233" s="6">
        <v>16</v>
      </c>
      <c r="I233" s="6">
        <f t="shared" si="10"/>
        <v>0</v>
      </c>
      <c r="J233" s="7" t="str">
        <f t="shared" si="11"/>
        <v>PAGADO</v>
      </c>
    </row>
    <row r="234" spans="1:10" x14ac:dyDescent="0.25">
      <c r="A234" s="5">
        <v>45482</v>
      </c>
      <c r="B234" s="5"/>
      <c r="C234" s="9" t="s">
        <v>256</v>
      </c>
      <c r="D234" t="s">
        <v>52</v>
      </c>
      <c r="F234" s="6">
        <v>22</v>
      </c>
      <c r="G234" s="6">
        <f t="shared" si="9"/>
        <v>22</v>
      </c>
      <c r="H234" s="6">
        <v>22</v>
      </c>
      <c r="I234" s="6">
        <f t="shared" si="10"/>
        <v>0</v>
      </c>
      <c r="J234" s="7" t="str">
        <f t="shared" si="11"/>
        <v>PAGADO</v>
      </c>
    </row>
    <row r="235" spans="1:10" x14ac:dyDescent="0.25">
      <c r="A235" s="5">
        <v>45482</v>
      </c>
      <c r="B235" s="5"/>
      <c r="C235" s="9" t="s">
        <v>257</v>
      </c>
      <c r="D235" t="s">
        <v>52</v>
      </c>
      <c r="F235" s="6">
        <v>26</v>
      </c>
      <c r="G235" s="6">
        <f t="shared" si="9"/>
        <v>26</v>
      </c>
      <c r="H235" s="6">
        <v>26</v>
      </c>
      <c r="I235" s="6">
        <f t="shared" si="10"/>
        <v>0</v>
      </c>
      <c r="J235" s="7" t="str">
        <f t="shared" si="11"/>
        <v>PAGADO</v>
      </c>
    </row>
    <row r="236" spans="1:10" x14ac:dyDescent="0.25">
      <c r="A236" s="5">
        <v>45482</v>
      </c>
      <c r="B236" s="5"/>
      <c r="C236" s="9" t="s">
        <v>258</v>
      </c>
      <c r="D236" t="s">
        <v>127</v>
      </c>
      <c r="F236" s="6">
        <v>80</v>
      </c>
      <c r="G236" s="6">
        <f t="shared" si="9"/>
        <v>80</v>
      </c>
      <c r="H236" s="6">
        <v>80</v>
      </c>
      <c r="I236" s="6">
        <f t="shared" si="10"/>
        <v>0</v>
      </c>
      <c r="J236" s="7" t="str">
        <f t="shared" si="11"/>
        <v>PAGADO</v>
      </c>
    </row>
    <row r="237" spans="1:10" x14ac:dyDescent="0.25">
      <c r="A237" s="5">
        <v>45482</v>
      </c>
      <c r="B237" s="5"/>
      <c r="C237" s="9" t="s">
        <v>259</v>
      </c>
      <c r="D237" t="s">
        <v>127</v>
      </c>
      <c r="F237" s="6">
        <v>110</v>
      </c>
      <c r="G237" s="6">
        <f t="shared" si="9"/>
        <v>110</v>
      </c>
      <c r="H237" s="6">
        <v>110</v>
      </c>
      <c r="I237" s="6">
        <f t="shared" si="10"/>
        <v>0</v>
      </c>
      <c r="J237" s="7" t="str">
        <f t="shared" si="11"/>
        <v>PAGADO</v>
      </c>
    </row>
    <row r="238" spans="1:10" x14ac:dyDescent="0.25">
      <c r="A238" s="5">
        <v>45482</v>
      </c>
      <c r="B238" s="5"/>
      <c r="C238" s="9" t="s">
        <v>260</v>
      </c>
      <c r="D238" t="s">
        <v>16</v>
      </c>
      <c r="F238" s="6">
        <v>34</v>
      </c>
      <c r="G238" s="6">
        <f t="shared" si="9"/>
        <v>34</v>
      </c>
      <c r="H238" s="6">
        <v>34</v>
      </c>
      <c r="I238" s="6">
        <f t="shared" si="10"/>
        <v>0</v>
      </c>
      <c r="J238" s="7" t="str">
        <f t="shared" si="11"/>
        <v>PAGADO</v>
      </c>
    </row>
    <row r="239" spans="1:10" x14ac:dyDescent="0.25">
      <c r="A239" s="5">
        <v>45482</v>
      </c>
      <c r="B239" s="5"/>
      <c r="C239" s="9" t="s">
        <v>261</v>
      </c>
      <c r="D239" t="s">
        <v>16</v>
      </c>
      <c r="F239" s="6">
        <v>10</v>
      </c>
      <c r="G239" s="6">
        <f t="shared" si="9"/>
        <v>10</v>
      </c>
      <c r="H239" s="6">
        <v>10</v>
      </c>
      <c r="I239" s="6">
        <f t="shared" si="10"/>
        <v>0</v>
      </c>
      <c r="J239" s="7" t="str">
        <f t="shared" si="11"/>
        <v>PAGADO</v>
      </c>
    </row>
    <row r="240" spans="1:10" x14ac:dyDescent="0.25">
      <c r="A240" s="5">
        <v>45482</v>
      </c>
      <c r="B240" s="5"/>
      <c r="C240" s="9" t="s">
        <v>262</v>
      </c>
      <c r="D240" t="s">
        <v>16</v>
      </c>
      <c r="F240" s="6">
        <v>68</v>
      </c>
      <c r="G240" s="6">
        <f t="shared" si="9"/>
        <v>68</v>
      </c>
      <c r="H240" s="6">
        <v>68</v>
      </c>
      <c r="I240" s="6">
        <f t="shared" si="10"/>
        <v>0</v>
      </c>
      <c r="J240" s="7" t="str">
        <f t="shared" si="11"/>
        <v>PAGADO</v>
      </c>
    </row>
    <row r="241" spans="1:13" x14ac:dyDescent="0.25">
      <c r="A241" s="5">
        <v>45482</v>
      </c>
      <c r="B241" s="5"/>
      <c r="C241" s="9" t="s">
        <v>155</v>
      </c>
      <c r="D241" t="s">
        <v>16</v>
      </c>
      <c r="F241" s="6">
        <v>14</v>
      </c>
      <c r="G241" s="6">
        <f t="shared" si="9"/>
        <v>14</v>
      </c>
      <c r="H241" s="6">
        <v>14</v>
      </c>
      <c r="I241" s="6">
        <f t="shared" si="10"/>
        <v>0</v>
      </c>
      <c r="J241" s="7" t="str">
        <f t="shared" si="11"/>
        <v>PAGADO</v>
      </c>
    </row>
    <row r="242" spans="1:13" x14ac:dyDescent="0.25">
      <c r="A242" s="5">
        <v>45482</v>
      </c>
      <c r="B242" s="5"/>
      <c r="C242" s="9" t="s">
        <v>170</v>
      </c>
      <c r="D242" t="s">
        <v>204</v>
      </c>
      <c r="F242" s="6">
        <v>16</v>
      </c>
      <c r="G242" s="6">
        <f t="shared" si="9"/>
        <v>16</v>
      </c>
      <c r="H242" s="6">
        <v>16</v>
      </c>
      <c r="I242" s="6">
        <f t="shared" si="10"/>
        <v>0</v>
      </c>
      <c r="J242" s="7" t="str">
        <f t="shared" si="11"/>
        <v>PAGADO</v>
      </c>
    </row>
    <row r="243" spans="1:13" x14ac:dyDescent="0.25">
      <c r="A243" s="5">
        <v>45482</v>
      </c>
      <c r="B243" s="5"/>
      <c r="C243" s="9" t="s">
        <v>263</v>
      </c>
      <c r="D243" t="s">
        <v>20</v>
      </c>
      <c r="F243" s="6">
        <v>25</v>
      </c>
      <c r="G243" s="6">
        <f t="shared" si="9"/>
        <v>25</v>
      </c>
      <c r="H243" s="6">
        <v>25</v>
      </c>
      <c r="I243" s="6">
        <f t="shared" si="10"/>
        <v>0</v>
      </c>
      <c r="J243" s="7" t="str">
        <f t="shared" si="11"/>
        <v>PAGADO</v>
      </c>
    </row>
    <row r="244" spans="1:13" x14ac:dyDescent="0.25">
      <c r="A244" s="5">
        <v>45482</v>
      </c>
      <c r="B244" s="5"/>
      <c r="C244" s="9" t="s">
        <v>259</v>
      </c>
      <c r="D244" t="s">
        <v>16</v>
      </c>
      <c r="F244" s="6">
        <v>100</v>
      </c>
      <c r="G244" s="6">
        <f t="shared" si="9"/>
        <v>100</v>
      </c>
      <c r="H244" s="6">
        <v>100</v>
      </c>
      <c r="I244" s="6">
        <f t="shared" si="10"/>
        <v>0</v>
      </c>
      <c r="J244" s="7" t="str">
        <f t="shared" si="11"/>
        <v>PAGADO</v>
      </c>
    </row>
    <row r="245" spans="1:13" x14ac:dyDescent="0.25">
      <c r="A245" s="13"/>
      <c r="B245" s="13"/>
      <c r="C245" s="14" t="s">
        <v>264</v>
      </c>
      <c r="D245" s="14" t="s">
        <v>153</v>
      </c>
      <c r="E245" s="15"/>
      <c r="F245" s="16">
        <v>65</v>
      </c>
      <c r="G245" s="16">
        <f t="shared" si="9"/>
        <v>65</v>
      </c>
      <c r="H245" s="16">
        <v>65</v>
      </c>
      <c r="I245" s="16">
        <f t="shared" si="10"/>
        <v>0</v>
      </c>
      <c r="J245" s="17" t="str">
        <f t="shared" si="11"/>
        <v>PAGADO</v>
      </c>
      <c r="K245" s="18" t="s">
        <v>265</v>
      </c>
      <c r="L245" s="19"/>
      <c r="M245" s="20"/>
    </row>
    <row r="246" spans="1:13" x14ac:dyDescent="0.25">
      <c r="A246"/>
      <c r="C246" s="9" t="s">
        <v>266</v>
      </c>
      <c r="D246" s="9" t="s">
        <v>153</v>
      </c>
      <c r="F246" s="6">
        <v>65</v>
      </c>
      <c r="G246" s="6">
        <f t="shared" si="9"/>
        <v>65</v>
      </c>
      <c r="H246" s="6">
        <v>65</v>
      </c>
      <c r="I246" s="6">
        <f t="shared" si="10"/>
        <v>0</v>
      </c>
      <c r="J246" s="7" t="str">
        <f t="shared" si="11"/>
        <v>PAGADO</v>
      </c>
    </row>
    <row r="247" spans="1:13" x14ac:dyDescent="0.25">
      <c r="A247"/>
      <c r="C247" s="9" t="s">
        <v>267</v>
      </c>
      <c r="D247" s="9" t="s">
        <v>153</v>
      </c>
      <c r="E247" s="21"/>
      <c r="F247" s="6">
        <v>5</v>
      </c>
      <c r="G247" s="6">
        <f t="shared" si="9"/>
        <v>5</v>
      </c>
      <c r="H247" s="6">
        <v>5</v>
      </c>
      <c r="I247" s="6">
        <f t="shared" si="10"/>
        <v>0</v>
      </c>
      <c r="J247" s="7" t="str">
        <f t="shared" si="11"/>
        <v>PAGADO</v>
      </c>
    </row>
    <row r="248" spans="1:13" x14ac:dyDescent="0.25">
      <c r="A248"/>
      <c r="C248" s="9" t="s">
        <v>268</v>
      </c>
      <c r="D248" t="s">
        <v>74</v>
      </c>
      <c r="F248" s="6">
        <v>230</v>
      </c>
      <c r="G248" s="6">
        <f t="shared" si="9"/>
        <v>230</v>
      </c>
      <c r="H248" s="6">
        <f>130+50+50</f>
        <v>230</v>
      </c>
      <c r="I248" s="6">
        <f t="shared" si="10"/>
        <v>0</v>
      </c>
      <c r="J248" s="7" t="str">
        <f t="shared" si="11"/>
        <v>PAGADO</v>
      </c>
    </row>
    <row r="249" spans="1:13" x14ac:dyDescent="0.25">
      <c r="A249"/>
      <c r="C249" s="9" t="s">
        <v>269</v>
      </c>
      <c r="D249" t="s">
        <v>52</v>
      </c>
      <c r="F249" s="6">
        <v>75</v>
      </c>
      <c r="G249" s="6">
        <f t="shared" si="9"/>
        <v>75</v>
      </c>
      <c r="H249" s="6">
        <f>40+35</f>
        <v>75</v>
      </c>
      <c r="I249" s="6">
        <f t="shared" si="10"/>
        <v>0</v>
      </c>
      <c r="J249" s="7" t="str">
        <f t="shared" si="11"/>
        <v>PAGADO</v>
      </c>
    </row>
    <row r="250" spans="1:13" x14ac:dyDescent="0.25">
      <c r="A250"/>
      <c r="C250" s="9" t="s">
        <v>196</v>
      </c>
      <c r="D250" t="s">
        <v>52</v>
      </c>
      <c r="F250" s="6">
        <v>320</v>
      </c>
      <c r="G250" s="6">
        <f t="shared" si="9"/>
        <v>320</v>
      </c>
      <c r="H250" s="6">
        <f>160+160</f>
        <v>320</v>
      </c>
      <c r="I250" s="6">
        <f t="shared" si="10"/>
        <v>0</v>
      </c>
      <c r="J250" s="7" t="str">
        <f t="shared" si="11"/>
        <v>PAGADO</v>
      </c>
    </row>
    <row r="251" spans="1:13" x14ac:dyDescent="0.25">
      <c r="A251"/>
      <c r="C251" s="9" t="s">
        <v>270</v>
      </c>
      <c r="D251" t="s">
        <v>52</v>
      </c>
      <c r="F251" s="6">
        <v>260</v>
      </c>
      <c r="G251" s="6">
        <f t="shared" si="9"/>
        <v>260</v>
      </c>
      <c r="H251" s="6">
        <f>130+130</f>
        <v>260</v>
      </c>
      <c r="I251" s="6">
        <f t="shared" si="10"/>
        <v>0</v>
      </c>
      <c r="J251" s="7" t="str">
        <f t="shared" si="11"/>
        <v>PAGADO</v>
      </c>
    </row>
    <row r="252" spans="1:13" x14ac:dyDescent="0.25">
      <c r="A252"/>
      <c r="C252" s="9" t="s">
        <v>271</v>
      </c>
      <c r="D252" t="s">
        <v>52</v>
      </c>
      <c r="F252" s="6">
        <v>9</v>
      </c>
      <c r="G252" s="6">
        <f t="shared" si="9"/>
        <v>9</v>
      </c>
      <c r="H252" s="6">
        <v>9</v>
      </c>
      <c r="I252" s="6">
        <f t="shared" si="10"/>
        <v>0</v>
      </c>
      <c r="J252" s="7" t="str">
        <f t="shared" si="11"/>
        <v>PAGADO</v>
      </c>
    </row>
    <row r="253" spans="1:13" x14ac:dyDescent="0.25">
      <c r="A253"/>
      <c r="C253" s="9" t="s">
        <v>272</v>
      </c>
      <c r="D253" t="s">
        <v>27</v>
      </c>
      <c r="F253" s="6">
        <v>330</v>
      </c>
      <c r="G253" s="6">
        <f t="shared" si="9"/>
        <v>330</v>
      </c>
      <c r="H253" s="6">
        <v>330</v>
      </c>
      <c r="I253" s="6">
        <f t="shared" si="10"/>
        <v>0</v>
      </c>
      <c r="J253" s="7" t="str">
        <f t="shared" si="11"/>
        <v>PAGADO</v>
      </c>
    </row>
    <row r="254" spans="1:13" x14ac:dyDescent="0.25">
      <c r="A254"/>
      <c r="C254" s="9" t="s">
        <v>119</v>
      </c>
      <c r="D254" t="s">
        <v>27</v>
      </c>
      <c r="F254" s="6">
        <v>90</v>
      </c>
      <c r="G254" s="6">
        <f t="shared" si="9"/>
        <v>90</v>
      </c>
      <c r="H254" s="6">
        <v>90</v>
      </c>
      <c r="I254" s="6">
        <f t="shared" si="10"/>
        <v>0</v>
      </c>
      <c r="J254" s="7" t="str">
        <f t="shared" si="11"/>
        <v>PAGADO</v>
      </c>
    </row>
    <row r="255" spans="1:13" x14ac:dyDescent="0.25">
      <c r="A255"/>
      <c r="C255" s="9" t="s">
        <v>273</v>
      </c>
      <c r="D255" t="s">
        <v>27</v>
      </c>
      <c r="F255" s="6">
        <v>100</v>
      </c>
      <c r="G255" s="6">
        <f t="shared" si="9"/>
        <v>100</v>
      </c>
      <c r="H255" s="6">
        <v>100</v>
      </c>
      <c r="I255" s="6">
        <f t="shared" si="10"/>
        <v>0</v>
      </c>
      <c r="J255" s="7" t="str">
        <f t="shared" si="11"/>
        <v>PAGADO</v>
      </c>
    </row>
    <row r="256" spans="1:13" x14ac:dyDescent="0.25">
      <c r="A256"/>
      <c r="C256" s="9" t="s">
        <v>274</v>
      </c>
      <c r="D256" s="9" t="s">
        <v>101</v>
      </c>
      <c r="F256" s="6">
        <v>300</v>
      </c>
      <c r="G256" s="6">
        <f t="shared" si="9"/>
        <v>300</v>
      </c>
      <c r="H256" s="6">
        <v>300</v>
      </c>
      <c r="I256" s="16">
        <f t="shared" si="10"/>
        <v>0</v>
      </c>
      <c r="J256" s="7" t="str">
        <f t="shared" si="11"/>
        <v>PAGADO</v>
      </c>
    </row>
    <row r="257" spans="3:13" customFormat="1" x14ac:dyDescent="0.25">
      <c r="C257" s="9" t="s">
        <v>275</v>
      </c>
      <c r="D257" s="9" t="s">
        <v>101</v>
      </c>
      <c r="E257" s="10"/>
      <c r="F257" s="6">
        <v>80</v>
      </c>
      <c r="G257" s="6">
        <f t="shared" si="9"/>
        <v>80</v>
      </c>
      <c r="H257" s="6">
        <v>80</v>
      </c>
      <c r="I257" s="16">
        <f t="shared" si="10"/>
        <v>0</v>
      </c>
      <c r="J257" s="7" t="str">
        <f t="shared" si="11"/>
        <v>PAGADO</v>
      </c>
      <c r="M257" s="8"/>
    </row>
    <row r="258" spans="3:13" customFormat="1" x14ac:dyDescent="0.25">
      <c r="C258" s="9" t="s">
        <v>276</v>
      </c>
      <c r="D258" s="9" t="s">
        <v>101</v>
      </c>
      <c r="E258" s="10"/>
      <c r="F258" s="6">
        <v>80</v>
      </c>
      <c r="G258" s="6">
        <f t="shared" ref="G258:G321" si="12">F258-E258</f>
        <v>80</v>
      </c>
      <c r="H258" s="6">
        <v>80</v>
      </c>
      <c r="I258" s="16">
        <f t="shared" ref="I258:I321" si="13">F258-H258</f>
        <v>0</v>
      </c>
      <c r="J258" s="7" t="str">
        <f t="shared" ref="J258:J321" si="14">IF(I258&gt;0,"DEBE","PAGADO")</f>
        <v>PAGADO</v>
      </c>
      <c r="M258" s="8"/>
    </row>
    <row r="259" spans="3:13" customFormat="1" x14ac:dyDescent="0.25">
      <c r="C259" s="9" t="s">
        <v>277</v>
      </c>
      <c r="D259" t="s">
        <v>80</v>
      </c>
      <c r="E259" s="10"/>
      <c r="F259" s="6">
        <v>70</v>
      </c>
      <c r="G259" s="6">
        <f t="shared" si="12"/>
        <v>70</v>
      </c>
      <c r="H259" s="6">
        <f>20+50</f>
        <v>70</v>
      </c>
      <c r="I259" s="6">
        <f t="shared" si="13"/>
        <v>0</v>
      </c>
      <c r="J259" s="7" t="str">
        <f t="shared" si="14"/>
        <v>PAGADO</v>
      </c>
      <c r="M259" s="8"/>
    </row>
    <row r="260" spans="3:13" customFormat="1" x14ac:dyDescent="0.25">
      <c r="C260" s="9" t="s">
        <v>278</v>
      </c>
      <c r="D260" t="s">
        <v>80</v>
      </c>
      <c r="E260" s="10"/>
      <c r="F260" s="6">
        <v>70</v>
      </c>
      <c r="G260" s="6">
        <f t="shared" si="12"/>
        <v>70</v>
      </c>
      <c r="H260" s="6">
        <v>70</v>
      </c>
      <c r="I260" s="6">
        <f t="shared" si="13"/>
        <v>0</v>
      </c>
      <c r="J260" s="7" t="str">
        <f t="shared" si="14"/>
        <v>PAGADO</v>
      </c>
      <c r="M260" s="8"/>
    </row>
    <row r="261" spans="3:13" customFormat="1" x14ac:dyDescent="0.25">
      <c r="C261" s="9" t="s">
        <v>279</v>
      </c>
      <c r="D261" t="s">
        <v>127</v>
      </c>
      <c r="E261" s="10"/>
      <c r="F261" s="6">
        <v>24</v>
      </c>
      <c r="G261" s="6">
        <f t="shared" si="12"/>
        <v>24</v>
      </c>
      <c r="H261" s="6">
        <v>24</v>
      </c>
      <c r="I261" s="6">
        <f t="shared" si="13"/>
        <v>0</v>
      </c>
      <c r="J261" s="7" t="str">
        <f t="shared" si="14"/>
        <v>PAGADO</v>
      </c>
      <c r="M261" s="8"/>
    </row>
    <row r="262" spans="3:13" customFormat="1" x14ac:dyDescent="0.25">
      <c r="C262" s="9" t="s">
        <v>280</v>
      </c>
      <c r="D262" t="s">
        <v>127</v>
      </c>
      <c r="E262" s="10"/>
      <c r="F262" s="6">
        <v>100</v>
      </c>
      <c r="G262" s="6">
        <f t="shared" si="12"/>
        <v>100</v>
      </c>
      <c r="H262" s="6">
        <v>100</v>
      </c>
      <c r="I262" s="6">
        <f t="shared" si="13"/>
        <v>0</v>
      </c>
      <c r="J262" s="7" t="str">
        <f t="shared" si="14"/>
        <v>PAGADO</v>
      </c>
      <c r="M262" s="8"/>
    </row>
    <row r="263" spans="3:13" customFormat="1" x14ac:dyDescent="0.25">
      <c r="C263" s="9" t="s">
        <v>281</v>
      </c>
      <c r="D263" t="s">
        <v>127</v>
      </c>
      <c r="E263" s="10"/>
      <c r="F263" s="6">
        <v>50</v>
      </c>
      <c r="G263" s="6">
        <f t="shared" si="12"/>
        <v>50</v>
      </c>
      <c r="H263" s="6">
        <v>50</v>
      </c>
      <c r="I263" s="6">
        <f t="shared" si="13"/>
        <v>0</v>
      </c>
      <c r="J263" s="7" t="str">
        <f t="shared" si="14"/>
        <v>PAGADO</v>
      </c>
      <c r="M263" s="8"/>
    </row>
    <row r="264" spans="3:13" customFormat="1" x14ac:dyDescent="0.25">
      <c r="C264" s="9" t="s">
        <v>282</v>
      </c>
      <c r="D264" s="9" t="s">
        <v>238</v>
      </c>
      <c r="E264" s="10"/>
      <c r="F264" s="6">
        <v>75</v>
      </c>
      <c r="G264" s="6">
        <f t="shared" si="12"/>
        <v>75</v>
      </c>
      <c r="H264" s="6">
        <v>75</v>
      </c>
      <c r="I264" s="6">
        <f t="shared" si="13"/>
        <v>0</v>
      </c>
      <c r="J264" s="7" t="str">
        <f t="shared" si="14"/>
        <v>PAGADO</v>
      </c>
      <c r="M264" s="8"/>
    </row>
    <row r="265" spans="3:13" customFormat="1" x14ac:dyDescent="0.25">
      <c r="C265" s="9" t="s">
        <v>283</v>
      </c>
      <c r="D265" s="9" t="s">
        <v>238</v>
      </c>
      <c r="E265" s="10"/>
      <c r="F265" s="6">
        <v>75</v>
      </c>
      <c r="G265" s="6">
        <f t="shared" si="12"/>
        <v>75</v>
      </c>
      <c r="H265" s="6">
        <v>75</v>
      </c>
      <c r="I265" s="6">
        <f t="shared" si="13"/>
        <v>0</v>
      </c>
      <c r="J265" s="7" t="str">
        <f t="shared" si="14"/>
        <v>PAGADO</v>
      </c>
      <c r="M265" s="8"/>
    </row>
    <row r="266" spans="3:13" customFormat="1" x14ac:dyDescent="0.25">
      <c r="C266" s="9" t="s">
        <v>284</v>
      </c>
      <c r="D266" s="9" t="s">
        <v>285</v>
      </c>
      <c r="E266" s="10"/>
      <c r="F266" s="6">
        <v>45</v>
      </c>
      <c r="G266" s="6">
        <f t="shared" si="12"/>
        <v>45</v>
      </c>
      <c r="H266" s="6">
        <v>45</v>
      </c>
      <c r="I266" s="6">
        <f t="shared" si="13"/>
        <v>0</v>
      </c>
      <c r="J266" s="7" t="str">
        <f t="shared" si="14"/>
        <v>PAGADO</v>
      </c>
      <c r="M266" s="8"/>
    </row>
    <row r="267" spans="3:13" customFormat="1" x14ac:dyDescent="0.25">
      <c r="C267" s="9" t="s">
        <v>155</v>
      </c>
      <c r="D267" t="s">
        <v>18</v>
      </c>
      <c r="E267" s="10"/>
      <c r="F267" s="6">
        <v>10</v>
      </c>
      <c r="G267" s="6">
        <f t="shared" si="12"/>
        <v>10</v>
      </c>
      <c r="H267" s="6">
        <v>10</v>
      </c>
      <c r="I267" s="6">
        <f t="shared" si="13"/>
        <v>0</v>
      </c>
      <c r="J267" s="7" t="str">
        <f t="shared" si="14"/>
        <v>PAGADO</v>
      </c>
      <c r="M267" s="8"/>
    </row>
    <row r="268" spans="3:13" customFormat="1" x14ac:dyDescent="0.25">
      <c r="C268" s="9" t="s">
        <v>218</v>
      </c>
      <c r="D268" s="9" t="s">
        <v>171</v>
      </c>
      <c r="E268" s="10"/>
      <c r="F268" s="6">
        <v>9</v>
      </c>
      <c r="G268" s="6">
        <f t="shared" si="12"/>
        <v>9</v>
      </c>
      <c r="H268" s="6">
        <v>9</v>
      </c>
      <c r="I268" s="6">
        <f t="shared" si="13"/>
        <v>0</v>
      </c>
      <c r="J268" s="7" t="str">
        <f t="shared" si="14"/>
        <v>PAGADO</v>
      </c>
      <c r="M268" s="8"/>
    </row>
    <row r="269" spans="3:13" customFormat="1" x14ac:dyDescent="0.25">
      <c r="C269" s="9" t="s">
        <v>286</v>
      </c>
      <c r="D269" s="9" t="s">
        <v>287</v>
      </c>
      <c r="E269" s="10"/>
      <c r="F269" s="6">
        <v>9</v>
      </c>
      <c r="G269" s="6">
        <f t="shared" si="12"/>
        <v>9</v>
      </c>
      <c r="H269" s="6">
        <v>9</v>
      </c>
      <c r="I269" s="6">
        <f t="shared" si="13"/>
        <v>0</v>
      </c>
      <c r="J269" s="7" t="str">
        <f t="shared" si="14"/>
        <v>PAGADO</v>
      </c>
      <c r="M269" s="8"/>
    </row>
    <row r="270" spans="3:13" customFormat="1" x14ac:dyDescent="0.25">
      <c r="C270" s="9" t="s">
        <v>288</v>
      </c>
      <c r="D270" s="9" t="s">
        <v>287</v>
      </c>
      <c r="E270" s="10"/>
      <c r="F270" s="6">
        <v>8</v>
      </c>
      <c r="G270" s="6">
        <f t="shared" si="12"/>
        <v>8</v>
      </c>
      <c r="H270" s="6">
        <v>8</v>
      </c>
      <c r="I270" s="6">
        <f t="shared" si="13"/>
        <v>0</v>
      </c>
      <c r="J270" s="7" t="str">
        <f t="shared" si="14"/>
        <v>PAGADO</v>
      </c>
      <c r="M270" s="8"/>
    </row>
    <row r="271" spans="3:13" customFormat="1" x14ac:dyDescent="0.25">
      <c r="C271" s="9" t="s">
        <v>289</v>
      </c>
      <c r="D271" s="9" t="s">
        <v>287</v>
      </c>
      <c r="E271" s="10"/>
      <c r="F271" s="6">
        <v>10</v>
      </c>
      <c r="G271" s="6">
        <f t="shared" si="12"/>
        <v>10</v>
      </c>
      <c r="H271" s="6">
        <v>10</v>
      </c>
      <c r="I271" s="6">
        <f t="shared" si="13"/>
        <v>0</v>
      </c>
      <c r="J271" s="7" t="str">
        <f t="shared" si="14"/>
        <v>PAGADO</v>
      </c>
      <c r="M271" s="8"/>
    </row>
    <row r="272" spans="3:13" customFormat="1" x14ac:dyDescent="0.25">
      <c r="C272" s="9" t="s">
        <v>290</v>
      </c>
      <c r="D272" s="9" t="s">
        <v>287</v>
      </c>
      <c r="E272" s="10"/>
      <c r="F272" s="6">
        <v>9</v>
      </c>
      <c r="G272" s="6">
        <f t="shared" si="12"/>
        <v>9</v>
      </c>
      <c r="H272" s="6">
        <v>9</v>
      </c>
      <c r="I272" s="6">
        <f t="shared" si="13"/>
        <v>0</v>
      </c>
      <c r="J272" s="7" t="str">
        <f t="shared" si="14"/>
        <v>PAGADO</v>
      </c>
      <c r="M272" s="8"/>
    </row>
    <row r="273" spans="3:13" customFormat="1" x14ac:dyDescent="0.25">
      <c r="C273" s="9" t="s">
        <v>155</v>
      </c>
      <c r="D273" s="9" t="s">
        <v>287</v>
      </c>
      <c r="E273" s="10"/>
      <c r="F273" s="6">
        <v>10</v>
      </c>
      <c r="G273" s="6">
        <f t="shared" si="12"/>
        <v>10</v>
      </c>
      <c r="H273" s="6">
        <v>10</v>
      </c>
      <c r="I273" s="6">
        <f t="shared" si="13"/>
        <v>0</v>
      </c>
      <c r="J273" s="7" t="str">
        <f t="shared" si="14"/>
        <v>PAGADO</v>
      </c>
      <c r="M273" s="8"/>
    </row>
    <row r="274" spans="3:13" customFormat="1" x14ac:dyDescent="0.25">
      <c r="C274" s="9" t="s">
        <v>291</v>
      </c>
      <c r="D274" s="9" t="s">
        <v>287</v>
      </c>
      <c r="E274" s="10"/>
      <c r="F274" s="6">
        <v>10</v>
      </c>
      <c r="G274" s="6">
        <f t="shared" si="12"/>
        <v>10</v>
      </c>
      <c r="H274" s="6">
        <v>10</v>
      </c>
      <c r="I274" s="6">
        <f t="shared" si="13"/>
        <v>0</v>
      </c>
      <c r="J274" s="7" t="str">
        <f t="shared" si="14"/>
        <v>PAGADO</v>
      </c>
      <c r="M274" s="8"/>
    </row>
    <row r="275" spans="3:13" customFormat="1" x14ac:dyDescent="0.25">
      <c r="C275" s="9" t="s">
        <v>292</v>
      </c>
      <c r="D275" s="9" t="s">
        <v>204</v>
      </c>
      <c r="E275" s="10"/>
      <c r="F275" s="6">
        <v>9</v>
      </c>
      <c r="G275" s="6">
        <f t="shared" si="12"/>
        <v>9</v>
      </c>
      <c r="H275" s="6">
        <v>9</v>
      </c>
      <c r="I275" s="6">
        <f t="shared" si="13"/>
        <v>0</v>
      </c>
      <c r="J275" s="7" t="str">
        <f t="shared" si="14"/>
        <v>PAGADO</v>
      </c>
      <c r="M275" s="8"/>
    </row>
    <row r="276" spans="3:13" customFormat="1" x14ac:dyDescent="0.25">
      <c r="C276" s="9" t="s">
        <v>293</v>
      </c>
      <c r="D276" s="9" t="s">
        <v>204</v>
      </c>
      <c r="E276" s="10"/>
      <c r="F276" s="6">
        <v>11</v>
      </c>
      <c r="G276" s="6">
        <f t="shared" si="12"/>
        <v>11</v>
      </c>
      <c r="H276" s="6">
        <v>11</v>
      </c>
      <c r="I276" s="6">
        <f t="shared" si="13"/>
        <v>0</v>
      </c>
      <c r="J276" s="7" t="str">
        <f t="shared" si="14"/>
        <v>PAGADO</v>
      </c>
      <c r="M276" s="8"/>
    </row>
    <row r="277" spans="3:13" customFormat="1" x14ac:dyDescent="0.25">
      <c r="C277" s="9" t="s">
        <v>294</v>
      </c>
      <c r="D277" s="9" t="s">
        <v>287</v>
      </c>
      <c r="E277" s="10"/>
      <c r="F277" s="6">
        <v>66</v>
      </c>
      <c r="G277" s="6">
        <f t="shared" si="12"/>
        <v>66</v>
      </c>
      <c r="H277" s="6">
        <v>66</v>
      </c>
      <c r="I277" s="6">
        <f t="shared" si="13"/>
        <v>0</v>
      </c>
      <c r="J277" s="7" t="str">
        <f t="shared" si="14"/>
        <v>PAGADO</v>
      </c>
      <c r="M277" s="8"/>
    </row>
    <row r="278" spans="3:13" customFormat="1" x14ac:dyDescent="0.25">
      <c r="C278" s="9" t="s">
        <v>295</v>
      </c>
      <c r="D278" s="9" t="s">
        <v>204</v>
      </c>
      <c r="E278" s="10"/>
      <c r="F278" s="6">
        <v>64</v>
      </c>
      <c r="G278" s="6">
        <f t="shared" si="12"/>
        <v>64</v>
      </c>
      <c r="H278" s="6">
        <v>64</v>
      </c>
      <c r="I278" s="6">
        <f t="shared" si="13"/>
        <v>0</v>
      </c>
      <c r="J278" s="7" t="str">
        <f t="shared" si="14"/>
        <v>PAGADO</v>
      </c>
      <c r="M278" s="8"/>
    </row>
    <row r="279" spans="3:13" customFormat="1" x14ac:dyDescent="0.25">
      <c r="C279" s="9" t="s">
        <v>296</v>
      </c>
      <c r="D279" s="9" t="s">
        <v>204</v>
      </c>
      <c r="E279" s="10"/>
      <c r="F279" s="6">
        <v>8</v>
      </c>
      <c r="G279" s="6">
        <f t="shared" si="12"/>
        <v>8</v>
      </c>
      <c r="H279" s="6">
        <v>8</v>
      </c>
      <c r="I279" s="6">
        <f t="shared" si="13"/>
        <v>0</v>
      </c>
      <c r="J279" s="7" t="str">
        <f t="shared" si="14"/>
        <v>PAGADO</v>
      </c>
      <c r="M279" s="8"/>
    </row>
    <row r="280" spans="3:13" customFormat="1" x14ac:dyDescent="0.25">
      <c r="C280" s="9" t="s">
        <v>297</v>
      </c>
      <c r="D280" s="9" t="s">
        <v>287</v>
      </c>
      <c r="E280" s="10"/>
      <c r="F280" s="6">
        <v>8</v>
      </c>
      <c r="G280" s="6">
        <f t="shared" si="12"/>
        <v>8</v>
      </c>
      <c r="H280" s="6">
        <v>8</v>
      </c>
      <c r="I280" s="6">
        <f t="shared" si="13"/>
        <v>0</v>
      </c>
      <c r="J280" s="7" t="str">
        <f t="shared" si="14"/>
        <v>PAGADO</v>
      </c>
      <c r="M280" s="8"/>
    </row>
    <row r="281" spans="3:13" customFormat="1" x14ac:dyDescent="0.25">
      <c r="C281" s="9" t="s">
        <v>298</v>
      </c>
      <c r="D281" s="9" t="s">
        <v>287</v>
      </c>
      <c r="E281" s="10"/>
      <c r="F281" s="6">
        <v>65</v>
      </c>
      <c r="G281" s="6">
        <f t="shared" si="12"/>
        <v>65</v>
      </c>
      <c r="H281" s="6">
        <v>65</v>
      </c>
      <c r="I281" s="6">
        <f t="shared" si="13"/>
        <v>0</v>
      </c>
      <c r="J281" s="7" t="str">
        <f t="shared" si="14"/>
        <v>PAGADO</v>
      </c>
      <c r="M281" s="8"/>
    </row>
    <row r="282" spans="3:13" customFormat="1" x14ac:dyDescent="0.25">
      <c r="C282" s="9" t="s">
        <v>299</v>
      </c>
      <c r="D282" s="9" t="s">
        <v>204</v>
      </c>
      <c r="E282" s="10"/>
      <c r="F282" s="6">
        <v>60</v>
      </c>
      <c r="G282" s="6">
        <f t="shared" si="12"/>
        <v>60</v>
      </c>
      <c r="H282" s="6">
        <v>60</v>
      </c>
      <c r="I282" s="6">
        <f t="shared" si="13"/>
        <v>0</v>
      </c>
      <c r="J282" s="7" t="str">
        <f t="shared" si="14"/>
        <v>PAGADO</v>
      </c>
      <c r="M282" s="8"/>
    </row>
    <row r="283" spans="3:13" customFormat="1" x14ac:dyDescent="0.25">
      <c r="C283" s="9" t="s">
        <v>237</v>
      </c>
      <c r="D283" s="9" t="s">
        <v>287</v>
      </c>
      <c r="E283" s="10"/>
      <c r="F283" s="6">
        <v>60</v>
      </c>
      <c r="G283" s="6">
        <f t="shared" si="12"/>
        <v>60</v>
      </c>
      <c r="H283" s="6">
        <v>60</v>
      </c>
      <c r="I283" s="6">
        <f t="shared" si="13"/>
        <v>0</v>
      </c>
      <c r="J283" s="7" t="str">
        <f t="shared" si="14"/>
        <v>PAGADO</v>
      </c>
      <c r="M283" s="8"/>
    </row>
    <row r="284" spans="3:13" customFormat="1" x14ac:dyDescent="0.25">
      <c r="C284" s="9" t="s">
        <v>155</v>
      </c>
      <c r="D284" s="9" t="s">
        <v>202</v>
      </c>
      <c r="E284" s="10"/>
      <c r="F284" s="6">
        <v>10</v>
      </c>
      <c r="G284" s="6">
        <f t="shared" si="12"/>
        <v>10</v>
      </c>
      <c r="H284" s="6">
        <v>10</v>
      </c>
      <c r="I284" s="6">
        <f t="shared" si="13"/>
        <v>0</v>
      </c>
      <c r="J284" s="7" t="str">
        <f t="shared" si="14"/>
        <v>PAGADO</v>
      </c>
      <c r="M284" s="8"/>
    </row>
    <row r="285" spans="3:13" customFormat="1" x14ac:dyDescent="0.25">
      <c r="C285" s="9" t="s">
        <v>300</v>
      </c>
      <c r="D285" s="9" t="s">
        <v>202</v>
      </c>
      <c r="E285" s="10"/>
      <c r="F285" s="6">
        <v>65</v>
      </c>
      <c r="G285" s="6">
        <f t="shared" si="12"/>
        <v>65</v>
      </c>
      <c r="H285" s="6">
        <v>65</v>
      </c>
      <c r="I285" s="6">
        <f t="shared" si="13"/>
        <v>0</v>
      </c>
      <c r="J285" s="7" t="str">
        <f t="shared" si="14"/>
        <v>PAGADO</v>
      </c>
      <c r="M285" s="8"/>
    </row>
    <row r="286" spans="3:13" customFormat="1" x14ac:dyDescent="0.25">
      <c r="C286" s="9" t="s">
        <v>301</v>
      </c>
      <c r="D286" s="9" t="s">
        <v>202</v>
      </c>
      <c r="E286" s="10"/>
      <c r="F286" s="6">
        <v>150</v>
      </c>
      <c r="G286" s="6">
        <f t="shared" si="12"/>
        <v>150</v>
      </c>
      <c r="H286" s="6">
        <v>150</v>
      </c>
      <c r="I286" s="6">
        <f t="shared" si="13"/>
        <v>0</v>
      </c>
      <c r="J286" s="7" t="str">
        <f t="shared" si="14"/>
        <v>PAGADO</v>
      </c>
      <c r="M286" s="8"/>
    </row>
    <row r="287" spans="3:13" customFormat="1" x14ac:dyDescent="0.25">
      <c r="C287" s="9" t="s">
        <v>302</v>
      </c>
      <c r="D287" s="9" t="s">
        <v>202</v>
      </c>
      <c r="E287" s="10"/>
      <c r="F287" s="6">
        <v>80</v>
      </c>
      <c r="G287" s="6">
        <f t="shared" si="12"/>
        <v>80</v>
      </c>
      <c r="H287" s="6">
        <v>80</v>
      </c>
      <c r="I287" s="6">
        <f t="shared" si="13"/>
        <v>0</v>
      </c>
      <c r="J287" s="7" t="str">
        <f t="shared" si="14"/>
        <v>PAGADO</v>
      </c>
      <c r="M287" s="8"/>
    </row>
    <row r="288" spans="3:13" customFormat="1" x14ac:dyDescent="0.25">
      <c r="C288" s="9" t="s">
        <v>303</v>
      </c>
      <c r="D288" s="9" t="s">
        <v>202</v>
      </c>
      <c r="E288" s="10"/>
      <c r="F288" s="6">
        <v>70</v>
      </c>
      <c r="G288" s="6">
        <f t="shared" si="12"/>
        <v>70</v>
      </c>
      <c r="H288" s="6">
        <v>70</v>
      </c>
      <c r="I288" s="6">
        <f t="shared" si="13"/>
        <v>0</v>
      </c>
      <c r="J288" s="7" t="str">
        <f t="shared" si="14"/>
        <v>PAGADO</v>
      </c>
      <c r="M288" s="8"/>
    </row>
    <row r="289" spans="3:13" customFormat="1" x14ac:dyDescent="0.25">
      <c r="C289" s="9" t="s">
        <v>304</v>
      </c>
      <c r="D289" s="9" t="s">
        <v>202</v>
      </c>
      <c r="E289" s="10"/>
      <c r="F289" s="6">
        <v>60</v>
      </c>
      <c r="G289" s="6">
        <f t="shared" si="12"/>
        <v>60</v>
      </c>
      <c r="H289" s="6">
        <v>60</v>
      </c>
      <c r="I289" s="6">
        <f t="shared" si="13"/>
        <v>0</v>
      </c>
      <c r="J289" s="7" t="str">
        <f t="shared" si="14"/>
        <v>PAGADO</v>
      </c>
      <c r="M289" s="8"/>
    </row>
    <row r="290" spans="3:13" customFormat="1" x14ac:dyDescent="0.25">
      <c r="C290" s="9" t="s">
        <v>305</v>
      </c>
      <c r="D290" s="9" t="s">
        <v>306</v>
      </c>
      <c r="E290" s="10"/>
      <c r="F290" s="6">
        <v>45</v>
      </c>
      <c r="G290" s="6">
        <f t="shared" si="12"/>
        <v>45</v>
      </c>
      <c r="H290" s="6">
        <v>45</v>
      </c>
      <c r="I290" s="6">
        <f t="shared" si="13"/>
        <v>0</v>
      </c>
      <c r="J290" s="7" t="str">
        <f t="shared" si="14"/>
        <v>PAGADO</v>
      </c>
      <c r="M290" s="8"/>
    </row>
    <row r="291" spans="3:13" customFormat="1" x14ac:dyDescent="0.25">
      <c r="C291" s="22" t="s">
        <v>307</v>
      </c>
      <c r="D291" s="14" t="s">
        <v>162</v>
      </c>
      <c r="E291" s="15"/>
      <c r="F291" s="16">
        <v>8</v>
      </c>
      <c r="G291" s="16">
        <f t="shared" si="12"/>
        <v>8</v>
      </c>
      <c r="H291" s="16">
        <v>8</v>
      </c>
      <c r="I291" s="6">
        <f t="shared" si="13"/>
        <v>0</v>
      </c>
      <c r="J291" s="7" t="str">
        <f t="shared" si="14"/>
        <v>PAGADO</v>
      </c>
      <c r="M291" s="8"/>
    </row>
    <row r="292" spans="3:13" customFormat="1" x14ac:dyDescent="0.25">
      <c r="C292" s="22" t="s">
        <v>308</v>
      </c>
      <c r="D292" s="14" t="s">
        <v>162</v>
      </c>
      <c r="E292" s="15"/>
      <c r="F292" s="16">
        <v>60</v>
      </c>
      <c r="G292" s="16">
        <f t="shared" si="12"/>
        <v>60</v>
      </c>
      <c r="H292" s="16">
        <v>60</v>
      </c>
      <c r="I292" s="6">
        <f t="shared" si="13"/>
        <v>0</v>
      </c>
      <c r="J292" s="7" t="str">
        <f t="shared" si="14"/>
        <v>PAGADO</v>
      </c>
      <c r="M292" s="8"/>
    </row>
    <row r="293" spans="3:13" customFormat="1" x14ac:dyDescent="0.25">
      <c r="C293" s="22" t="s">
        <v>309</v>
      </c>
      <c r="D293" s="14" t="s">
        <v>162</v>
      </c>
      <c r="E293" s="15"/>
      <c r="F293" s="16">
        <v>65</v>
      </c>
      <c r="G293" s="16">
        <f t="shared" si="12"/>
        <v>65</v>
      </c>
      <c r="H293" s="16">
        <v>65</v>
      </c>
      <c r="I293" s="6">
        <f t="shared" si="13"/>
        <v>0</v>
      </c>
      <c r="J293" s="7" t="str">
        <f t="shared" si="14"/>
        <v>PAGADO</v>
      </c>
      <c r="M293" s="8"/>
    </row>
    <row r="294" spans="3:13" customFormat="1" x14ac:dyDescent="0.25">
      <c r="C294" s="9" t="s">
        <v>310</v>
      </c>
      <c r="D294" s="9" t="s">
        <v>153</v>
      </c>
      <c r="E294" s="10"/>
      <c r="F294" s="6">
        <v>65</v>
      </c>
      <c r="G294" s="6">
        <f t="shared" si="12"/>
        <v>65</v>
      </c>
      <c r="H294" s="6">
        <v>65</v>
      </c>
      <c r="I294" s="6">
        <f t="shared" si="13"/>
        <v>0</v>
      </c>
      <c r="J294" s="7" t="str">
        <f t="shared" si="14"/>
        <v>PAGADO</v>
      </c>
      <c r="M294" s="8"/>
    </row>
    <row r="295" spans="3:13" customFormat="1" x14ac:dyDescent="0.25">
      <c r="C295" s="9" t="s">
        <v>310</v>
      </c>
      <c r="D295" s="9" t="s">
        <v>153</v>
      </c>
      <c r="E295" s="10"/>
      <c r="F295" s="6">
        <v>60</v>
      </c>
      <c r="G295" s="6">
        <f t="shared" si="12"/>
        <v>60</v>
      </c>
      <c r="H295" s="6">
        <v>60</v>
      </c>
      <c r="I295" s="6">
        <f t="shared" si="13"/>
        <v>0</v>
      </c>
      <c r="J295" s="7" t="str">
        <f t="shared" si="14"/>
        <v>PAGADO</v>
      </c>
      <c r="M295" s="8"/>
    </row>
    <row r="296" spans="3:13" customFormat="1" x14ac:dyDescent="0.25">
      <c r="C296" s="9" t="s">
        <v>311</v>
      </c>
      <c r="D296" s="9" t="s">
        <v>101</v>
      </c>
      <c r="E296" s="10"/>
      <c r="F296" s="6">
        <v>320</v>
      </c>
      <c r="G296" s="6">
        <f t="shared" si="12"/>
        <v>320</v>
      </c>
      <c r="H296" s="6">
        <f>270+50</f>
        <v>320</v>
      </c>
      <c r="I296" s="6">
        <f t="shared" si="13"/>
        <v>0</v>
      </c>
      <c r="J296" s="7" t="str">
        <f t="shared" si="14"/>
        <v>PAGADO</v>
      </c>
      <c r="M296" s="8"/>
    </row>
    <row r="297" spans="3:13" customFormat="1" x14ac:dyDescent="0.25">
      <c r="C297" s="9" t="s">
        <v>312</v>
      </c>
      <c r="D297" s="9" t="s">
        <v>313</v>
      </c>
      <c r="E297" s="10"/>
      <c r="F297" s="6">
        <v>80</v>
      </c>
      <c r="G297" s="6">
        <f t="shared" si="12"/>
        <v>80</v>
      </c>
      <c r="H297" s="6">
        <f>50+30</f>
        <v>80</v>
      </c>
      <c r="I297" s="6">
        <f t="shared" si="13"/>
        <v>0</v>
      </c>
      <c r="J297" s="7" t="str">
        <f t="shared" si="14"/>
        <v>PAGADO</v>
      </c>
      <c r="M297" s="8"/>
    </row>
    <row r="298" spans="3:13" customFormat="1" x14ac:dyDescent="0.25">
      <c r="C298" s="9" t="s">
        <v>314</v>
      </c>
      <c r="D298" s="9" t="s">
        <v>313</v>
      </c>
      <c r="E298" s="10"/>
      <c r="F298" s="6">
        <v>100</v>
      </c>
      <c r="G298" s="6">
        <f t="shared" si="12"/>
        <v>100</v>
      </c>
      <c r="H298" s="6">
        <v>100</v>
      </c>
      <c r="I298" s="6">
        <f t="shared" si="13"/>
        <v>0</v>
      </c>
      <c r="J298" s="7" t="str">
        <f t="shared" si="14"/>
        <v>PAGADO</v>
      </c>
      <c r="M298" s="8"/>
    </row>
    <row r="299" spans="3:13" customFormat="1" x14ac:dyDescent="0.25">
      <c r="C299" s="9" t="s">
        <v>315</v>
      </c>
      <c r="D299" s="9" t="s">
        <v>313</v>
      </c>
      <c r="E299" s="10"/>
      <c r="F299" s="6">
        <v>25</v>
      </c>
      <c r="G299" s="6">
        <f t="shared" si="12"/>
        <v>25</v>
      </c>
      <c r="H299" s="6">
        <v>25</v>
      </c>
      <c r="I299" s="6">
        <f t="shared" si="13"/>
        <v>0</v>
      </c>
      <c r="J299" s="7" t="str">
        <f t="shared" si="14"/>
        <v>PAGADO</v>
      </c>
      <c r="M299" s="8"/>
    </row>
    <row r="300" spans="3:13" customFormat="1" x14ac:dyDescent="0.25">
      <c r="C300" s="9" t="s">
        <v>316</v>
      </c>
      <c r="D300" s="9" t="s">
        <v>313</v>
      </c>
      <c r="E300" s="10"/>
      <c r="F300" s="6">
        <v>25</v>
      </c>
      <c r="G300" s="6">
        <f t="shared" si="12"/>
        <v>25</v>
      </c>
      <c r="H300" s="6">
        <v>25</v>
      </c>
      <c r="I300" s="6">
        <f t="shared" si="13"/>
        <v>0</v>
      </c>
      <c r="J300" s="7" t="str">
        <f t="shared" si="14"/>
        <v>PAGADO</v>
      </c>
      <c r="M300" s="8"/>
    </row>
    <row r="301" spans="3:13" customFormat="1" x14ac:dyDescent="0.25">
      <c r="C301" s="9" t="s">
        <v>317</v>
      </c>
      <c r="D301" s="9" t="s">
        <v>313</v>
      </c>
      <c r="E301" s="10"/>
      <c r="F301" s="6">
        <v>18</v>
      </c>
      <c r="G301" s="6">
        <f t="shared" si="12"/>
        <v>18</v>
      </c>
      <c r="H301" s="6">
        <v>18</v>
      </c>
      <c r="I301" s="6">
        <f t="shared" si="13"/>
        <v>0</v>
      </c>
      <c r="J301" s="7" t="str">
        <f t="shared" si="14"/>
        <v>PAGADO</v>
      </c>
      <c r="M301" s="8"/>
    </row>
    <row r="302" spans="3:13" customFormat="1" x14ac:dyDescent="0.25">
      <c r="C302" s="9" t="s">
        <v>318</v>
      </c>
      <c r="D302" s="9" t="s">
        <v>313</v>
      </c>
      <c r="E302" s="10"/>
      <c r="F302" s="6">
        <v>15</v>
      </c>
      <c r="G302" s="6">
        <f t="shared" si="12"/>
        <v>15</v>
      </c>
      <c r="H302" s="6">
        <v>15</v>
      </c>
      <c r="I302" s="6">
        <f t="shared" si="13"/>
        <v>0</v>
      </c>
      <c r="J302" s="7" t="str">
        <f t="shared" si="14"/>
        <v>PAGADO</v>
      </c>
      <c r="M302" s="8"/>
    </row>
    <row r="303" spans="3:13" customFormat="1" x14ac:dyDescent="0.25">
      <c r="C303" s="9" t="s">
        <v>319</v>
      </c>
      <c r="D303" s="9" t="s">
        <v>287</v>
      </c>
      <c r="E303" s="10"/>
      <c r="F303" s="6">
        <v>66</v>
      </c>
      <c r="G303" s="6">
        <f t="shared" si="12"/>
        <v>66</v>
      </c>
      <c r="H303" s="6">
        <v>66</v>
      </c>
      <c r="I303" s="6">
        <f t="shared" si="13"/>
        <v>0</v>
      </c>
      <c r="J303" s="7" t="str">
        <f t="shared" si="14"/>
        <v>PAGADO</v>
      </c>
      <c r="M303" s="8"/>
    </row>
    <row r="304" spans="3:13" customFormat="1" x14ac:dyDescent="0.25">
      <c r="C304" s="9" t="s">
        <v>320</v>
      </c>
      <c r="D304" s="9" t="s">
        <v>287</v>
      </c>
      <c r="E304" s="10"/>
      <c r="F304" s="6">
        <v>61</v>
      </c>
      <c r="G304" s="6">
        <f t="shared" si="12"/>
        <v>61</v>
      </c>
      <c r="H304" s="6">
        <v>61</v>
      </c>
      <c r="I304" s="6">
        <f t="shared" si="13"/>
        <v>0</v>
      </c>
      <c r="J304" s="7" t="str">
        <f t="shared" si="14"/>
        <v>PAGADO</v>
      </c>
      <c r="M304" s="8"/>
    </row>
    <row r="305" spans="3:13" customFormat="1" x14ac:dyDescent="0.25">
      <c r="C305" s="9" t="s">
        <v>321</v>
      </c>
      <c r="D305" s="9" t="s">
        <v>287</v>
      </c>
      <c r="E305" s="10"/>
      <c r="F305" s="6">
        <v>11</v>
      </c>
      <c r="G305" s="6">
        <f t="shared" si="12"/>
        <v>11</v>
      </c>
      <c r="H305" s="6">
        <v>11</v>
      </c>
      <c r="I305" s="6">
        <f t="shared" si="13"/>
        <v>0</v>
      </c>
      <c r="J305" s="7" t="str">
        <f t="shared" si="14"/>
        <v>PAGADO</v>
      </c>
      <c r="M305" s="8"/>
    </row>
    <row r="306" spans="3:13" customFormat="1" x14ac:dyDescent="0.25">
      <c r="C306" s="9" t="s">
        <v>322</v>
      </c>
      <c r="D306" t="s">
        <v>74</v>
      </c>
      <c r="E306" s="10"/>
      <c r="F306" s="6">
        <v>10</v>
      </c>
      <c r="G306" s="6">
        <f t="shared" si="12"/>
        <v>10</v>
      </c>
      <c r="H306" s="6">
        <v>10</v>
      </c>
      <c r="I306" s="6">
        <f t="shared" si="13"/>
        <v>0</v>
      </c>
      <c r="J306" s="7" t="str">
        <f t="shared" si="14"/>
        <v>PAGADO</v>
      </c>
      <c r="M306" s="8"/>
    </row>
    <row r="307" spans="3:13" customFormat="1" x14ac:dyDescent="0.25">
      <c r="C307" s="9" t="s">
        <v>323</v>
      </c>
      <c r="D307" t="s">
        <v>18</v>
      </c>
      <c r="E307" s="10"/>
      <c r="F307" s="6">
        <v>23</v>
      </c>
      <c r="G307" s="6">
        <f t="shared" si="12"/>
        <v>23</v>
      </c>
      <c r="H307" s="6">
        <v>23</v>
      </c>
      <c r="I307" s="6">
        <f t="shared" si="13"/>
        <v>0</v>
      </c>
      <c r="J307" s="7" t="str">
        <f t="shared" si="14"/>
        <v>PAGADO</v>
      </c>
      <c r="M307" s="8"/>
    </row>
    <row r="308" spans="3:13" customFormat="1" x14ac:dyDescent="0.25">
      <c r="C308" s="9" t="s">
        <v>324</v>
      </c>
      <c r="D308" s="9" t="s">
        <v>325</v>
      </c>
      <c r="E308" s="10"/>
      <c r="F308" s="6">
        <v>10</v>
      </c>
      <c r="G308" s="6">
        <f t="shared" si="12"/>
        <v>10</v>
      </c>
      <c r="H308" s="6">
        <v>10</v>
      </c>
      <c r="I308" s="6">
        <f t="shared" si="13"/>
        <v>0</v>
      </c>
      <c r="J308" s="7" t="str">
        <f t="shared" si="14"/>
        <v>PAGADO</v>
      </c>
      <c r="M308" s="8"/>
    </row>
    <row r="309" spans="3:13" customFormat="1" x14ac:dyDescent="0.25">
      <c r="C309" s="9" t="s">
        <v>326</v>
      </c>
      <c r="D309" s="9" t="s">
        <v>45</v>
      </c>
      <c r="E309" s="10"/>
      <c r="F309" s="6">
        <v>23</v>
      </c>
      <c r="G309" s="6">
        <f t="shared" si="12"/>
        <v>23</v>
      </c>
      <c r="H309" s="6">
        <v>23</v>
      </c>
      <c r="I309" s="6">
        <f t="shared" si="13"/>
        <v>0</v>
      </c>
      <c r="J309" s="7" t="str">
        <f t="shared" si="14"/>
        <v>PAGADO</v>
      </c>
      <c r="M309" s="8"/>
    </row>
    <row r="310" spans="3:13" customFormat="1" x14ac:dyDescent="0.25">
      <c r="C310" s="9" t="s">
        <v>323</v>
      </c>
      <c r="D310" t="s">
        <v>52</v>
      </c>
      <c r="E310" s="10"/>
      <c r="F310" s="6">
        <v>14</v>
      </c>
      <c r="G310" s="6">
        <f t="shared" si="12"/>
        <v>14</v>
      </c>
      <c r="H310" s="6">
        <v>14</v>
      </c>
      <c r="I310" s="6">
        <f t="shared" si="13"/>
        <v>0</v>
      </c>
      <c r="J310" s="7" t="str">
        <f t="shared" si="14"/>
        <v>PAGADO</v>
      </c>
      <c r="M310" s="8"/>
    </row>
    <row r="311" spans="3:13" customFormat="1" x14ac:dyDescent="0.25">
      <c r="C311" s="9" t="s">
        <v>30</v>
      </c>
      <c r="D311" t="s">
        <v>327</v>
      </c>
      <c r="E311" s="10"/>
      <c r="F311" s="6">
        <v>20</v>
      </c>
      <c r="G311" s="6">
        <f t="shared" si="12"/>
        <v>20</v>
      </c>
      <c r="H311" s="6">
        <v>20</v>
      </c>
      <c r="I311" s="6">
        <f t="shared" si="13"/>
        <v>0</v>
      </c>
      <c r="J311" s="7" t="str">
        <f t="shared" si="14"/>
        <v>PAGADO</v>
      </c>
      <c r="M311" s="8"/>
    </row>
    <row r="312" spans="3:13" customFormat="1" x14ac:dyDescent="0.25">
      <c r="C312" s="9" t="s">
        <v>328</v>
      </c>
      <c r="D312" t="s">
        <v>58</v>
      </c>
      <c r="E312" s="10"/>
      <c r="F312" s="6">
        <v>14</v>
      </c>
      <c r="G312" s="6">
        <f t="shared" si="12"/>
        <v>14</v>
      </c>
      <c r="H312" s="6">
        <v>14</v>
      </c>
      <c r="I312" s="6">
        <f t="shared" si="13"/>
        <v>0</v>
      </c>
      <c r="J312" s="7" t="str">
        <f t="shared" si="14"/>
        <v>PAGADO</v>
      </c>
      <c r="M312" s="8"/>
    </row>
    <row r="313" spans="3:13" customFormat="1" x14ac:dyDescent="0.25">
      <c r="C313" s="9" t="s">
        <v>329</v>
      </c>
      <c r="D313" t="s">
        <v>236</v>
      </c>
      <c r="E313" s="10"/>
      <c r="F313" s="6">
        <v>62</v>
      </c>
      <c r="G313" s="6">
        <f t="shared" si="12"/>
        <v>62</v>
      </c>
      <c r="H313" s="6">
        <v>62</v>
      </c>
      <c r="I313" s="6">
        <f t="shared" si="13"/>
        <v>0</v>
      </c>
      <c r="J313" s="7" t="str">
        <f t="shared" si="14"/>
        <v>PAGADO</v>
      </c>
      <c r="M313" s="8"/>
    </row>
    <row r="314" spans="3:13" customFormat="1" x14ac:dyDescent="0.25">
      <c r="C314" s="9" t="s">
        <v>180</v>
      </c>
      <c r="D314" t="s">
        <v>236</v>
      </c>
      <c r="E314" s="10"/>
      <c r="F314" s="6">
        <v>8</v>
      </c>
      <c r="G314" s="6">
        <f t="shared" si="12"/>
        <v>8</v>
      </c>
      <c r="H314" s="6">
        <v>8</v>
      </c>
      <c r="I314" s="6">
        <f t="shared" si="13"/>
        <v>0</v>
      </c>
      <c r="J314" s="7" t="str">
        <f t="shared" si="14"/>
        <v>PAGADO</v>
      </c>
      <c r="M314" s="8"/>
    </row>
    <row r="315" spans="3:13" customFormat="1" x14ac:dyDescent="0.25">
      <c r="C315" s="9" t="s">
        <v>180</v>
      </c>
      <c r="D315" t="s">
        <v>129</v>
      </c>
      <c r="E315" s="10"/>
      <c r="F315" s="6">
        <v>9</v>
      </c>
      <c r="G315" s="6">
        <f t="shared" si="12"/>
        <v>9</v>
      </c>
      <c r="H315" s="6">
        <v>9</v>
      </c>
      <c r="I315" s="6">
        <f t="shared" si="13"/>
        <v>0</v>
      </c>
      <c r="J315" s="7" t="str">
        <f t="shared" si="14"/>
        <v>PAGADO</v>
      </c>
      <c r="M315" s="8"/>
    </row>
    <row r="316" spans="3:13" customFormat="1" x14ac:dyDescent="0.25">
      <c r="C316" s="9" t="s">
        <v>330</v>
      </c>
      <c r="D316" s="9" t="s">
        <v>202</v>
      </c>
      <c r="E316" s="10"/>
      <c r="F316" s="6">
        <v>22</v>
      </c>
      <c r="G316" s="6">
        <f t="shared" si="12"/>
        <v>22</v>
      </c>
      <c r="H316" s="6">
        <v>22</v>
      </c>
      <c r="I316" s="6">
        <f t="shared" si="13"/>
        <v>0</v>
      </c>
      <c r="J316" s="7" t="str">
        <f t="shared" si="14"/>
        <v>PAGADO</v>
      </c>
      <c r="M316" s="8"/>
    </row>
    <row r="317" spans="3:13" customFormat="1" x14ac:dyDescent="0.25">
      <c r="C317" s="9" t="s">
        <v>331</v>
      </c>
      <c r="D317" s="9" t="s">
        <v>202</v>
      </c>
      <c r="E317" s="10"/>
      <c r="F317" s="6">
        <v>280</v>
      </c>
      <c r="G317" s="6">
        <f t="shared" si="12"/>
        <v>280</v>
      </c>
      <c r="H317" s="6">
        <v>280</v>
      </c>
      <c r="I317" s="6">
        <f t="shared" si="13"/>
        <v>0</v>
      </c>
      <c r="J317" s="7" t="str">
        <f t="shared" si="14"/>
        <v>PAGADO</v>
      </c>
      <c r="M317" s="8"/>
    </row>
    <row r="318" spans="3:13" customFormat="1" x14ac:dyDescent="0.25">
      <c r="C318" s="9" t="s">
        <v>332</v>
      </c>
      <c r="D318" s="9" t="s">
        <v>202</v>
      </c>
      <c r="E318" s="10"/>
      <c r="F318" s="6">
        <v>90</v>
      </c>
      <c r="G318" s="6">
        <f t="shared" si="12"/>
        <v>90</v>
      </c>
      <c r="H318" s="6">
        <v>90</v>
      </c>
      <c r="I318" s="6">
        <f t="shared" si="13"/>
        <v>0</v>
      </c>
      <c r="J318" s="7" t="str">
        <f t="shared" si="14"/>
        <v>PAGADO</v>
      </c>
      <c r="M318" s="8"/>
    </row>
    <row r="319" spans="3:13" customFormat="1" x14ac:dyDescent="0.25">
      <c r="C319" s="9" t="s">
        <v>333</v>
      </c>
      <c r="D319" s="9" t="s">
        <v>313</v>
      </c>
      <c r="E319" s="10"/>
      <c r="F319" s="6">
        <v>60</v>
      </c>
      <c r="G319" s="6">
        <f t="shared" si="12"/>
        <v>60</v>
      </c>
      <c r="H319" s="6">
        <v>60</v>
      </c>
      <c r="I319" s="6">
        <f t="shared" si="13"/>
        <v>0</v>
      </c>
      <c r="J319" s="7" t="str">
        <f t="shared" si="14"/>
        <v>PAGADO</v>
      </c>
      <c r="M319" s="8"/>
    </row>
    <row r="320" spans="3:13" customFormat="1" x14ac:dyDescent="0.25">
      <c r="C320" s="9" t="s">
        <v>334</v>
      </c>
      <c r="D320" s="9" t="s">
        <v>313</v>
      </c>
      <c r="E320" s="10"/>
      <c r="F320" s="6">
        <v>100</v>
      </c>
      <c r="G320" s="6">
        <f t="shared" si="12"/>
        <v>100</v>
      </c>
      <c r="H320" s="6">
        <v>100</v>
      </c>
      <c r="I320" s="6">
        <f t="shared" si="13"/>
        <v>0</v>
      </c>
      <c r="J320" s="7" t="str">
        <f t="shared" si="14"/>
        <v>PAGADO</v>
      </c>
      <c r="M320" s="8"/>
    </row>
    <row r="321" spans="3:13" customFormat="1" x14ac:dyDescent="0.25">
      <c r="C321" s="9" t="s">
        <v>172</v>
      </c>
      <c r="D321" t="s">
        <v>74</v>
      </c>
      <c r="E321" s="10"/>
      <c r="F321" s="6">
        <v>140</v>
      </c>
      <c r="G321" s="6">
        <f t="shared" si="12"/>
        <v>140</v>
      </c>
      <c r="H321" s="6">
        <v>140</v>
      </c>
      <c r="I321" s="6">
        <f t="shared" si="13"/>
        <v>0</v>
      </c>
      <c r="J321" s="7" t="str">
        <f t="shared" si="14"/>
        <v>PAGADO</v>
      </c>
      <c r="M321" s="8"/>
    </row>
    <row r="322" spans="3:13" customFormat="1" x14ac:dyDescent="0.25">
      <c r="C322" s="9" t="s">
        <v>335</v>
      </c>
      <c r="D322" t="s">
        <v>80</v>
      </c>
      <c r="E322" s="10"/>
      <c r="F322" s="6">
        <v>45</v>
      </c>
      <c r="G322" s="6">
        <f t="shared" ref="G322:G385" si="15">F322-E322</f>
        <v>45</v>
      </c>
      <c r="H322" s="6">
        <f>40+5</f>
        <v>45</v>
      </c>
      <c r="I322" s="6">
        <f t="shared" ref="I322:I385" si="16">F322-H322</f>
        <v>0</v>
      </c>
      <c r="J322" s="7" t="str">
        <f t="shared" ref="J322:J385" si="17">IF(I322&gt;0,"DEBE","PAGADO")</f>
        <v>PAGADO</v>
      </c>
      <c r="K322" s="9"/>
      <c r="M322" s="8"/>
    </row>
    <row r="323" spans="3:13" customFormat="1" x14ac:dyDescent="0.25">
      <c r="C323" s="9" t="s">
        <v>336</v>
      </c>
      <c r="D323" t="s">
        <v>80</v>
      </c>
      <c r="E323" s="10"/>
      <c r="F323" s="6">
        <v>17</v>
      </c>
      <c r="G323" s="6">
        <f t="shared" si="15"/>
        <v>17</v>
      </c>
      <c r="H323" s="6">
        <v>17</v>
      </c>
      <c r="I323" s="6">
        <f t="shared" si="16"/>
        <v>0</v>
      </c>
      <c r="J323" s="7" t="str">
        <f t="shared" si="17"/>
        <v>PAGADO</v>
      </c>
      <c r="M323" s="8"/>
    </row>
    <row r="324" spans="3:13" customFormat="1" x14ac:dyDescent="0.25">
      <c r="C324" s="9" t="s">
        <v>277</v>
      </c>
      <c r="D324" t="s">
        <v>236</v>
      </c>
      <c r="E324" s="10"/>
      <c r="F324" s="6">
        <v>64</v>
      </c>
      <c r="G324" s="6">
        <f t="shared" si="15"/>
        <v>64</v>
      </c>
      <c r="H324" s="6">
        <v>64</v>
      </c>
      <c r="I324" s="6">
        <f t="shared" si="16"/>
        <v>0</v>
      </c>
      <c r="J324" s="7" t="str">
        <f t="shared" si="17"/>
        <v>PAGADO</v>
      </c>
      <c r="M324" s="8"/>
    </row>
    <row r="325" spans="3:13" customFormat="1" x14ac:dyDescent="0.25">
      <c r="C325" s="9" t="s">
        <v>337</v>
      </c>
      <c r="D325" s="9" t="s">
        <v>89</v>
      </c>
      <c r="E325" s="10"/>
      <c r="F325" s="6">
        <v>60</v>
      </c>
      <c r="G325" s="6">
        <f t="shared" si="15"/>
        <v>60</v>
      </c>
      <c r="H325" s="6">
        <v>60</v>
      </c>
      <c r="I325" s="6">
        <f t="shared" si="16"/>
        <v>0</v>
      </c>
      <c r="J325" s="7" t="str">
        <f t="shared" si="17"/>
        <v>PAGADO</v>
      </c>
      <c r="M325" s="8"/>
    </row>
    <row r="326" spans="3:13" customFormat="1" x14ac:dyDescent="0.25">
      <c r="C326" s="9" t="s">
        <v>338</v>
      </c>
      <c r="D326" s="9" t="s">
        <v>89</v>
      </c>
      <c r="E326" s="10"/>
      <c r="F326" s="6">
        <v>81</v>
      </c>
      <c r="G326" s="6">
        <f t="shared" si="15"/>
        <v>81</v>
      </c>
      <c r="H326" s="6">
        <v>81</v>
      </c>
      <c r="I326" s="6">
        <f t="shared" si="16"/>
        <v>0</v>
      </c>
      <c r="J326" s="7" t="str">
        <f t="shared" si="17"/>
        <v>PAGADO</v>
      </c>
      <c r="M326" s="8"/>
    </row>
    <row r="327" spans="3:13" customFormat="1" x14ac:dyDescent="0.25">
      <c r="C327" s="9" t="s">
        <v>339</v>
      </c>
      <c r="D327" s="9" t="s">
        <v>89</v>
      </c>
      <c r="E327" s="10"/>
      <c r="F327" s="6">
        <v>80</v>
      </c>
      <c r="G327" s="6">
        <f t="shared" si="15"/>
        <v>80</v>
      </c>
      <c r="H327" s="6">
        <v>80</v>
      </c>
      <c r="I327" s="6">
        <f t="shared" si="16"/>
        <v>0</v>
      </c>
      <c r="J327" s="7" t="str">
        <f t="shared" si="17"/>
        <v>PAGADO</v>
      </c>
      <c r="M327" s="8"/>
    </row>
    <row r="328" spans="3:13" customFormat="1" x14ac:dyDescent="0.25">
      <c r="C328" s="9" t="s">
        <v>340</v>
      </c>
      <c r="D328" t="s">
        <v>18</v>
      </c>
      <c r="E328" s="10"/>
      <c r="F328" s="6">
        <v>45</v>
      </c>
      <c r="G328" s="6">
        <f t="shared" si="15"/>
        <v>45</v>
      </c>
      <c r="H328" s="6">
        <v>45</v>
      </c>
      <c r="I328" s="6">
        <f t="shared" si="16"/>
        <v>0</v>
      </c>
      <c r="J328" s="7" t="str">
        <f t="shared" si="17"/>
        <v>PAGADO</v>
      </c>
      <c r="M328" s="8"/>
    </row>
    <row r="329" spans="3:13" customFormat="1" x14ac:dyDescent="0.25">
      <c r="C329" s="9" t="s">
        <v>341</v>
      </c>
      <c r="D329" s="9" t="s">
        <v>101</v>
      </c>
      <c r="E329" s="10"/>
      <c r="F329" s="6">
        <v>101</v>
      </c>
      <c r="G329" s="6">
        <f t="shared" si="15"/>
        <v>101</v>
      </c>
      <c r="H329" s="6">
        <v>101</v>
      </c>
      <c r="I329" s="16">
        <f t="shared" si="16"/>
        <v>0</v>
      </c>
      <c r="J329" s="7" t="str">
        <f t="shared" si="17"/>
        <v>PAGADO</v>
      </c>
      <c r="M329" s="8"/>
    </row>
    <row r="330" spans="3:13" customFormat="1" x14ac:dyDescent="0.25">
      <c r="C330" s="9" t="s">
        <v>342</v>
      </c>
      <c r="D330" s="9" t="s">
        <v>101</v>
      </c>
      <c r="E330" s="10"/>
      <c r="F330" s="6">
        <v>250</v>
      </c>
      <c r="G330" s="6">
        <f t="shared" si="15"/>
        <v>250</v>
      </c>
      <c r="H330" s="6">
        <v>250</v>
      </c>
      <c r="I330" s="6">
        <f t="shared" si="16"/>
        <v>0</v>
      </c>
      <c r="J330" s="7" t="str">
        <f t="shared" si="17"/>
        <v>PAGADO</v>
      </c>
      <c r="M330" s="8"/>
    </row>
    <row r="331" spans="3:13" customFormat="1" x14ac:dyDescent="0.25">
      <c r="C331" s="9" t="s">
        <v>343</v>
      </c>
      <c r="D331" s="9" t="s">
        <v>101</v>
      </c>
      <c r="E331" s="10"/>
      <c r="F331" s="6">
        <v>250</v>
      </c>
      <c r="G331" s="6">
        <f t="shared" si="15"/>
        <v>250</v>
      </c>
      <c r="H331" s="6">
        <v>250</v>
      </c>
      <c r="I331" s="16">
        <f t="shared" si="16"/>
        <v>0</v>
      </c>
      <c r="J331" s="7" t="str">
        <f t="shared" si="17"/>
        <v>PAGADO</v>
      </c>
      <c r="M331" s="8"/>
    </row>
    <row r="332" spans="3:13" customFormat="1" x14ac:dyDescent="0.25">
      <c r="C332" s="9" t="s">
        <v>344</v>
      </c>
      <c r="D332" t="s">
        <v>52</v>
      </c>
      <c r="E332" s="10"/>
      <c r="F332" s="6">
        <v>12</v>
      </c>
      <c r="G332" s="6">
        <f t="shared" si="15"/>
        <v>12</v>
      </c>
      <c r="H332" s="6">
        <v>12</v>
      </c>
      <c r="I332" s="6">
        <f t="shared" si="16"/>
        <v>0</v>
      </c>
      <c r="J332" s="7" t="str">
        <f t="shared" si="17"/>
        <v>PAGADO</v>
      </c>
      <c r="M332" s="8"/>
    </row>
    <row r="333" spans="3:13" customFormat="1" x14ac:dyDescent="0.25">
      <c r="C333" s="9" t="s">
        <v>345</v>
      </c>
      <c r="D333" t="s">
        <v>127</v>
      </c>
      <c r="E333" s="10"/>
      <c r="F333" s="6">
        <v>140</v>
      </c>
      <c r="G333" s="6">
        <f t="shared" si="15"/>
        <v>140</v>
      </c>
      <c r="H333" s="6">
        <v>140</v>
      </c>
      <c r="I333" s="6">
        <f t="shared" si="16"/>
        <v>0</v>
      </c>
      <c r="J333" s="7" t="str">
        <f t="shared" si="17"/>
        <v>PAGADO</v>
      </c>
      <c r="M333" s="8"/>
    </row>
    <row r="334" spans="3:13" customFormat="1" x14ac:dyDescent="0.25">
      <c r="C334" s="9" t="s">
        <v>346</v>
      </c>
      <c r="D334" s="9" t="s">
        <v>287</v>
      </c>
      <c r="E334" s="10"/>
      <c r="F334" s="6">
        <v>15</v>
      </c>
      <c r="G334" s="6">
        <f t="shared" si="15"/>
        <v>15</v>
      </c>
      <c r="H334" s="6">
        <v>15</v>
      </c>
      <c r="I334" s="6">
        <f t="shared" si="16"/>
        <v>0</v>
      </c>
      <c r="J334" s="7" t="str">
        <f t="shared" si="17"/>
        <v>PAGADO</v>
      </c>
      <c r="M334" s="8"/>
    </row>
    <row r="335" spans="3:13" customFormat="1" x14ac:dyDescent="0.25">
      <c r="C335" s="9" t="s">
        <v>347</v>
      </c>
      <c r="D335" s="9" t="s">
        <v>348</v>
      </c>
      <c r="E335" s="10"/>
      <c r="F335" s="6">
        <v>15</v>
      </c>
      <c r="G335" s="6">
        <f t="shared" si="15"/>
        <v>15</v>
      </c>
      <c r="H335" s="6">
        <v>15</v>
      </c>
      <c r="I335" s="6">
        <f t="shared" si="16"/>
        <v>0</v>
      </c>
      <c r="J335" s="7" t="str">
        <f t="shared" si="17"/>
        <v>PAGADO</v>
      </c>
      <c r="M335" s="8"/>
    </row>
    <row r="336" spans="3:13" customFormat="1" x14ac:dyDescent="0.25">
      <c r="C336" s="9" t="s">
        <v>349</v>
      </c>
      <c r="D336" t="s">
        <v>16</v>
      </c>
      <c r="E336" s="10"/>
      <c r="F336" s="6">
        <v>13</v>
      </c>
      <c r="G336" s="6">
        <f t="shared" si="15"/>
        <v>13</v>
      </c>
      <c r="H336" s="6">
        <v>13</v>
      </c>
      <c r="I336" s="6">
        <f t="shared" si="16"/>
        <v>0</v>
      </c>
      <c r="J336" s="7" t="str">
        <f t="shared" si="17"/>
        <v>PAGADO</v>
      </c>
      <c r="M336" s="8"/>
    </row>
    <row r="337" spans="3:13" customFormat="1" x14ac:dyDescent="0.25">
      <c r="C337" s="9" t="s">
        <v>350</v>
      </c>
      <c r="D337" t="s">
        <v>16</v>
      </c>
      <c r="E337" s="10"/>
      <c r="F337" s="6">
        <v>11</v>
      </c>
      <c r="G337" s="6">
        <f t="shared" si="15"/>
        <v>11</v>
      </c>
      <c r="H337" s="6">
        <v>11</v>
      </c>
      <c r="I337" s="6">
        <f t="shared" si="16"/>
        <v>0</v>
      </c>
      <c r="J337" s="7" t="str">
        <f t="shared" si="17"/>
        <v>PAGADO</v>
      </c>
      <c r="M337" s="8"/>
    </row>
    <row r="338" spans="3:13" customFormat="1" x14ac:dyDescent="0.25">
      <c r="C338" s="9" t="s">
        <v>128</v>
      </c>
      <c r="D338" t="s">
        <v>16</v>
      </c>
      <c r="E338" s="10"/>
      <c r="F338" s="6">
        <v>55</v>
      </c>
      <c r="G338" s="6">
        <f t="shared" si="15"/>
        <v>55</v>
      </c>
      <c r="H338" s="6">
        <v>55</v>
      </c>
      <c r="I338" s="6">
        <f t="shared" si="16"/>
        <v>0</v>
      </c>
      <c r="J338" s="7" t="str">
        <f t="shared" si="17"/>
        <v>PAGADO</v>
      </c>
      <c r="M338" s="8"/>
    </row>
    <row r="339" spans="3:13" customFormat="1" x14ac:dyDescent="0.25">
      <c r="C339" s="9" t="s">
        <v>351</v>
      </c>
      <c r="D339" s="9" t="s">
        <v>33</v>
      </c>
      <c r="E339" s="10"/>
      <c r="F339" s="6">
        <v>80</v>
      </c>
      <c r="G339" s="6">
        <f t="shared" si="15"/>
        <v>80</v>
      </c>
      <c r="H339" s="6">
        <v>80</v>
      </c>
      <c r="I339" s="6">
        <f t="shared" si="16"/>
        <v>0</v>
      </c>
      <c r="J339" s="7" t="str">
        <f t="shared" si="17"/>
        <v>PAGADO</v>
      </c>
      <c r="M339" s="8"/>
    </row>
    <row r="340" spans="3:13" customFormat="1" x14ac:dyDescent="0.25">
      <c r="C340" s="9" t="s">
        <v>87</v>
      </c>
      <c r="D340" s="9" t="s">
        <v>33</v>
      </c>
      <c r="E340" s="10"/>
      <c r="F340" s="6">
        <v>60</v>
      </c>
      <c r="G340" s="6">
        <f t="shared" si="15"/>
        <v>60</v>
      </c>
      <c r="H340" s="6">
        <v>60</v>
      </c>
      <c r="I340" s="6">
        <f t="shared" si="16"/>
        <v>0</v>
      </c>
      <c r="J340" s="7" t="str">
        <f t="shared" si="17"/>
        <v>PAGADO</v>
      </c>
      <c r="M340" s="8"/>
    </row>
    <row r="341" spans="3:13" customFormat="1" x14ac:dyDescent="0.25">
      <c r="C341" s="9" t="s">
        <v>352</v>
      </c>
      <c r="D341" s="9" t="s">
        <v>70</v>
      </c>
      <c r="E341" s="10"/>
      <c r="F341" s="6">
        <v>100</v>
      </c>
      <c r="G341" s="6">
        <f t="shared" si="15"/>
        <v>100</v>
      </c>
      <c r="H341" s="6">
        <f>50+50</f>
        <v>100</v>
      </c>
      <c r="I341" s="6">
        <f t="shared" si="16"/>
        <v>0</v>
      </c>
      <c r="J341" s="7" t="str">
        <f t="shared" si="17"/>
        <v>PAGADO</v>
      </c>
      <c r="M341" s="8"/>
    </row>
    <row r="342" spans="3:13" customFormat="1" x14ac:dyDescent="0.25">
      <c r="C342" s="9" t="s">
        <v>353</v>
      </c>
      <c r="D342" s="9" t="s">
        <v>238</v>
      </c>
      <c r="E342" s="10"/>
      <c r="F342" s="6">
        <v>85</v>
      </c>
      <c r="G342" s="6">
        <f t="shared" si="15"/>
        <v>85</v>
      </c>
      <c r="H342" s="6">
        <v>85</v>
      </c>
      <c r="I342" s="6">
        <f t="shared" si="16"/>
        <v>0</v>
      </c>
      <c r="J342" s="7" t="str">
        <f t="shared" si="17"/>
        <v>PAGADO</v>
      </c>
      <c r="M342" s="8"/>
    </row>
    <row r="343" spans="3:13" customFormat="1" x14ac:dyDescent="0.25">
      <c r="C343" s="9" t="s">
        <v>354</v>
      </c>
      <c r="D343" t="s">
        <v>27</v>
      </c>
      <c r="E343" s="10"/>
      <c r="F343" s="6">
        <v>80</v>
      </c>
      <c r="G343" s="6">
        <f t="shared" si="15"/>
        <v>80</v>
      </c>
      <c r="H343" s="6">
        <v>80</v>
      </c>
      <c r="I343" s="6">
        <f t="shared" si="16"/>
        <v>0</v>
      </c>
      <c r="J343" s="7" t="str">
        <f t="shared" si="17"/>
        <v>PAGADO</v>
      </c>
      <c r="M343" s="8"/>
    </row>
    <row r="344" spans="3:13" customFormat="1" x14ac:dyDescent="0.25">
      <c r="C344" s="9" t="s">
        <v>355</v>
      </c>
      <c r="D344" t="s">
        <v>27</v>
      </c>
      <c r="E344" s="10"/>
      <c r="F344" s="6">
        <v>70</v>
      </c>
      <c r="G344" s="6">
        <f t="shared" si="15"/>
        <v>70</v>
      </c>
      <c r="H344" s="6">
        <v>70</v>
      </c>
      <c r="I344" s="6">
        <f t="shared" si="16"/>
        <v>0</v>
      </c>
      <c r="J344" s="7" t="str">
        <f t="shared" si="17"/>
        <v>PAGADO</v>
      </c>
      <c r="M344" s="8"/>
    </row>
    <row r="345" spans="3:13" customFormat="1" x14ac:dyDescent="0.25">
      <c r="C345" s="9" t="s">
        <v>116</v>
      </c>
      <c r="D345" t="s">
        <v>27</v>
      </c>
      <c r="E345" s="10"/>
      <c r="F345" s="6">
        <v>10</v>
      </c>
      <c r="G345" s="6">
        <f t="shared" si="15"/>
        <v>10</v>
      </c>
      <c r="H345" s="6">
        <v>10</v>
      </c>
      <c r="I345" s="6">
        <f t="shared" si="16"/>
        <v>0</v>
      </c>
      <c r="J345" s="7" t="str">
        <f t="shared" si="17"/>
        <v>PAGADO</v>
      </c>
      <c r="M345" s="8"/>
    </row>
    <row r="346" spans="3:13" customFormat="1" x14ac:dyDescent="0.25">
      <c r="C346" s="9" t="s">
        <v>356</v>
      </c>
      <c r="D346" t="s">
        <v>74</v>
      </c>
      <c r="E346" s="10"/>
      <c r="F346" s="6">
        <v>85</v>
      </c>
      <c r="G346" s="6">
        <f t="shared" si="15"/>
        <v>85</v>
      </c>
      <c r="H346" s="6">
        <v>85</v>
      </c>
      <c r="I346" s="6">
        <f t="shared" si="16"/>
        <v>0</v>
      </c>
      <c r="J346" s="7" t="str">
        <f t="shared" si="17"/>
        <v>PAGADO</v>
      </c>
      <c r="M346" s="8"/>
    </row>
    <row r="347" spans="3:13" customFormat="1" x14ac:dyDescent="0.25">
      <c r="C347" s="9" t="s">
        <v>279</v>
      </c>
      <c r="D347" s="9" t="s">
        <v>287</v>
      </c>
      <c r="E347" s="10"/>
      <c r="F347" s="6">
        <v>23</v>
      </c>
      <c r="G347" s="6">
        <f t="shared" si="15"/>
        <v>23</v>
      </c>
      <c r="H347" s="6">
        <v>23</v>
      </c>
      <c r="I347" s="6">
        <f t="shared" si="16"/>
        <v>0</v>
      </c>
      <c r="J347" s="7" t="str">
        <f t="shared" si="17"/>
        <v>PAGADO</v>
      </c>
      <c r="M347" s="8"/>
    </row>
    <row r="348" spans="3:13" customFormat="1" x14ac:dyDescent="0.25">
      <c r="C348" s="9" t="s">
        <v>357</v>
      </c>
      <c r="D348" s="9" t="s">
        <v>287</v>
      </c>
      <c r="E348" s="10"/>
      <c r="F348" s="6">
        <v>68</v>
      </c>
      <c r="G348" s="6">
        <f t="shared" si="15"/>
        <v>68</v>
      </c>
      <c r="H348" s="6">
        <v>68</v>
      </c>
      <c r="I348" s="6">
        <f t="shared" si="16"/>
        <v>0</v>
      </c>
      <c r="J348" s="7" t="str">
        <f t="shared" si="17"/>
        <v>PAGADO</v>
      </c>
      <c r="M348" s="8"/>
    </row>
    <row r="349" spans="3:13" customFormat="1" x14ac:dyDescent="0.25">
      <c r="C349" s="9" t="s">
        <v>358</v>
      </c>
      <c r="D349" s="9" t="s">
        <v>287</v>
      </c>
      <c r="E349" s="10"/>
      <c r="F349" s="6">
        <v>82</v>
      </c>
      <c r="G349" s="6">
        <f t="shared" si="15"/>
        <v>82</v>
      </c>
      <c r="H349" s="6">
        <v>82</v>
      </c>
      <c r="I349" s="6">
        <f t="shared" si="16"/>
        <v>0</v>
      </c>
      <c r="J349" s="7" t="str">
        <f t="shared" si="17"/>
        <v>PAGADO</v>
      </c>
      <c r="M349" s="8"/>
    </row>
    <row r="350" spans="3:13" customFormat="1" x14ac:dyDescent="0.25">
      <c r="C350" s="9" t="s">
        <v>242</v>
      </c>
      <c r="D350" s="9" t="s">
        <v>287</v>
      </c>
      <c r="E350" s="10"/>
      <c r="F350" s="6">
        <v>12</v>
      </c>
      <c r="G350" s="6">
        <f t="shared" si="15"/>
        <v>12</v>
      </c>
      <c r="H350" s="6">
        <v>12</v>
      </c>
      <c r="I350" s="6">
        <f t="shared" si="16"/>
        <v>0</v>
      </c>
      <c r="J350" s="7" t="str">
        <f t="shared" si="17"/>
        <v>PAGADO</v>
      </c>
      <c r="M350" s="8"/>
    </row>
    <row r="351" spans="3:13" customFormat="1" x14ac:dyDescent="0.25">
      <c r="C351" s="9" t="s">
        <v>242</v>
      </c>
      <c r="D351" s="9" t="s">
        <v>287</v>
      </c>
      <c r="E351" s="10"/>
      <c r="F351" s="6">
        <v>11</v>
      </c>
      <c r="G351" s="6">
        <f t="shared" si="15"/>
        <v>11</v>
      </c>
      <c r="H351" s="6">
        <v>11</v>
      </c>
      <c r="I351" s="6">
        <f t="shared" si="16"/>
        <v>0</v>
      </c>
      <c r="J351" s="7" t="str">
        <f t="shared" si="17"/>
        <v>PAGADO</v>
      </c>
      <c r="M351" s="8"/>
    </row>
    <row r="352" spans="3:13" customFormat="1" x14ac:dyDescent="0.25">
      <c r="C352" s="9" t="s">
        <v>242</v>
      </c>
      <c r="D352" s="9" t="s">
        <v>287</v>
      </c>
      <c r="E352" s="10"/>
      <c r="F352" s="6">
        <v>12</v>
      </c>
      <c r="G352" s="6">
        <f t="shared" si="15"/>
        <v>12</v>
      </c>
      <c r="H352" s="6">
        <v>12</v>
      </c>
      <c r="I352" s="6">
        <f t="shared" si="16"/>
        <v>0</v>
      </c>
      <c r="J352" s="7" t="str">
        <f t="shared" si="17"/>
        <v>PAGADO</v>
      </c>
      <c r="M352" s="8"/>
    </row>
    <row r="353" spans="3:13" customFormat="1" x14ac:dyDescent="0.25">
      <c r="C353" s="9" t="s">
        <v>242</v>
      </c>
      <c r="D353" s="9" t="s">
        <v>287</v>
      </c>
      <c r="E353" s="10"/>
      <c r="F353" s="6">
        <v>11</v>
      </c>
      <c r="G353" s="6">
        <f t="shared" si="15"/>
        <v>11</v>
      </c>
      <c r="H353" s="6">
        <v>11</v>
      </c>
      <c r="I353" s="6">
        <f t="shared" si="16"/>
        <v>0</v>
      </c>
      <c r="J353" s="7" t="str">
        <f t="shared" si="17"/>
        <v>PAGADO</v>
      </c>
      <c r="M353" s="8"/>
    </row>
    <row r="354" spans="3:13" customFormat="1" x14ac:dyDescent="0.25">
      <c r="C354" s="9" t="s">
        <v>242</v>
      </c>
      <c r="D354" s="9" t="s">
        <v>287</v>
      </c>
      <c r="E354" s="10"/>
      <c r="F354" s="6">
        <v>10</v>
      </c>
      <c r="G354" s="6">
        <f t="shared" si="15"/>
        <v>10</v>
      </c>
      <c r="H354" s="6">
        <v>10</v>
      </c>
      <c r="I354" s="6">
        <f t="shared" si="16"/>
        <v>0</v>
      </c>
      <c r="J354" s="7" t="str">
        <f t="shared" si="17"/>
        <v>PAGADO</v>
      </c>
      <c r="M354" s="8"/>
    </row>
    <row r="355" spans="3:13" customFormat="1" x14ac:dyDescent="0.25">
      <c r="C355" s="9" t="s">
        <v>279</v>
      </c>
      <c r="D355" s="9" t="s">
        <v>287</v>
      </c>
      <c r="E355" s="10"/>
      <c r="F355" s="6">
        <v>26</v>
      </c>
      <c r="G355" s="6">
        <f t="shared" si="15"/>
        <v>26</v>
      </c>
      <c r="H355" s="6">
        <v>26</v>
      </c>
      <c r="I355" s="6">
        <f t="shared" si="16"/>
        <v>0</v>
      </c>
      <c r="J355" s="7" t="str">
        <f t="shared" si="17"/>
        <v>PAGADO</v>
      </c>
      <c r="M355" s="8"/>
    </row>
    <row r="356" spans="3:13" customFormat="1" x14ac:dyDescent="0.25">
      <c r="C356" s="9" t="s">
        <v>279</v>
      </c>
      <c r="D356" s="9" t="s">
        <v>287</v>
      </c>
      <c r="E356" s="10"/>
      <c r="F356" s="6">
        <v>24</v>
      </c>
      <c r="G356" s="6">
        <f t="shared" si="15"/>
        <v>24</v>
      </c>
      <c r="H356" s="6">
        <v>24</v>
      </c>
      <c r="I356" s="6">
        <f t="shared" si="16"/>
        <v>0</v>
      </c>
      <c r="J356" s="7" t="str">
        <f t="shared" si="17"/>
        <v>PAGADO</v>
      </c>
      <c r="M356" s="8"/>
    </row>
    <row r="357" spans="3:13" customFormat="1" x14ac:dyDescent="0.25">
      <c r="C357" s="9" t="s">
        <v>242</v>
      </c>
      <c r="D357" s="9" t="s">
        <v>287</v>
      </c>
      <c r="E357" s="10"/>
      <c r="F357" s="6">
        <v>14</v>
      </c>
      <c r="G357" s="6">
        <f t="shared" si="15"/>
        <v>14</v>
      </c>
      <c r="H357" s="6">
        <v>14</v>
      </c>
      <c r="I357" s="6">
        <f t="shared" si="16"/>
        <v>0</v>
      </c>
      <c r="J357" s="7" t="str">
        <f t="shared" si="17"/>
        <v>PAGADO</v>
      </c>
      <c r="M357" s="8"/>
    </row>
    <row r="358" spans="3:13" customFormat="1" x14ac:dyDescent="0.25">
      <c r="C358" s="9" t="s">
        <v>279</v>
      </c>
      <c r="D358" s="9" t="s">
        <v>287</v>
      </c>
      <c r="E358" s="10"/>
      <c r="F358" s="6">
        <v>21</v>
      </c>
      <c r="G358" s="6">
        <f t="shared" si="15"/>
        <v>21</v>
      </c>
      <c r="H358" s="6">
        <v>21</v>
      </c>
      <c r="I358" s="6">
        <f t="shared" si="16"/>
        <v>0</v>
      </c>
      <c r="J358" s="7" t="str">
        <f t="shared" si="17"/>
        <v>PAGADO</v>
      </c>
      <c r="M358" s="8"/>
    </row>
    <row r="359" spans="3:13" customFormat="1" x14ac:dyDescent="0.25">
      <c r="C359" s="9" t="s">
        <v>359</v>
      </c>
      <c r="D359" s="9" t="s">
        <v>313</v>
      </c>
      <c r="E359" s="10"/>
      <c r="F359" s="6">
        <v>90</v>
      </c>
      <c r="G359" s="6">
        <f t="shared" si="15"/>
        <v>90</v>
      </c>
      <c r="H359" s="6">
        <v>90</v>
      </c>
      <c r="I359" s="6">
        <f t="shared" si="16"/>
        <v>0</v>
      </c>
      <c r="J359" s="7" t="str">
        <f t="shared" si="17"/>
        <v>PAGADO</v>
      </c>
      <c r="K359" s="9"/>
      <c r="M359" s="8"/>
    </row>
    <row r="360" spans="3:13" customFormat="1" x14ac:dyDescent="0.25">
      <c r="C360" s="9" t="s">
        <v>360</v>
      </c>
      <c r="D360" s="9" t="s">
        <v>313</v>
      </c>
      <c r="E360" s="10"/>
      <c r="F360" s="6">
        <v>90</v>
      </c>
      <c r="G360" s="6">
        <f t="shared" si="15"/>
        <v>90</v>
      </c>
      <c r="H360" s="6">
        <v>90</v>
      </c>
      <c r="I360" s="6">
        <f t="shared" si="16"/>
        <v>0</v>
      </c>
      <c r="J360" s="7" t="str">
        <f t="shared" si="17"/>
        <v>PAGADO</v>
      </c>
      <c r="K360" s="9"/>
      <c r="M360" s="8"/>
    </row>
    <row r="361" spans="3:13" customFormat="1" x14ac:dyDescent="0.25">
      <c r="C361" s="9" t="s">
        <v>361</v>
      </c>
      <c r="D361" s="9" t="s">
        <v>313</v>
      </c>
      <c r="E361" s="10"/>
      <c r="F361" s="6">
        <v>20</v>
      </c>
      <c r="G361" s="6">
        <f t="shared" si="15"/>
        <v>20</v>
      </c>
      <c r="H361" s="6">
        <v>20</v>
      </c>
      <c r="I361" s="6">
        <f t="shared" si="16"/>
        <v>0</v>
      </c>
      <c r="J361" s="7" t="str">
        <f t="shared" si="17"/>
        <v>PAGADO</v>
      </c>
      <c r="M361" s="8"/>
    </row>
    <row r="362" spans="3:13" customFormat="1" x14ac:dyDescent="0.25">
      <c r="C362" s="9" t="s">
        <v>361</v>
      </c>
      <c r="D362" s="9" t="s">
        <v>313</v>
      </c>
      <c r="E362" s="10"/>
      <c r="F362" s="6">
        <v>20</v>
      </c>
      <c r="G362" s="6">
        <f t="shared" si="15"/>
        <v>20</v>
      </c>
      <c r="H362" s="6">
        <v>20</v>
      </c>
      <c r="I362" s="6">
        <f t="shared" si="16"/>
        <v>0</v>
      </c>
      <c r="J362" s="7" t="str">
        <f t="shared" si="17"/>
        <v>PAGADO</v>
      </c>
      <c r="M362" s="8"/>
    </row>
    <row r="363" spans="3:13" customFormat="1" x14ac:dyDescent="0.25">
      <c r="C363" s="9" t="s">
        <v>361</v>
      </c>
      <c r="D363" s="9" t="s">
        <v>313</v>
      </c>
      <c r="E363" s="10"/>
      <c r="F363" s="6">
        <v>20</v>
      </c>
      <c r="G363" s="6">
        <f t="shared" si="15"/>
        <v>20</v>
      </c>
      <c r="H363" s="6">
        <v>20</v>
      </c>
      <c r="I363" s="6">
        <f t="shared" si="16"/>
        <v>0</v>
      </c>
      <c r="J363" s="7" t="str">
        <f t="shared" si="17"/>
        <v>PAGADO</v>
      </c>
      <c r="M363" s="8"/>
    </row>
    <row r="364" spans="3:13" customFormat="1" x14ac:dyDescent="0.25">
      <c r="C364" s="9" t="s">
        <v>362</v>
      </c>
      <c r="D364" s="9" t="s">
        <v>313</v>
      </c>
      <c r="E364" s="10"/>
      <c r="F364" s="6">
        <v>15</v>
      </c>
      <c r="G364" s="6">
        <f t="shared" si="15"/>
        <v>15</v>
      </c>
      <c r="H364" s="6">
        <v>15</v>
      </c>
      <c r="I364" s="6">
        <f t="shared" si="16"/>
        <v>0</v>
      </c>
      <c r="J364" s="7" t="str">
        <f t="shared" si="17"/>
        <v>PAGADO</v>
      </c>
      <c r="M364" s="8"/>
    </row>
    <row r="365" spans="3:13" customFormat="1" x14ac:dyDescent="0.25">
      <c r="C365" s="9" t="s">
        <v>361</v>
      </c>
      <c r="D365" s="9" t="s">
        <v>313</v>
      </c>
      <c r="E365" s="10"/>
      <c r="F365" s="6">
        <v>24</v>
      </c>
      <c r="G365" s="6">
        <f t="shared" si="15"/>
        <v>24</v>
      </c>
      <c r="H365" s="6">
        <v>24</v>
      </c>
      <c r="I365" s="6">
        <f t="shared" si="16"/>
        <v>0</v>
      </c>
      <c r="J365" s="7" t="str">
        <f t="shared" si="17"/>
        <v>PAGADO</v>
      </c>
      <c r="M365" s="8"/>
    </row>
    <row r="366" spans="3:13" customFormat="1" x14ac:dyDescent="0.25">
      <c r="C366" s="9" t="s">
        <v>361</v>
      </c>
      <c r="D366" s="9" t="s">
        <v>313</v>
      </c>
      <c r="E366" s="10"/>
      <c r="F366" s="6">
        <v>25</v>
      </c>
      <c r="G366" s="6">
        <f t="shared" si="15"/>
        <v>25</v>
      </c>
      <c r="H366" s="6">
        <v>25</v>
      </c>
      <c r="I366" s="6">
        <f t="shared" si="16"/>
        <v>0</v>
      </c>
      <c r="J366" s="7" t="str">
        <f t="shared" si="17"/>
        <v>PAGADO</v>
      </c>
      <c r="M366" s="8"/>
    </row>
    <row r="367" spans="3:13" customFormat="1" x14ac:dyDescent="0.25">
      <c r="C367" s="9" t="s">
        <v>179</v>
      </c>
      <c r="D367" t="s">
        <v>18</v>
      </c>
      <c r="E367" s="10"/>
      <c r="F367" s="6">
        <v>168</v>
      </c>
      <c r="G367" s="6">
        <f t="shared" si="15"/>
        <v>168</v>
      </c>
      <c r="H367" s="6">
        <v>168</v>
      </c>
      <c r="I367" s="6">
        <f t="shared" si="16"/>
        <v>0</v>
      </c>
      <c r="J367" s="7" t="str">
        <f t="shared" si="17"/>
        <v>PAGADO</v>
      </c>
      <c r="K367" s="9"/>
      <c r="M367" s="8"/>
    </row>
    <row r="368" spans="3:13" customFormat="1" x14ac:dyDescent="0.25">
      <c r="C368" s="9" t="s">
        <v>363</v>
      </c>
      <c r="D368" s="9" t="s">
        <v>68</v>
      </c>
      <c r="E368" s="6"/>
      <c r="F368" s="6">
        <v>160</v>
      </c>
      <c r="G368" s="6">
        <f t="shared" si="15"/>
        <v>160</v>
      </c>
      <c r="H368" s="6">
        <v>160</v>
      </c>
      <c r="I368" s="6">
        <f t="shared" si="16"/>
        <v>0</v>
      </c>
      <c r="J368" s="7" t="str">
        <f t="shared" si="17"/>
        <v>PAGADO</v>
      </c>
      <c r="K368" s="9"/>
      <c r="M368" s="8"/>
    </row>
    <row r="369" spans="3:13" customFormat="1" x14ac:dyDescent="0.25">
      <c r="C369" s="9" t="s">
        <v>364</v>
      </c>
      <c r="D369" s="9" t="s">
        <v>68</v>
      </c>
      <c r="E369" s="6"/>
      <c r="F369" s="6">
        <v>160</v>
      </c>
      <c r="G369" s="6">
        <f t="shared" si="15"/>
        <v>160</v>
      </c>
      <c r="H369" s="6">
        <v>160</v>
      </c>
      <c r="I369" s="6">
        <f t="shared" si="16"/>
        <v>0</v>
      </c>
      <c r="J369" s="7" t="str">
        <f t="shared" si="17"/>
        <v>PAGADO</v>
      </c>
      <c r="K369" s="9"/>
      <c r="M369" s="8"/>
    </row>
    <row r="370" spans="3:13" customFormat="1" x14ac:dyDescent="0.25">
      <c r="C370" s="9" t="s">
        <v>365</v>
      </c>
      <c r="D370" s="9" t="s">
        <v>202</v>
      </c>
      <c r="E370" s="10"/>
      <c r="F370" s="6">
        <v>60</v>
      </c>
      <c r="G370" s="6">
        <f t="shared" si="15"/>
        <v>60</v>
      </c>
      <c r="H370" s="6">
        <v>60</v>
      </c>
      <c r="I370" s="6">
        <f t="shared" si="16"/>
        <v>0</v>
      </c>
      <c r="J370" s="7" t="str">
        <f t="shared" si="17"/>
        <v>PAGADO</v>
      </c>
      <c r="K370" s="9"/>
      <c r="M370" s="8"/>
    </row>
    <row r="371" spans="3:13" customFormat="1" x14ac:dyDescent="0.25">
      <c r="C371" s="9" t="s">
        <v>366</v>
      </c>
      <c r="D371" s="9" t="s">
        <v>202</v>
      </c>
      <c r="E371" s="10"/>
      <c r="F371" s="6">
        <v>80</v>
      </c>
      <c r="G371" s="6">
        <f t="shared" si="15"/>
        <v>80</v>
      </c>
      <c r="H371" s="6">
        <v>80</v>
      </c>
      <c r="I371" s="6">
        <f t="shared" si="16"/>
        <v>0</v>
      </c>
      <c r="J371" s="7" t="str">
        <f t="shared" si="17"/>
        <v>PAGADO</v>
      </c>
      <c r="K371" s="9"/>
      <c r="M371" s="8"/>
    </row>
    <row r="372" spans="3:13" customFormat="1" x14ac:dyDescent="0.25">
      <c r="C372" s="9" t="s">
        <v>367</v>
      </c>
      <c r="D372" s="9" t="s">
        <v>202</v>
      </c>
      <c r="E372" s="10"/>
      <c r="F372" s="6">
        <v>90</v>
      </c>
      <c r="G372" s="6">
        <f t="shared" si="15"/>
        <v>90</v>
      </c>
      <c r="H372" s="6">
        <v>90</v>
      </c>
      <c r="I372" s="6">
        <f t="shared" si="16"/>
        <v>0</v>
      </c>
      <c r="J372" s="7" t="str">
        <f t="shared" si="17"/>
        <v>PAGADO</v>
      </c>
      <c r="K372" s="9"/>
      <c r="M372" s="8"/>
    </row>
    <row r="373" spans="3:13" customFormat="1" x14ac:dyDescent="0.25">
      <c r="C373" s="9" t="s">
        <v>368</v>
      </c>
      <c r="D373" s="9" t="s">
        <v>202</v>
      </c>
      <c r="E373" s="10"/>
      <c r="F373" s="6">
        <v>75</v>
      </c>
      <c r="G373" s="6">
        <f t="shared" si="15"/>
        <v>75</v>
      </c>
      <c r="H373" s="6">
        <v>75</v>
      </c>
      <c r="I373" s="6">
        <f t="shared" si="16"/>
        <v>0</v>
      </c>
      <c r="J373" s="7" t="str">
        <f t="shared" si="17"/>
        <v>PAGADO</v>
      </c>
      <c r="K373" s="9"/>
      <c r="M373" s="8"/>
    </row>
    <row r="374" spans="3:13" customFormat="1" x14ac:dyDescent="0.25">
      <c r="C374" s="9" t="s">
        <v>369</v>
      </c>
      <c r="D374" s="9" t="s">
        <v>202</v>
      </c>
      <c r="E374" s="10"/>
      <c r="F374" s="6">
        <v>130</v>
      </c>
      <c r="G374" s="6">
        <f t="shared" si="15"/>
        <v>130</v>
      </c>
      <c r="H374" s="6">
        <v>130</v>
      </c>
      <c r="I374" s="6">
        <f t="shared" si="16"/>
        <v>0</v>
      </c>
      <c r="J374" s="7" t="str">
        <f t="shared" si="17"/>
        <v>PAGADO</v>
      </c>
      <c r="K374" s="9"/>
      <c r="M374" s="8"/>
    </row>
    <row r="375" spans="3:13" customFormat="1" x14ac:dyDescent="0.25">
      <c r="C375" s="9" t="s">
        <v>370</v>
      </c>
      <c r="D375" t="s">
        <v>27</v>
      </c>
      <c r="E375" s="10"/>
      <c r="F375" s="6">
        <v>150</v>
      </c>
      <c r="G375" s="6">
        <f t="shared" si="15"/>
        <v>150</v>
      </c>
      <c r="H375" s="6">
        <v>150</v>
      </c>
      <c r="I375" s="6">
        <f t="shared" si="16"/>
        <v>0</v>
      </c>
      <c r="J375" s="7" t="str">
        <f t="shared" si="17"/>
        <v>PAGADO</v>
      </c>
      <c r="M375" s="8"/>
    </row>
    <row r="376" spans="3:13" customFormat="1" x14ac:dyDescent="0.25">
      <c r="C376" s="9" t="s">
        <v>371</v>
      </c>
      <c r="D376" s="9" t="s">
        <v>202</v>
      </c>
      <c r="E376" s="10"/>
      <c r="F376" s="6">
        <v>210</v>
      </c>
      <c r="G376" s="6">
        <f t="shared" si="15"/>
        <v>210</v>
      </c>
      <c r="H376" s="6">
        <v>210</v>
      </c>
      <c r="I376" s="6">
        <f t="shared" si="16"/>
        <v>0</v>
      </c>
      <c r="J376" s="7" t="str">
        <f t="shared" si="17"/>
        <v>PAGADO</v>
      </c>
      <c r="K376" s="9"/>
      <c r="M376" s="8"/>
    </row>
    <row r="377" spans="3:13" customFormat="1" x14ac:dyDescent="0.25">
      <c r="C377" s="9" t="s">
        <v>372</v>
      </c>
      <c r="D377" t="s">
        <v>80</v>
      </c>
      <c r="E377" s="10"/>
      <c r="F377" s="6">
        <v>65</v>
      </c>
      <c r="G377" s="6">
        <f t="shared" si="15"/>
        <v>65</v>
      </c>
      <c r="H377" s="6">
        <v>65</v>
      </c>
      <c r="I377" s="6">
        <f t="shared" si="16"/>
        <v>0</v>
      </c>
      <c r="J377" s="7" t="str">
        <f t="shared" si="17"/>
        <v>PAGADO</v>
      </c>
      <c r="M377" s="8"/>
    </row>
    <row r="378" spans="3:13" customFormat="1" x14ac:dyDescent="0.25">
      <c r="C378" s="9" t="s">
        <v>373</v>
      </c>
      <c r="D378" s="9" t="s">
        <v>101</v>
      </c>
      <c r="E378" s="10"/>
      <c r="F378" s="6">
        <v>45</v>
      </c>
      <c r="G378" s="6">
        <f t="shared" si="15"/>
        <v>45</v>
      </c>
      <c r="H378" s="6">
        <v>45</v>
      </c>
      <c r="I378" s="6">
        <f t="shared" si="16"/>
        <v>0</v>
      </c>
      <c r="J378" s="7" t="str">
        <f t="shared" si="17"/>
        <v>PAGADO</v>
      </c>
      <c r="M378" s="8"/>
    </row>
    <row r="379" spans="3:13" customFormat="1" x14ac:dyDescent="0.25">
      <c r="C379" s="9" t="s">
        <v>374</v>
      </c>
      <c r="D379" s="9" t="s">
        <v>101</v>
      </c>
      <c r="E379" s="10"/>
      <c r="F379" s="6">
        <v>50</v>
      </c>
      <c r="G379" s="6">
        <f t="shared" si="15"/>
        <v>50</v>
      </c>
      <c r="H379" s="6">
        <v>50</v>
      </c>
      <c r="I379" s="6">
        <f t="shared" si="16"/>
        <v>0</v>
      </c>
      <c r="J379" s="7" t="str">
        <f t="shared" si="17"/>
        <v>PAGADO</v>
      </c>
      <c r="M379" s="8"/>
    </row>
    <row r="380" spans="3:13" customFormat="1" x14ac:dyDescent="0.25">
      <c r="C380" s="9" t="s">
        <v>375</v>
      </c>
      <c r="D380" t="s">
        <v>74</v>
      </c>
      <c r="E380" s="10"/>
      <c r="F380" s="6">
        <v>300</v>
      </c>
      <c r="G380" s="6">
        <f t="shared" si="15"/>
        <v>300</v>
      </c>
      <c r="H380" s="6">
        <f>200+100</f>
        <v>300</v>
      </c>
      <c r="I380" s="6">
        <f t="shared" si="16"/>
        <v>0</v>
      </c>
      <c r="J380" s="7" t="str">
        <f t="shared" si="17"/>
        <v>PAGADO</v>
      </c>
      <c r="M380" s="8"/>
    </row>
    <row r="381" spans="3:13" customFormat="1" x14ac:dyDescent="0.25">
      <c r="C381" s="9" t="s">
        <v>376</v>
      </c>
      <c r="D381" t="s">
        <v>377</v>
      </c>
      <c r="E381" s="10"/>
      <c r="F381" s="6">
        <v>400</v>
      </c>
      <c r="G381" s="6">
        <f t="shared" si="15"/>
        <v>400</v>
      </c>
      <c r="H381" s="6">
        <f>300+100</f>
        <v>400</v>
      </c>
      <c r="I381" s="6">
        <f t="shared" si="16"/>
        <v>0</v>
      </c>
      <c r="J381" s="7" t="str">
        <f t="shared" si="17"/>
        <v>PAGADO</v>
      </c>
      <c r="M381" s="8"/>
    </row>
    <row r="382" spans="3:13" customFormat="1" x14ac:dyDescent="0.25">
      <c r="C382" s="9" t="s">
        <v>378</v>
      </c>
      <c r="D382" t="s">
        <v>52</v>
      </c>
      <c r="E382" s="10"/>
      <c r="F382" s="6">
        <v>10</v>
      </c>
      <c r="G382" s="6">
        <f t="shared" si="15"/>
        <v>10</v>
      </c>
      <c r="H382" s="6">
        <v>10</v>
      </c>
      <c r="I382" s="6">
        <f t="shared" si="16"/>
        <v>0</v>
      </c>
      <c r="J382" s="7" t="str">
        <f t="shared" si="17"/>
        <v>PAGADO</v>
      </c>
      <c r="M382" s="8"/>
    </row>
    <row r="383" spans="3:13" customFormat="1" x14ac:dyDescent="0.25">
      <c r="C383" s="9" t="s">
        <v>15</v>
      </c>
      <c r="D383" t="s">
        <v>52</v>
      </c>
      <c r="E383" s="10"/>
      <c r="F383" s="6">
        <v>70</v>
      </c>
      <c r="G383" s="6">
        <f t="shared" si="15"/>
        <v>70</v>
      </c>
      <c r="H383" s="6">
        <f>40+30</f>
        <v>70</v>
      </c>
      <c r="I383" s="6">
        <f t="shared" si="16"/>
        <v>0</v>
      </c>
      <c r="J383" s="7" t="str">
        <f t="shared" si="17"/>
        <v>PAGADO</v>
      </c>
      <c r="M383" s="8"/>
    </row>
    <row r="384" spans="3:13" customFormat="1" x14ac:dyDescent="0.25">
      <c r="C384" s="9" t="s">
        <v>379</v>
      </c>
      <c r="D384" t="s">
        <v>52</v>
      </c>
      <c r="E384" s="10"/>
      <c r="F384" s="6">
        <v>19</v>
      </c>
      <c r="G384" s="6">
        <f t="shared" si="15"/>
        <v>19</v>
      </c>
      <c r="H384" s="6">
        <v>19</v>
      </c>
      <c r="I384" s="6">
        <f t="shared" si="16"/>
        <v>0</v>
      </c>
      <c r="J384" s="7" t="str">
        <f t="shared" si="17"/>
        <v>PAGADO</v>
      </c>
      <c r="M384" s="8"/>
    </row>
    <row r="385" spans="3:13" customFormat="1" x14ac:dyDescent="0.25">
      <c r="C385" s="9" t="s">
        <v>380</v>
      </c>
      <c r="D385" t="s">
        <v>16</v>
      </c>
      <c r="E385" s="10"/>
      <c r="F385" s="6">
        <v>20</v>
      </c>
      <c r="G385" s="6">
        <f t="shared" si="15"/>
        <v>20</v>
      </c>
      <c r="H385" s="6">
        <v>20</v>
      </c>
      <c r="I385" s="6">
        <f t="shared" si="16"/>
        <v>0</v>
      </c>
      <c r="J385" s="7" t="str">
        <f t="shared" si="17"/>
        <v>PAGADO</v>
      </c>
      <c r="M385" s="8"/>
    </row>
    <row r="386" spans="3:13" customFormat="1" x14ac:dyDescent="0.25">
      <c r="C386" s="9" t="s">
        <v>155</v>
      </c>
      <c r="D386" t="s">
        <v>16</v>
      </c>
      <c r="E386" s="10"/>
      <c r="F386" s="6">
        <v>10</v>
      </c>
      <c r="G386" s="6">
        <f t="shared" ref="G386:G449" si="18">F386-E386</f>
        <v>10</v>
      </c>
      <c r="H386" s="6">
        <v>10</v>
      </c>
      <c r="I386" s="6">
        <f t="shared" ref="I386:I449" si="19">F386-H386</f>
        <v>0</v>
      </c>
      <c r="J386" s="7" t="str">
        <f t="shared" ref="J386:J449" si="20">IF(I386&gt;0,"DEBE","PAGADO")</f>
        <v>PAGADO</v>
      </c>
      <c r="M386" s="8"/>
    </row>
    <row r="387" spans="3:13" customFormat="1" x14ac:dyDescent="0.25">
      <c r="C387" s="9" t="s">
        <v>381</v>
      </c>
      <c r="D387" s="9" t="s">
        <v>99</v>
      </c>
      <c r="E387" s="10"/>
      <c r="F387" s="6">
        <v>15</v>
      </c>
      <c r="G387" s="6">
        <f t="shared" si="18"/>
        <v>15</v>
      </c>
      <c r="H387" s="6">
        <v>15</v>
      </c>
      <c r="I387" s="6">
        <f t="shared" si="19"/>
        <v>0</v>
      </c>
      <c r="J387" s="7" t="str">
        <f t="shared" si="20"/>
        <v>PAGADO</v>
      </c>
      <c r="M387" s="8"/>
    </row>
    <row r="388" spans="3:13" customFormat="1" x14ac:dyDescent="0.25">
      <c r="C388" s="9" t="s">
        <v>380</v>
      </c>
      <c r="D388" s="9" t="s">
        <v>99</v>
      </c>
      <c r="E388" s="10"/>
      <c r="F388" s="6">
        <v>15</v>
      </c>
      <c r="G388" s="6">
        <f t="shared" si="18"/>
        <v>15</v>
      </c>
      <c r="H388" s="6">
        <v>15</v>
      </c>
      <c r="I388" s="6">
        <f t="shared" si="19"/>
        <v>0</v>
      </c>
      <c r="J388" s="7" t="str">
        <f t="shared" si="20"/>
        <v>PAGADO</v>
      </c>
      <c r="M388" s="8"/>
    </row>
    <row r="389" spans="3:13" customFormat="1" x14ac:dyDescent="0.25">
      <c r="C389" s="9" t="s">
        <v>382</v>
      </c>
      <c r="D389" s="9" t="s">
        <v>99</v>
      </c>
      <c r="E389" s="10"/>
      <c r="F389" s="6">
        <v>10</v>
      </c>
      <c r="G389" s="6">
        <f t="shared" si="18"/>
        <v>10</v>
      </c>
      <c r="H389" s="6">
        <v>10</v>
      </c>
      <c r="I389" s="6">
        <f t="shared" si="19"/>
        <v>0</v>
      </c>
      <c r="J389" s="7" t="str">
        <f t="shared" si="20"/>
        <v>PAGADO</v>
      </c>
      <c r="M389" s="8"/>
    </row>
    <row r="390" spans="3:13" customFormat="1" x14ac:dyDescent="0.25">
      <c r="C390" s="9" t="s">
        <v>369</v>
      </c>
      <c r="D390" s="9" t="s">
        <v>238</v>
      </c>
      <c r="E390" s="10"/>
      <c r="F390" s="6">
        <v>130</v>
      </c>
      <c r="G390" s="6">
        <f t="shared" si="18"/>
        <v>130</v>
      </c>
      <c r="H390" s="6">
        <v>130</v>
      </c>
      <c r="I390" s="6">
        <f t="shared" si="19"/>
        <v>0</v>
      </c>
      <c r="J390" s="7" t="str">
        <f t="shared" si="20"/>
        <v>PAGADO</v>
      </c>
      <c r="M390" s="8"/>
    </row>
    <row r="391" spans="3:13" customFormat="1" x14ac:dyDescent="0.25">
      <c r="C391" s="9" t="s">
        <v>383</v>
      </c>
      <c r="D391" s="9" t="s">
        <v>238</v>
      </c>
      <c r="E391" s="10"/>
      <c r="F391" s="6">
        <v>50</v>
      </c>
      <c r="G391" s="6">
        <f t="shared" si="18"/>
        <v>50</v>
      </c>
      <c r="H391" s="6">
        <v>50</v>
      </c>
      <c r="I391" s="6">
        <f t="shared" si="19"/>
        <v>0</v>
      </c>
      <c r="J391" s="7" t="str">
        <f t="shared" si="20"/>
        <v>PAGADO</v>
      </c>
      <c r="M391" s="8"/>
    </row>
    <row r="392" spans="3:13" customFormat="1" x14ac:dyDescent="0.25">
      <c r="C392" s="9" t="s">
        <v>384</v>
      </c>
      <c r="D392" t="s">
        <v>18</v>
      </c>
      <c r="E392" s="10"/>
      <c r="F392" s="6">
        <v>20</v>
      </c>
      <c r="G392" s="6">
        <f t="shared" si="18"/>
        <v>20</v>
      </c>
      <c r="H392" s="6">
        <v>20</v>
      </c>
      <c r="I392" s="6">
        <f t="shared" si="19"/>
        <v>0</v>
      </c>
      <c r="J392" s="7" t="str">
        <f t="shared" si="20"/>
        <v>PAGADO</v>
      </c>
      <c r="M392" s="8"/>
    </row>
    <row r="393" spans="3:13" customFormat="1" x14ac:dyDescent="0.25">
      <c r="C393" s="9" t="s">
        <v>385</v>
      </c>
      <c r="D393" t="s">
        <v>80</v>
      </c>
      <c r="E393" s="10"/>
      <c r="F393" s="6">
        <v>80</v>
      </c>
      <c r="G393" s="6">
        <f t="shared" si="18"/>
        <v>80</v>
      </c>
      <c r="H393" s="6">
        <v>80</v>
      </c>
      <c r="I393" s="6">
        <f t="shared" si="19"/>
        <v>0</v>
      </c>
      <c r="J393" s="7" t="str">
        <f t="shared" si="20"/>
        <v>PAGADO</v>
      </c>
      <c r="M393" s="8"/>
    </row>
    <row r="394" spans="3:13" customFormat="1" x14ac:dyDescent="0.25">
      <c r="C394" s="9" t="s">
        <v>379</v>
      </c>
      <c r="D394" s="9" t="s">
        <v>45</v>
      </c>
      <c r="E394" s="10"/>
      <c r="F394" s="6">
        <v>19</v>
      </c>
      <c r="G394" s="6">
        <f t="shared" si="18"/>
        <v>19</v>
      </c>
      <c r="H394" s="6">
        <v>19</v>
      </c>
      <c r="I394" s="6">
        <f t="shared" si="19"/>
        <v>0</v>
      </c>
      <c r="J394" s="7" t="str">
        <f t="shared" si="20"/>
        <v>PAGADO</v>
      </c>
      <c r="M394" s="8"/>
    </row>
    <row r="395" spans="3:13" customFormat="1" x14ac:dyDescent="0.25">
      <c r="C395" s="9" t="s">
        <v>386</v>
      </c>
      <c r="D395" s="9" t="s">
        <v>45</v>
      </c>
      <c r="E395" s="10"/>
      <c r="F395" s="6">
        <v>45</v>
      </c>
      <c r="G395" s="6">
        <f t="shared" si="18"/>
        <v>45</v>
      </c>
      <c r="H395" s="6">
        <v>45</v>
      </c>
      <c r="I395" s="6">
        <f t="shared" si="19"/>
        <v>0</v>
      </c>
      <c r="J395" s="7" t="str">
        <f t="shared" si="20"/>
        <v>PAGADO</v>
      </c>
      <c r="M395" s="8"/>
    </row>
    <row r="396" spans="3:13" customFormat="1" x14ac:dyDescent="0.25">
      <c r="C396" t="s">
        <v>387</v>
      </c>
      <c r="D396" t="s">
        <v>39</v>
      </c>
      <c r="E396" s="6"/>
      <c r="F396" s="6">
        <v>15</v>
      </c>
      <c r="G396" s="6">
        <f t="shared" si="18"/>
        <v>15</v>
      </c>
      <c r="H396" s="6">
        <v>15</v>
      </c>
      <c r="I396" s="6">
        <f t="shared" si="19"/>
        <v>0</v>
      </c>
      <c r="J396" s="7" t="str">
        <f t="shared" si="20"/>
        <v>PAGADO</v>
      </c>
      <c r="M396" s="8"/>
    </row>
    <row r="397" spans="3:13" customFormat="1" x14ac:dyDescent="0.25">
      <c r="C397" t="s">
        <v>388</v>
      </c>
      <c r="D397" s="9" t="s">
        <v>93</v>
      </c>
      <c r="E397" s="10"/>
      <c r="F397" s="6">
        <v>80</v>
      </c>
      <c r="G397" s="6">
        <f t="shared" si="18"/>
        <v>80</v>
      </c>
      <c r="H397" s="6">
        <v>80</v>
      </c>
      <c r="I397" s="6">
        <f t="shared" si="19"/>
        <v>0</v>
      </c>
      <c r="J397" s="7" t="str">
        <f t="shared" si="20"/>
        <v>PAGADO</v>
      </c>
      <c r="M397" s="8"/>
    </row>
    <row r="398" spans="3:13" customFormat="1" x14ac:dyDescent="0.25">
      <c r="C398" t="s">
        <v>389</v>
      </c>
      <c r="D398" s="9" t="s">
        <v>390</v>
      </c>
      <c r="E398" s="10"/>
      <c r="F398" s="6">
        <v>115</v>
      </c>
      <c r="G398" s="6">
        <f t="shared" si="18"/>
        <v>115</v>
      </c>
      <c r="H398" s="6">
        <v>115</v>
      </c>
      <c r="I398" s="6">
        <f t="shared" si="19"/>
        <v>0</v>
      </c>
      <c r="J398" s="7" t="str">
        <f t="shared" si="20"/>
        <v>PAGADO</v>
      </c>
      <c r="M398" s="8"/>
    </row>
    <row r="399" spans="3:13" customFormat="1" x14ac:dyDescent="0.25">
      <c r="C399" s="9" t="s">
        <v>15</v>
      </c>
      <c r="D399" s="9" t="s">
        <v>287</v>
      </c>
      <c r="E399" s="10"/>
      <c r="F399" s="6">
        <v>75</v>
      </c>
      <c r="G399" s="6">
        <f t="shared" si="18"/>
        <v>75</v>
      </c>
      <c r="H399" s="6">
        <v>75</v>
      </c>
      <c r="I399" s="6">
        <f t="shared" si="19"/>
        <v>0</v>
      </c>
      <c r="J399" s="7" t="str">
        <f t="shared" si="20"/>
        <v>PAGADO</v>
      </c>
      <c r="M399" s="8"/>
    </row>
    <row r="400" spans="3:13" customFormat="1" x14ac:dyDescent="0.25">
      <c r="C400" s="9" t="s">
        <v>166</v>
      </c>
      <c r="D400" s="9" t="s">
        <v>287</v>
      </c>
      <c r="E400" s="10"/>
      <c r="F400" s="6">
        <v>18</v>
      </c>
      <c r="G400" s="6">
        <f t="shared" si="18"/>
        <v>18</v>
      </c>
      <c r="H400" s="6">
        <v>18</v>
      </c>
      <c r="I400" s="6">
        <f t="shared" si="19"/>
        <v>0</v>
      </c>
      <c r="J400" s="7" t="str">
        <f t="shared" si="20"/>
        <v>PAGADO</v>
      </c>
      <c r="M400" s="8"/>
    </row>
    <row r="401" spans="3:13" customFormat="1" x14ac:dyDescent="0.25">
      <c r="C401" t="s">
        <v>379</v>
      </c>
      <c r="D401" s="9" t="s">
        <v>287</v>
      </c>
      <c r="E401" s="10"/>
      <c r="F401" s="6">
        <v>19</v>
      </c>
      <c r="G401" s="6">
        <f t="shared" si="18"/>
        <v>19</v>
      </c>
      <c r="H401" s="6">
        <v>19</v>
      </c>
      <c r="I401" s="6">
        <f t="shared" si="19"/>
        <v>0</v>
      </c>
      <c r="J401" s="7" t="str">
        <f t="shared" si="20"/>
        <v>PAGADO</v>
      </c>
      <c r="M401" s="8"/>
    </row>
    <row r="402" spans="3:13" customFormat="1" x14ac:dyDescent="0.25">
      <c r="C402" t="s">
        <v>379</v>
      </c>
      <c r="D402" s="9" t="s">
        <v>287</v>
      </c>
      <c r="E402" s="10"/>
      <c r="F402" s="6">
        <v>19</v>
      </c>
      <c r="G402" s="6">
        <f t="shared" si="18"/>
        <v>19</v>
      </c>
      <c r="H402" s="6">
        <v>19</v>
      </c>
      <c r="I402" s="6">
        <f t="shared" si="19"/>
        <v>0</v>
      </c>
      <c r="J402" s="7" t="str">
        <f t="shared" si="20"/>
        <v>PAGADO</v>
      </c>
      <c r="M402" s="8"/>
    </row>
    <row r="403" spans="3:13" customFormat="1" x14ac:dyDescent="0.25">
      <c r="C403" t="s">
        <v>380</v>
      </c>
      <c r="D403" s="9" t="s">
        <v>287</v>
      </c>
      <c r="E403" s="10"/>
      <c r="F403" s="6">
        <v>20</v>
      </c>
      <c r="G403" s="6">
        <f t="shared" si="18"/>
        <v>20</v>
      </c>
      <c r="H403" s="6">
        <v>20</v>
      </c>
      <c r="I403" s="6">
        <f t="shared" si="19"/>
        <v>0</v>
      </c>
      <c r="J403" s="7" t="str">
        <f t="shared" si="20"/>
        <v>PAGADO</v>
      </c>
      <c r="M403" s="8"/>
    </row>
    <row r="404" spans="3:13" customFormat="1" x14ac:dyDescent="0.25">
      <c r="C404" s="9" t="s">
        <v>391</v>
      </c>
      <c r="D404" s="9" t="s">
        <v>171</v>
      </c>
      <c r="E404" s="10"/>
      <c r="F404" s="6">
        <v>10</v>
      </c>
      <c r="G404" s="6">
        <f t="shared" si="18"/>
        <v>10</v>
      </c>
      <c r="H404" s="6">
        <v>10</v>
      </c>
      <c r="I404" s="6">
        <f t="shared" si="19"/>
        <v>0</v>
      </c>
      <c r="J404" s="7" t="str">
        <f t="shared" si="20"/>
        <v>PAGADO</v>
      </c>
      <c r="M404" s="8"/>
    </row>
    <row r="405" spans="3:13" customFormat="1" x14ac:dyDescent="0.25">
      <c r="C405" t="s">
        <v>392</v>
      </c>
      <c r="D405" t="s">
        <v>31</v>
      </c>
      <c r="E405" s="6"/>
      <c r="F405" s="6">
        <v>15</v>
      </c>
      <c r="G405" s="6">
        <f t="shared" si="18"/>
        <v>15</v>
      </c>
      <c r="H405" s="6">
        <v>15</v>
      </c>
      <c r="I405" s="6">
        <f t="shared" si="19"/>
        <v>0</v>
      </c>
      <c r="J405" s="7" t="str">
        <f t="shared" si="20"/>
        <v>PAGADO</v>
      </c>
      <c r="M405" s="8"/>
    </row>
    <row r="406" spans="3:13" customFormat="1" x14ac:dyDescent="0.25">
      <c r="C406" s="9" t="s">
        <v>393</v>
      </c>
      <c r="D406" t="s">
        <v>18</v>
      </c>
      <c r="E406" s="10"/>
      <c r="F406" s="6">
        <v>70</v>
      </c>
      <c r="G406" s="6">
        <f t="shared" si="18"/>
        <v>70</v>
      </c>
      <c r="H406" s="6">
        <v>70</v>
      </c>
      <c r="I406" s="6">
        <f t="shared" si="19"/>
        <v>0</v>
      </c>
      <c r="J406" s="7" t="str">
        <f t="shared" si="20"/>
        <v>PAGADO</v>
      </c>
      <c r="K406" s="9"/>
      <c r="M406" s="8"/>
    </row>
    <row r="407" spans="3:13" customFormat="1" x14ac:dyDescent="0.25">
      <c r="C407" s="9" t="s">
        <v>394</v>
      </c>
      <c r="D407" t="s">
        <v>18</v>
      </c>
      <c r="E407" s="10"/>
      <c r="F407" s="6">
        <v>120</v>
      </c>
      <c r="G407" s="6">
        <f t="shared" si="18"/>
        <v>120</v>
      </c>
      <c r="H407" s="6">
        <v>120</v>
      </c>
      <c r="I407" s="6">
        <f t="shared" si="19"/>
        <v>0</v>
      </c>
      <c r="J407" s="7" t="str">
        <f t="shared" si="20"/>
        <v>PAGADO</v>
      </c>
      <c r="K407" s="9"/>
      <c r="M407" s="8"/>
    </row>
    <row r="408" spans="3:13" customFormat="1" x14ac:dyDescent="0.25">
      <c r="C408" s="9" t="s">
        <v>395</v>
      </c>
      <c r="D408" t="s">
        <v>18</v>
      </c>
      <c r="E408" s="10"/>
      <c r="F408" s="6">
        <v>12</v>
      </c>
      <c r="G408" s="6">
        <f t="shared" si="18"/>
        <v>12</v>
      </c>
      <c r="H408" s="6">
        <v>12</v>
      </c>
      <c r="I408" s="6">
        <f t="shared" si="19"/>
        <v>0</v>
      </c>
      <c r="J408" s="7" t="str">
        <f t="shared" si="20"/>
        <v>PAGADO</v>
      </c>
      <c r="K408" s="9"/>
      <c r="M408" s="8"/>
    </row>
    <row r="409" spans="3:13" customFormat="1" x14ac:dyDescent="0.25">
      <c r="C409" s="9" t="s">
        <v>396</v>
      </c>
      <c r="D409" t="s">
        <v>18</v>
      </c>
      <c r="E409" s="10"/>
      <c r="F409" s="6">
        <v>9</v>
      </c>
      <c r="G409" s="6">
        <f t="shared" si="18"/>
        <v>9</v>
      </c>
      <c r="H409" s="6">
        <v>9</v>
      </c>
      <c r="I409" s="6">
        <f t="shared" si="19"/>
        <v>0</v>
      </c>
      <c r="J409" s="7" t="str">
        <f t="shared" si="20"/>
        <v>PAGADO</v>
      </c>
      <c r="K409" s="9"/>
      <c r="M409" s="8"/>
    </row>
    <row r="410" spans="3:13" customFormat="1" x14ac:dyDescent="0.25">
      <c r="C410" s="9" t="s">
        <v>397</v>
      </c>
      <c r="D410" s="9" t="s">
        <v>238</v>
      </c>
      <c r="E410" s="10"/>
      <c r="F410" s="6">
        <v>40</v>
      </c>
      <c r="G410" s="6">
        <f t="shared" si="18"/>
        <v>40</v>
      </c>
      <c r="H410" s="6">
        <v>40</v>
      </c>
      <c r="I410" s="6">
        <f t="shared" si="19"/>
        <v>0</v>
      </c>
      <c r="J410" s="7" t="str">
        <f t="shared" si="20"/>
        <v>PAGADO</v>
      </c>
      <c r="M410" s="8"/>
    </row>
    <row r="411" spans="3:13" customFormat="1" x14ac:dyDescent="0.25">
      <c r="C411" s="9" t="s">
        <v>398</v>
      </c>
      <c r="D411" s="9" t="s">
        <v>238</v>
      </c>
      <c r="E411" s="10"/>
      <c r="F411" s="6">
        <v>75</v>
      </c>
      <c r="G411" s="6">
        <f t="shared" si="18"/>
        <v>75</v>
      </c>
      <c r="H411" s="6">
        <v>75</v>
      </c>
      <c r="I411" s="6">
        <f t="shared" si="19"/>
        <v>0</v>
      </c>
      <c r="J411" s="7" t="str">
        <f t="shared" si="20"/>
        <v>PAGADO</v>
      </c>
      <c r="M411" s="8"/>
    </row>
    <row r="412" spans="3:13" customFormat="1" x14ac:dyDescent="0.25">
      <c r="C412" s="9" t="s">
        <v>399</v>
      </c>
      <c r="D412" s="9" t="s">
        <v>238</v>
      </c>
      <c r="E412" s="10"/>
      <c r="F412" s="6">
        <v>90</v>
      </c>
      <c r="G412" s="6">
        <f t="shared" si="18"/>
        <v>90</v>
      </c>
      <c r="H412" s="6">
        <f>45+45</f>
        <v>90</v>
      </c>
      <c r="I412" s="6">
        <f t="shared" si="19"/>
        <v>0</v>
      </c>
      <c r="J412" s="7" t="str">
        <f t="shared" si="20"/>
        <v>PAGADO</v>
      </c>
      <c r="M412" s="8"/>
    </row>
    <row r="413" spans="3:13" customFormat="1" x14ac:dyDescent="0.25">
      <c r="C413" s="9" t="s">
        <v>400</v>
      </c>
      <c r="D413" s="9" t="s">
        <v>202</v>
      </c>
      <c r="E413" s="10"/>
      <c r="F413" s="6">
        <v>13</v>
      </c>
      <c r="G413" s="6">
        <f t="shared" si="18"/>
        <v>13</v>
      </c>
      <c r="H413" s="6">
        <v>13</v>
      </c>
      <c r="I413" s="6">
        <f t="shared" si="19"/>
        <v>0</v>
      </c>
      <c r="J413" s="7" t="str">
        <f t="shared" si="20"/>
        <v>PAGADO</v>
      </c>
      <c r="M413" s="8"/>
    </row>
    <row r="414" spans="3:13" customFormat="1" x14ac:dyDescent="0.25">
      <c r="C414" s="9" t="s">
        <v>379</v>
      </c>
      <c r="D414" s="9" t="s">
        <v>202</v>
      </c>
      <c r="E414" s="10"/>
      <c r="F414" s="6">
        <v>21</v>
      </c>
      <c r="G414" s="6">
        <f t="shared" si="18"/>
        <v>21</v>
      </c>
      <c r="H414" s="6">
        <v>21</v>
      </c>
      <c r="I414" s="6">
        <f t="shared" si="19"/>
        <v>0</v>
      </c>
      <c r="J414" s="7" t="str">
        <f t="shared" si="20"/>
        <v>PAGADO</v>
      </c>
      <c r="M414" s="8"/>
    </row>
    <row r="415" spans="3:13" customFormat="1" x14ac:dyDescent="0.25">
      <c r="C415" s="9" t="s">
        <v>401</v>
      </c>
      <c r="D415" s="9" t="s">
        <v>202</v>
      </c>
      <c r="E415" s="10"/>
      <c r="F415" s="6">
        <v>10</v>
      </c>
      <c r="G415" s="6">
        <f t="shared" si="18"/>
        <v>10</v>
      </c>
      <c r="H415" s="6">
        <v>10</v>
      </c>
      <c r="I415" s="6">
        <f t="shared" si="19"/>
        <v>0</v>
      </c>
      <c r="J415" s="7" t="str">
        <f t="shared" si="20"/>
        <v>PAGADO</v>
      </c>
      <c r="M415" s="8"/>
    </row>
    <row r="416" spans="3:13" customFormat="1" x14ac:dyDescent="0.25">
      <c r="C416" s="9" t="s">
        <v>402</v>
      </c>
      <c r="D416" s="9" t="s">
        <v>313</v>
      </c>
      <c r="E416" s="10"/>
      <c r="F416" s="6">
        <v>60</v>
      </c>
      <c r="G416" s="6">
        <f t="shared" si="18"/>
        <v>60</v>
      </c>
      <c r="H416" s="6">
        <v>60</v>
      </c>
      <c r="I416" s="6">
        <f t="shared" si="19"/>
        <v>0</v>
      </c>
      <c r="J416" s="7" t="str">
        <f t="shared" si="20"/>
        <v>PAGADO</v>
      </c>
      <c r="M416" s="8"/>
    </row>
    <row r="417" spans="3:13" customFormat="1" x14ac:dyDescent="0.25">
      <c r="C417" s="9" t="s">
        <v>403</v>
      </c>
      <c r="D417" s="9" t="s">
        <v>313</v>
      </c>
      <c r="E417" s="10"/>
      <c r="F417" s="6">
        <v>60</v>
      </c>
      <c r="G417" s="6">
        <f t="shared" si="18"/>
        <v>60</v>
      </c>
      <c r="H417" s="6">
        <v>60</v>
      </c>
      <c r="I417" s="6">
        <f t="shared" si="19"/>
        <v>0</v>
      </c>
      <c r="J417" s="7" t="str">
        <f t="shared" si="20"/>
        <v>PAGADO</v>
      </c>
      <c r="M417" s="8"/>
    </row>
    <row r="418" spans="3:13" customFormat="1" x14ac:dyDescent="0.25">
      <c r="C418" s="9" t="s">
        <v>404</v>
      </c>
      <c r="D418" s="9" t="s">
        <v>313</v>
      </c>
      <c r="E418" s="10"/>
      <c r="F418" s="6">
        <v>85</v>
      </c>
      <c r="G418" s="6">
        <f t="shared" si="18"/>
        <v>85</v>
      </c>
      <c r="H418" s="6">
        <v>85</v>
      </c>
      <c r="I418" s="6">
        <f t="shared" si="19"/>
        <v>0</v>
      </c>
      <c r="J418" s="7" t="str">
        <f t="shared" si="20"/>
        <v>PAGADO</v>
      </c>
      <c r="M418" s="8"/>
    </row>
    <row r="419" spans="3:13" customFormat="1" x14ac:dyDescent="0.25">
      <c r="C419" s="9" t="s">
        <v>405</v>
      </c>
      <c r="D419" s="9" t="s">
        <v>313</v>
      </c>
      <c r="E419" s="10"/>
      <c r="F419" s="6">
        <v>150</v>
      </c>
      <c r="G419" s="6">
        <f t="shared" si="18"/>
        <v>150</v>
      </c>
      <c r="H419" s="6">
        <v>150</v>
      </c>
      <c r="I419" s="6">
        <f t="shared" si="19"/>
        <v>0</v>
      </c>
      <c r="J419" s="7" t="str">
        <f t="shared" si="20"/>
        <v>PAGADO</v>
      </c>
      <c r="M419" s="8"/>
    </row>
    <row r="420" spans="3:13" customFormat="1" x14ac:dyDescent="0.25">
      <c r="C420" s="9" t="s">
        <v>328</v>
      </c>
      <c r="D420" t="s">
        <v>27</v>
      </c>
      <c r="E420" s="10"/>
      <c r="F420" s="6">
        <v>20</v>
      </c>
      <c r="G420" s="6">
        <f t="shared" si="18"/>
        <v>20</v>
      </c>
      <c r="H420" s="6">
        <v>20</v>
      </c>
      <c r="I420" s="6">
        <f t="shared" si="19"/>
        <v>0</v>
      </c>
      <c r="J420" s="7" t="str">
        <f t="shared" si="20"/>
        <v>PAGADO</v>
      </c>
      <c r="M420" s="8"/>
    </row>
    <row r="421" spans="3:13" customFormat="1" x14ac:dyDescent="0.25">
      <c r="C421" s="9" t="s">
        <v>406</v>
      </c>
      <c r="D421" t="s">
        <v>27</v>
      </c>
      <c r="E421" s="10"/>
      <c r="F421" s="6">
        <v>42</v>
      </c>
      <c r="G421" s="6">
        <f t="shared" si="18"/>
        <v>42</v>
      </c>
      <c r="H421" s="6">
        <v>42</v>
      </c>
      <c r="I421" s="6">
        <f t="shared" si="19"/>
        <v>0</v>
      </c>
      <c r="J421" s="7" t="str">
        <f t="shared" si="20"/>
        <v>PAGADO</v>
      </c>
      <c r="M421" s="8"/>
    </row>
    <row r="422" spans="3:13" customFormat="1" x14ac:dyDescent="0.25">
      <c r="C422" s="9" t="s">
        <v>407</v>
      </c>
      <c r="D422" t="s">
        <v>27</v>
      </c>
      <c r="E422" s="10"/>
      <c r="F422" s="6">
        <v>75</v>
      </c>
      <c r="G422" s="6">
        <f t="shared" si="18"/>
        <v>75</v>
      </c>
      <c r="H422" s="6">
        <v>75</v>
      </c>
      <c r="I422" s="6">
        <f t="shared" si="19"/>
        <v>0</v>
      </c>
      <c r="J422" s="7" t="str">
        <f t="shared" si="20"/>
        <v>PAGADO</v>
      </c>
      <c r="M422" s="8"/>
    </row>
    <row r="423" spans="3:13" customFormat="1" x14ac:dyDescent="0.25">
      <c r="C423" s="9" t="s">
        <v>408</v>
      </c>
      <c r="D423" t="s">
        <v>27</v>
      </c>
      <c r="E423" s="10"/>
      <c r="F423" s="6">
        <v>43</v>
      </c>
      <c r="G423" s="6">
        <f t="shared" si="18"/>
        <v>43</v>
      </c>
      <c r="H423" s="6">
        <v>43</v>
      </c>
      <c r="I423" s="6">
        <f t="shared" si="19"/>
        <v>0</v>
      </c>
      <c r="J423" s="7" t="str">
        <f t="shared" si="20"/>
        <v>PAGADO</v>
      </c>
      <c r="M423" s="8"/>
    </row>
    <row r="424" spans="3:13" customFormat="1" x14ac:dyDescent="0.25">
      <c r="C424" s="9" t="s">
        <v>409</v>
      </c>
      <c r="D424" t="s">
        <v>27</v>
      </c>
      <c r="E424" s="10"/>
      <c r="F424" s="6">
        <v>69</v>
      </c>
      <c r="G424" s="6">
        <f t="shared" si="18"/>
        <v>69</v>
      </c>
      <c r="H424" s="6">
        <v>69</v>
      </c>
      <c r="I424" s="6">
        <f t="shared" si="19"/>
        <v>0</v>
      </c>
      <c r="J424" s="7" t="str">
        <f t="shared" si="20"/>
        <v>PAGADO</v>
      </c>
      <c r="M424" s="8"/>
    </row>
    <row r="425" spans="3:13" customFormat="1" x14ac:dyDescent="0.25">
      <c r="C425" s="9" t="s">
        <v>337</v>
      </c>
      <c r="D425" t="s">
        <v>27</v>
      </c>
      <c r="E425" s="10"/>
      <c r="F425" s="6">
        <v>75</v>
      </c>
      <c r="G425" s="6">
        <f t="shared" si="18"/>
        <v>75</v>
      </c>
      <c r="H425" s="6">
        <v>75</v>
      </c>
      <c r="I425" s="6">
        <f t="shared" si="19"/>
        <v>0</v>
      </c>
      <c r="J425" s="7" t="str">
        <f t="shared" si="20"/>
        <v>PAGADO</v>
      </c>
      <c r="M425" s="8"/>
    </row>
    <row r="426" spans="3:13" customFormat="1" x14ac:dyDescent="0.25">
      <c r="C426" s="9" t="s">
        <v>410</v>
      </c>
      <c r="D426" t="s">
        <v>27</v>
      </c>
      <c r="E426" s="10"/>
      <c r="F426" s="6">
        <v>80</v>
      </c>
      <c r="G426" s="6">
        <f t="shared" si="18"/>
        <v>80</v>
      </c>
      <c r="H426" s="6">
        <v>80</v>
      </c>
      <c r="I426" s="6">
        <f t="shared" si="19"/>
        <v>0</v>
      </c>
      <c r="J426" s="7" t="str">
        <f t="shared" si="20"/>
        <v>PAGADO</v>
      </c>
      <c r="M426" s="8"/>
    </row>
    <row r="427" spans="3:13" customFormat="1" x14ac:dyDescent="0.25">
      <c r="C427" s="9" t="s">
        <v>411</v>
      </c>
      <c r="D427" t="s">
        <v>129</v>
      </c>
      <c r="E427" s="10"/>
      <c r="F427" s="6">
        <v>16</v>
      </c>
      <c r="G427" s="6">
        <f t="shared" si="18"/>
        <v>16</v>
      </c>
      <c r="H427" s="6">
        <v>16</v>
      </c>
      <c r="I427" s="6">
        <f t="shared" si="19"/>
        <v>0</v>
      </c>
      <c r="J427" s="7" t="str">
        <f t="shared" si="20"/>
        <v>PAGADO</v>
      </c>
      <c r="M427" s="8"/>
    </row>
    <row r="428" spans="3:13" customFormat="1" x14ac:dyDescent="0.25">
      <c r="C428" s="9" t="s">
        <v>412</v>
      </c>
      <c r="D428" t="s">
        <v>74</v>
      </c>
      <c r="E428" s="10"/>
      <c r="F428" s="6">
        <v>80</v>
      </c>
      <c r="G428" s="6">
        <f t="shared" si="18"/>
        <v>80</v>
      </c>
      <c r="H428" s="6">
        <v>80</v>
      </c>
      <c r="I428" s="6">
        <f t="shared" si="19"/>
        <v>0</v>
      </c>
      <c r="J428" s="7" t="str">
        <f t="shared" si="20"/>
        <v>PAGADO</v>
      </c>
      <c r="M428" s="8"/>
    </row>
    <row r="429" spans="3:13" customFormat="1" x14ac:dyDescent="0.25">
      <c r="C429" s="9" t="s">
        <v>413</v>
      </c>
      <c r="D429" t="s">
        <v>74</v>
      </c>
      <c r="E429" s="10"/>
      <c r="F429" s="6">
        <v>50</v>
      </c>
      <c r="G429" s="6">
        <f t="shared" si="18"/>
        <v>50</v>
      </c>
      <c r="H429" s="6">
        <v>50</v>
      </c>
      <c r="I429" s="6">
        <f t="shared" si="19"/>
        <v>0</v>
      </c>
      <c r="J429" s="7" t="str">
        <f t="shared" si="20"/>
        <v>PAGADO</v>
      </c>
      <c r="M429" s="8"/>
    </row>
    <row r="430" spans="3:13" customFormat="1" x14ac:dyDescent="0.25">
      <c r="C430" s="9" t="s">
        <v>414</v>
      </c>
      <c r="D430" t="s">
        <v>377</v>
      </c>
      <c r="E430" s="10"/>
      <c r="F430" s="6">
        <v>50</v>
      </c>
      <c r="G430" s="6">
        <f t="shared" si="18"/>
        <v>50</v>
      </c>
      <c r="H430" s="6">
        <v>50</v>
      </c>
      <c r="I430" s="6">
        <f t="shared" si="19"/>
        <v>0</v>
      </c>
      <c r="J430" s="7" t="str">
        <f t="shared" si="20"/>
        <v>PAGADO</v>
      </c>
      <c r="M430" s="8"/>
    </row>
    <row r="431" spans="3:13" customFormat="1" x14ac:dyDescent="0.25">
      <c r="C431" s="9" t="s">
        <v>396</v>
      </c>
      <c r="D431" s="9" t="s">
        <v>415</v>
      </c>
      <c r="E431" s="10"/>
      <c r="F431" s="6">
        <v>17</v>
      </c>
      <c r="G431" s="6">
        <f t="shared" si="18"/>
        <v>17</v>
      </c>
      <c r="H431" s="6">
        <v>17</v>
      </c>
      <c r="I431" s="6">
        <f t="shared" si="19"/>
        <v>0</v>
      </c>
      <c r="J431" s="7" t="str">
        <f t="shared" si="20"/>
        <v>PAGADO</v>
      </c>
      <c r="M431" s="8"/>
    </row>
    <row r="432" spans="3:13" customFormat="1" x14ac:dyDescent="0.25">
      <c r="C432" s="9" t="s">
        <v>416</v>
      </c>
      <c r="D432" t="s">
        <v>127</v>
      </c>
      <c r="E432" s="10"/>
      <c r="F432" s="6">
        <v>150</v>
      </c>
      <c r="G432" s="6">
        <f t="shared" si="18"/>
        <v>150</v>
      </c>
      <c r="H432" s="6">
        <v>150</v>
      </c>
      <c r="I432" s="6">
        <f t="shared" si="19"/>
        <v>0</v>
      </c>
      <c r="J432" s="7" t="str">
        <f t="shared" si="20"/>
        <v>PAGADO</v>
      </c>
      <c r="M432" s="8"/>
    </row>
    <row r="433" spans="3:13" customFormat="1" x14ac:dyDescent="0.25">
      <c r="C433" s="9" t="s">
        <v>417</v>
      </c>
      <c r="D433" s="9" t="s">
        <v>89</v>
      </c>
      <c r="E433" s="10"/>
      <c r="F433" s="6">
        <v>66</v>
      </c>
      <c r="G433" s="6">
        <f t="shared" si="18"/>
        <v>66</v>
      </c>
      <c r="H433" s="6">
        <v>66</v>
      </c>
      <c r="I433" s="6">
        <f t="shared" si="19"/>
        <v>0</v>
      </c>
      <c r="J433" s="7" t="str">
        <f t="shared" si="20"/>
        <v>PAGADO</v>
      </c>
      <c r="M433" s="8"/>
    </row>
    <row r="434" spans="3:13" customFormat="1" x14ac:dyDescent="0.25">
      <c r="C434" s="9" t="s">
        <v>418</v>
      </c>
      <c r="D434" s="9" t="s">
        <v>89</v>
      </c>
      <c r="E434" s="10"/>
      <c r="F434" s="6">
        <v>63</v>
      </c>
      <c r="G434" s="6">
        <f t="shared" si="18"/>
        <v>63</v>
      </c>
      <c r="H434" s="6">
        <v>63</v>
      </c>
      <c r="I434" s="6">
        <f t="shared" si="19"/>
        <v>0</v>
      </c>
      <c r="J434" s="7" t="str">
        <f t="shared" si="20"/>
        <v>PAGADO</v>
      </c>
      <c r="M434" s="8"/>
    </row>
    <row r="435" spans="3:13" customFormat="1" x14ac:dyDescent="0.25">
      <c r="C435" s="9" t="s">
        <v>419</v>
      </c>
      <c r="D435" s="9" t="s">
        <v>89</v>
      </c>
      <c r="E435" s="10"/>
      <c r="F435" s="6">
        <v>80</v>
      </c>
      <c r="G435" s="6">
        <f t="shared" si="18"/>
        <v>80</v>
      </c>
      <c r="H435" s="6">
        <v>80</v>
      </c>
      <c r="I435" s="6">
        <f t="shared" si="19"/>
        <v>0</v>
      </c>
      <c r="J435" s="7" t="str">
        <f t="shared" si="20"/>
        <v>PAGADO</v>
      </c>
      <c r="M435" s="8"/>
    </row>
    <row r="436" spans="3:13" customFormat="1" x14ac:dyDescent="0.25">
      <c r="C436" s="9" t="s">
        <v>420</v>
      </c>
      <c r="D436" s="9" t="s">
        <v>89</v>
      </c>
      <c r="E436" s="10"/>
      <c r="F436" s="6">
        <v>77</v>
      </c>
      <c r="G436" s="6">
        <f t="shared" si="18"/>
        <v>77</v>
      </c>
      <c r="H436" s="6">
        <v>77</v>
      </c>
      <c r="I436" s="6">
        <f t="shared" si="19"/>
        <v>0</v>
      </c>
      <c r="J436" s="7" t="str">
        <f t="shared" si="20"/>
        <v>PAGADO</v>
      </c>
      <c r="M436" s="8"/>
    </row>
    <row r="437" spans="3:13" customFormat="1" x14ac:dyDescent="0.25">
      <c r="C437" s="9" t="s">
        <v>421</v>
      </c>
      <c r="D437" s="9" t="s">
        <v>89</v>
      </c>
      <c r="E437" s="10"/>
      <c r="F437" s="6">
        <v>75</v>
      </c>
      <c r="G437" s="6">
        <f t="shared" si="18"/>
        <v>75</v>
      </c>
      <c r="H437" s="6">
        <v>75</v>
      </c>
      <c r="I437" s="6">
        <f t="shared" si="19"/>
        <v>0</v>
      </c>
      <c r="J437" s="7" t="str">
        <f t="shared" si="20"/>
        <v>PAGADO</v>
      </c>
      <c r="M437" s="8"/>
    </row>
    <row r="438" spans="3:13" customFormat="1" x14ac:dyDescent="0.25">
      <c r="C438" s="9" t="s">
        <v>422</v>
      </c>
      <c r="D438" s="9" t="s">
        <v>89</v>
      </c>
      <c r="E438" s="10"/>
      <c r="F438" s="6">
        <v>90</v>
      </c>
      <c r="G438" s="6">
        <f t="shared" si="18"/>
        <v>90</v>
      </c>
      <c r="H438" s="6">
        <v>90</v>
      </c>
      <c r="I438" s="6">
        <f t="shared" si="19"/>
        <v>0</v>
      </c>
      <c r="J438" s="7" t="str">
        <f t="shared" si="20"/>
        <v>PAGADO</v>
      </c>
      <c r="M438" s="8"/>
    </row>
    <row r="439" spans="3:13" customFormat="1" x14ac:dyDescent="0.25">
      <c r="C439" s="9" t="s">
        <v>412</v>
      </c>
      <c r="D439" s="9" t="s">
        <v>423</v>
      </c>
      <c r="E439" s="10"/>
      <c r="F439" s="6">
        <v>80</v>
      </c>
      <c r="G439" s="6">
        <f t="shared" si="18"/>
        <v>80</v>
      </c>
      <c r="H439" s="6">
        <v>80</v>
      </c>
      <c r="I439" s="6">
        <f t="shared" si="19"/>
        <v>0</v>
      </c>
      <c r="J439" s="7" t="str">
        <f t="shared" si="20"/>
        <v>PAGADO</v>
      </c>
      <c r="M439" s="8"/>
    </row>
    <row r="440" spans="3:13" customFormat="1" x14ac:dyDescent="0.25">
      <c r="C440" s="9" t="s">
        <v>424</v>
      </c>
      <c r="D440" s="9" t="s">
        <v>423</v>
      </c>
      <c r="E440" s="10"/>
      <c r="F440" s="6">
        <v>15</v>
      </c>
      <c r="G440" s="6">
        <f t="shared" si="18"/>
        <v>15</v>
      </c>
      <c r="H440" s="6">
        <v>15</v>
      </c>
      <c r="I440" s="6">
        <f t="shared" si="19"/>
        <v>0</v>
      </c>
      <c r="J440" s="7" t="str">
        <f t="shared" si="20"/>
        <v>PAGADO</v>
      </c>
      <c r="M440" s="8"/>
    </row>
    <row r="441" spans="3:13" customFormat="1" x14ac:dyDescent="0.25">
      <c r="C441" s="9" t="s">
        <v>402</v>
      </c>
      <c r="D441" s="9" t="s">
        <v>425</v>
      </c>
      <c r="E441" s="10"/>
      <c r="F441" s="6">
        <v>60</v>
      </c>
      <c r="G441" s="6">
        <f t="shared" si="18"/>
        <v>60</v>
      </c>
      <c r="H441" s="6">
        <v>60</v>
      </c>
      <c r="I441" s="6">
        <f t="shared" si="19"/>
        <v>0</v>
      </c>
      <c r="J441" s="7" t="str">
        <f t="shared" si="20"/>
        <v>PAGADO</v>
      </c>
      <c r="M441" s="8"/>
    </row>
    <row r="442" spans="3:13" customFormat="1" x14ac:dyDescent="0.25">
      <c r="C442" s="9" t="s">
        <v>379</v>
      </c>
      <c r="D442" s="9" t="s">
        <v>204</v>
      </c>
      <c r="E442" s="10"/>
      <c r="F442" s="6">
        <v>17</v>
      </c>
      <c r="G442" s="6">
        <f t="shared" si="18"/>
        <v>17</v>
      </c>
      <c r="H442" s="6">
        <v>17</v>
      </c>
      <c r="I442" s="6">
        <f t="shared" si="19"/>
        <v>0</v>
      </c>
      <c r="J442" s="7" t="str">
        <f t="shared" si="20"/>
        <v>PAGADO</v>
      </c>
      <c r="M442" s="8"/>
    </row>
    <row r="443" spans="3:13" customFormat="1" x14ac:dyDescent="0.25">
      <c r="C443" s="9" t="s">
        <v>426</v>
      </c>
      <c r="D443" s="9" t="s">
        <v>287</v>
      </c>
      <c r="E443" s="10"/>
      <c r="F443" s="6">
        <v>37</v>
      </c>
      <c r="G443" s="6">
        <f t="shared" si="18"/>
        <v>37</v>
      </c>
      <c r="H443" s="6">
        <v>37</v>
      </c>
      <c r="I443" s="6">
        <f t="shared" si="19"/>
        <v>0</v>
      </c>
      <c r="J443" s="7" t="str">
        <f t="shared" si="20"/>
        <v>PAGADO</v>
      </c>
      <c r="M443" s="8"/>
    </row>
    <row r="444" spans="3:13" customFormat="1" x14ac:dyDescent="0.25">
      <c r="C444" s="9" t="s">
        <v>427</v>
      </c>
      <c r="D444" s="9" t="s">
        <v>287</v>
      </c>
      <c r="E444" s="10"/>
      <c r="F444" s="6">
        <v>16</v>
      </c>
      <c r="G444" s="6">
        <f t="shared" si="18"/>
        <v>16</v>
      </c>
      <c r="H444" s="6">
        <v>16</v>
      </c>
      <c r="I444" s="6">
        <f t="shared" si="19"/>
        <v>0</v>
      </c>
      <c r="J444" s="7" t="str">
        <f t="shared" si="20"/>
        <v>PAGADO</v>
      </c>
      <c r="M444" s="8"/>
    </row>
    <row r="445" spans="3:13" customFormat="1" x14ac:dyDescent="0.25">
      <c r="C445" s="9" t="s">
        <v>427</v>
      </c>
      <c r="D445" s="9" t="s">
        <v>287</v>
      </c>
      <c r="E445" s="10"/>
      <c r="F445" s="6">
        <v>16</v>
      </c>
      <c r="G445" s="6">
        <f t="shared" si="18"/>
        <v>16</v>
      </c>
      <c r="H445" s="6">
        <v>16</v>
      </c>
      <c r="I445" s="6">
        <f t="shared" si="19"/>
        <v>0</v>
      </c>
      <c r="J445" s="7" t="str">
        <f t="shared" si="20"/>
        <v>PAGADO</v>
      </c>
      <c r="M445" s="8"/>
    </row>
    <row r="446" spans="3:13" customFormat="1" x14ac:dyDescent="0.25">
      <c r="C446" s="9" t="s">
        <v>427</v>
      </c>
      <c r="D446" s="9" t="s">
        <v>287</v>
      </c>
      <c r="E446" s="10"/>
      <c r="F446" s="6">
        <v>18</v>
      </c>
      <c r="G446" s="6">
        <f t="shared" si="18"/>
        <v>18</v>
      </c>
      <c r="H446" s="6">
        <v>18</v>
      </c>
      <c r="I446" s="6">
        <f t="shared" si="19"/>
        <v>0</v>
      </c>
      <c r="J446" s="7" t="str">
        <f t="shared" si="20"/>
        <v>PAGADO</v>
      </c>
      <c r="M446" s="8"/>
    </row>
    <row r="447" spans="3:13" customFormat="1" x14ac:dyDescent="0.25">
      <c r="C447" s="9" t="s">
        <v>428</v>
      </c>
      <c r="D447" s="9" t="s">
        <v>287</v>
      </c>
      <c r="E447" s="10"/>
      <c r="F447" s="6">
        <v>32</v>
      </c>
      <c r="G447" s="6">
        <f t="shared" si="18"/>
        <v>32</v>
      </c>
      <c r="H447" s="6">
        <v>32</v>
      </c>
      <c r="I447" s="6">
        <f t="shared" si="19"/>
        <v>0</v>
      </c>
      <c r="J447" s="7" t="str">
        <f t="shared" si="20"/>
        <v>PAGADO</v>
      </c>
      <c r="M447" s="8"/>
    </row>
    <row r="448" spans="3:13" customFormat="1" x14ac:dyDescent="0.25">
      <c r="C448" s="9" t="s">
        <v>429</v>
      </c>
      <c r="D448" s="9" t="s">
        <v>287</v>
      </c>
      <c r="E448" s="10"/>
      <c r="F448" s="6">
        <v>17</v>
      </c>
      <c r="G448" s="6">
        <f t="shared" si="18"/>
        <v>17</v>
      </c>
      <c r="H448" s="6">
        <v>17</v>
      </c>
      <c r="I448" s="6">
        <f t="shared" si="19"/>
        <v>0</v>
      </c>
      <c r="J448" s="7" t="str">
        <f t="shared" si="20"/>
        <v>PAGADO</v>
      </c>
      <c r="M448" s="8"/>
    </row>
    <row r="449" spans="3:13" customFormat="1" x14ac:dyDescent="0.25">
      <c r="C449" s="9" t="s">
        <v>430</v>
      </c>
      <c r="D449" s="9" t="s">
        <v>431</v>
      </c>
      <c r="E449" s="10"/>
      <c r="F449" s="6">
        <v>75</v>
      </c>
      <c r="G449" s="6">
        <f t="shared" si="18"/>
        <v>75</v>
      </c>
      <c r="H449" s="6">
        <v>75</v>
      </c>
      <c r="I449" s="6">
        <f t="shared" si="19"/>
        <v>0</v>
      </c>
      <c r="J449" s="7" t="str">
        <f t="shared" si="20"/>
        <v>PAGADO</v>
      </c>
      <c r="M449" s="8"/>
    </row>
    <row r="450" spans="3:13" customFormat="1" x14ac:dyDescent="0.25">
      <c r="C450" s="9" t="s">
        <v>432</v>
      </c>
      <c r="D450" t="s">
        <v>20</v>
      </c>
      <c r="E450" s="10"/>
      <c r="F450" s="6">
        <v>130</v>
      </c>
      <c r="G450" s="6">
        <f t="shared" ref="G450:G513" si="21">F450-E450</f>
        <v>130</v>
      </c>
      <c r="H450" s="6">
        <f>10+60+20+40</f>
        <v>130</v>
      </c>
      <c r="I450" s="6">
        <f t="shared" ref="I450:I513" si="22">F450-H450</f>
        <v>0</v>
      </c>
      <c r="J450" s="7" t="str">
        <f t="shared" ref="J450:J513" si="23">IF(I450&gt;0,"DEBE","PAGADO")</f>
        <v>PAGADO</v>
      </c>
      <c r="M450" s="8"/>
    </row>
    <row r="451" spans="3:13" customFormat="1" x14ac:dyDescent="0.25">
      <c r="C451" t="s">
        <v>367</v>
      </c>
      <c r="D451" s="9" t="s">
        <v>325</v>
      </c>
      <c r="E451" s="10"/>
      <c r="F451" s="6">
        <v>75</v>
      </c>
      <c r="G451" s="6">
        <f t="shared" si="21"/>
        <v>75</v>
      </c>
      <c r="H451" s="6">
        <v>75</v>
      </c>
      <c r="I451" s="6">
        <f t="shared" si="22"/>
        <v>0</v>
      </c>
      <c r="J451" s="7" t="str">
        <f t="shared" si="23"/>
        <v>PAGADO</v>
      </c>
      <c r="M451" s="8"/>
    </row>
    <row r="452" spans="3:13" customFormat="1" x14ac:dyDescent="0.25">
      <c r="C452" s="9" t="s">
        <v>433</v>
      </c>
      <c r="D452" s="9" t="s">
        <v>171</v>
      </c>
      <c r="E452" s="10"/>
      <c r="F452" s="6">
        <v>75</v>
      </c>
      <c r="G452" s="6">
        <f t="shared" si="21"/>
        <v>75</v>
      </c>
      <c r="H452" s="6">
        <v>75</v>
      </c>
      <c r="I452" s="6">
        <f t="shared" si="22"/>
        <v>0</v>
      </c>
      <c r="J452" s="7" t="str">
        <f t="shared" si="23"/>
        <v>PAGADO</v>
      </c>
      <c r="K452" s="9"/>
      <c r="M452" s="8"/>
    </row>
    <row r="453" spans="3:13" customFormat="1" x14ac:dyDescent="0.25">
      <c r="C453" s="9" t="s">
        <v>434</v>
      </c>
      <c r="D453" t="s">
        <v>127</v>
      </c>
      <c r="E453" s="10"/>
      <c r="F453" s="6">
        <v>100</v>
      </c>
      <c r="G453" s="6">
        <f t="shared" si="21"/>
        <v>100</v>
      </c>
      <c r="H453" s="6">
        <v>100</v>
      </c>
      <c r="I453" s="6">
        <f t="shared" si="22"/>
        <v>0</v>
      </c>
      <c r="J453" s="7" t="str">
        <f t="shared" si="23"/>
        <v>PAGADO</v>
      </c>
      <c r="M453" s="8"/>
    </row>
    <row r="454" spans="3:13" customFormat="1" x14ac:dyDescent="0.25">
      <c r="C454" s="9" t="s">
        <v>435</v>
      </c>
      <c r="D454" t="s">
        <v>127</v>
      </c>
      <c r="E454" s="10"/>
      <c r="F454" s="6">
        <v>170</v>
      </c>
      <c r="G454" s="6">
        <f t="shared" si="21"/>
        <v>170</v>
      </c>
      <c r="H454" s="6">
        <v>170</v>
      </c>
      <c r="I454" s="6">
        <f t="shared" si="22"/>
        <v>0</v>
      </c>
      <c r="J454" s="7" t="str">
        <f t="shared" si="23"/>
        <v>PAGADO</v>
      </c>
      <c r="M454" s="8"/>
    </row>
    <row r="455" spans="3:13" customFormat="1" x14ac:dyDescent="0.25">
      <c r="C455" s="9" t="s">
        <v>436</v>
      </c>
      <c r="D455" t="s">
        <v>74</v>
      </c>
      <c r="E455" s="10"/>
      <c r="F455" s="6">
        <v>30</v>
      </c>
      <c r="G455" s="6">
        <f t="shared" si="21"/>
        <v>30</v>
      </c>
      <c r="H455" s="6">
        <v>30</v>
      </c>
      <c r="I455" s="6">
        <f t="shared" si="22"/>
        <v>0</v>
      </c>
      <c r="J455" s="7" t="str">
        <f t="shared" si="23"/>
        <v>PAGADO</v>
      </c>
      <c r="M455" s="8"/>
    </row>
    <row r="456" spans="3:13" customFormat="1" x14ac:dyDescent="0.25">
      <c r="C456" s="9" t="s">
        <v>437</v>
      </c>
      <c r="D456" s="9" t="s">
        <v>171</v>
      </c>
      <c r="E456" s="10"/>
      <c r="F456" s="6">
        <v>20</v>
      </c>
      <c r="G456" s="6">
        <f t="shared" si="21"/>
        <v>20</v>
      </c>
      <c r="H456" s="6">
        <v>20</v>
      </c>
      <c r="I456" s="6">
        <f t="shared" si="22"/>
        <v>0</v>
      </c>
      <c r="J456" s="7" t="str">
        <f t="shared" si="23"/>
        <v>PAGADO</v>
      </c>
      <c r="M456" s="8"/>
    </row>
    <row r="457" spans="3:13" customFormat="1" x14ac:dyDescent="0.25">
      <c r="C457" s="9" t="s">
        <v>438</v>
      </c>
      <c r="D457" t="s">
        <v>74</v>
      </c>
      <c r="E457" s="10"/>
      <c r="F457" s="6">
        <v>10</v>
      </c>
      <c r="G457" s="6">
        <f t="shared" si="21"/>
        <v>10</v>
      </c>
      <c r="H457" s="6">
        <v>10</v>
      </c>
      <c r="I457" s="6">
        <f t="shared" si="22"/>
        <v>0</v>
      </c>
      <c r="J457" s="7" t="str">
        <f t="shared" si="23"/>
        <v>PAGADO</v>
      </c>
      <c r="M457" s="8"/>
    </row>
    <row r="458" spans="3:13" customFormat="1" x14ac:dyDescent="0.25">
      <c r="C458" s="9" t="s">
        <v>439</v>
      </c>
      <c r="D458" s="9" t="s">
        <v>202</v>
      </c>
      <c r="E458" s="10"/>
      <c r="F458" s="6">
        <v>17</v>
      </c>
      <c r="G458" s="6">
        <f t="shared" si="21"/>
        <v>17</v>
      </c>
      <c r="H458" s="6">
        <v>17</v>
      </c>
      <c r="I458" s="6">
        <f t="shared" si="22"/>
        <v>0</v>
      </c>
      <c r="J458" s="7" t="str">
        <f t="shared" si="23"/>
        <v>PAGADO</v>
      </c>
      <c r="M458" s="8"/>
    </row>
    <row r="459" spans="3:13" customFormat="1" x14ac:dyDescent="0.25">
      <c r="C459" s="9" t="s">
        <v>440</v>
      </c>
      <c r="D459" s="9" t="s">
        <v>202</v>
      </c>
      <c r="E459" s="10"/>
      <c r="F459" s="6">
        <v>28</v>
      </c>
      <c r="G459" s="6">
        <f t="shared" si="21"/>
        <v>28</v>
      </c>
      <c r="H459" s="6">
        <v>28</v>
      </c>
      <c r="I459" s="6">
        <f t="shared" si="22"/>
        <v>0</v>
      </c>
      <c r="J459" s="7" t="str">
        <f t="shared" si="23"/>
        <v>PAGADO</v>
      </c>
      <c r="M459" s="8"/>
    </row>
    <row r="460" spans="3:13" customFormat="1" x14ac:dyDescent="0.25">
      <c r="C460" s="9" t="s">
        <v>441</v>
      </c>
      <c r="D460" s="9" t="s">
        <v>202</v>
      </c>
      <c r="E460" s="10"/>
      <c r="F460" s="6">
        <v>12</v>
      </c>
      <c r="G460" s="6">
        <f t="shared" si="21"/>
        <v>12</v>
      </c>
      <c r="H460" s="6">
        <v>12</v>
      </c>
      <c r="I460" s="6">
        <f t="shared" si="22"/>
        <v>0</v>
      </c>
      <c r="J460" s="7" t="str">
        <f t="shared" si="23"/>
        <v>PAGADO</v>
      </c>
      <c r="M460" s="8"/>
    </row>
    <row r="461" spans="3:13" customFormat="1" x14ac:dyDescent="0.25">
      <c r="C461" s="9" t="s">
        <v>442</v>
      </c>
      <c r="D461" s="9" t="s">
        <v>202</v>
      </c>
      <c r="E461" s="10"/>
      <c r="F461" s="6">
        <v>15</v>
      </c>
      <c r="G461" s="6">
        <f t="shared" si="21"/>
        <v>15</v>
      </c>
      <c r="H461" s="6">
        <v>15</v>
      </c>
      <c r="I461" s="6">
        <f t="shared" si="22"/>
        <v>0</v>
      </c>
      <c r="J461" s="7" t="str">
        <f t="shared" si="23"/>
        <v>PAGADO</v>
      </c>
      <c r="M461" s="8"/>
    </row>
    <row r="462" spans="3:13" customFormat="1" x14ac:dyDescent="0.25">
      <c r="C462" s="9" t="s">
        <v>443</v>
      </c>
      <c r="D462" s="9" t="s">
        <v>238</v>
      </c>
      <c r="E462" s="10"/>
      <c r="F462" s="6">
        <v>30</v>
      </c>
      <c r="G462" s="6">
        <f t="shared" si="21"/>
        <v>30</v>
      </c>
      <c r="H462" s="6">
        <v>30</v>
      </c>
      <c r="I462" s="6">
        <f t="shared" si="22"/>
        <v>0</v>
      </c>
      <c r="J462" s="7" t="str">
        <f t="shared" si="23"/>
        <v>PAGADO</v>
      </c>
      <c r="M462" s="8"/>
    </row>
    <row r="463" spans="3:13" customFormat="1" x14ac:dyDescent="0.25">
      <c r="C463" s="9" t="s">
        <v>444</v>
      </c>
      <c r="D463" s="9" t="s">
        <v>238</v>
      </c>
      <c r="E463" s="10"/>
      <c r="F463" s="6">
        <v>75</v>
      </c>
      <c r="G463" s="6">
        <f t="shared" si="21"/>
        <v>75</v>
      </c>
      <c r="H463" s="6">
        <v>75</v>
      </c>
      <c r="I463" s="6">
        <f t="shared" si="22"/>
        <v>0</v>
      </c>
      <c r="J463" s="7" t="str">
        <f t="shared" si="23"/>
        <v>PAGADO</v>
      </c>
      <c r="M463" s="8"/>
    </row>
    <row r="464" spans="3:13" customFormat="1" x14ac:dyDescent="0.25">
      <c r="C464" s="9" t="s">
        <v>445</v>
      </c>
      <c r="D464" t="s">
        <v>18</v>
      </c>
      <c r="E464" s="10"/>
      <c r="F464" s="6">
        <v>14</v>
      </c>
      <c r="G464" s="6">
        <f t="shared" si="21"/>
        <v>14</v>
      </c>
      <c r="H464" s="6">
        <v>14</v>
      </c>
      <c r="I464" s="6">
        <f t="shared" si="22"/>
        <v>0</v>
      </c>
      <c r="J464" s="7" t="str">
        <f t="shared" si="23"/>
        <v>PAGADO</v>
      </c>
      <c r="M464" s="8"/>
    </row>
    <row r="465" spans="3:13" customFormat="1" x14ac:dyDescent="0.25">
      <c r="C465" s="9" t="s">
        <v>446</v>
      </c>
      <c r="D465" t="s">
        <v>74</v>
      </c>
      <c r="E465" s="10"/>
      <c r="F465" s="6">
        <v>85</v>
      </c>
      <c r="G465" s="6">
        <f t="shared" si="21"/>
        <v>85</v>
      </c>
      <c r="H465" s="6">
        <v>85</v>
      </c>
      <c r="I465" s="6">
        <f t="shared" si="22"/>
        <v>0</v>
      </c>
      <c r="J465" s="7" t="str">
        <f t="shared" si="23"/>
        <v>PAGADO</v>
      </c>
      <c r="M465" s="8"/>
    </row>
    <row r="466" spans="3:13" customFormat="1" x14ac:dyDescent="0.25">
      <c r="C466" s="9" t="s">
        <v>447</v>
      </c>
      <c r="D466" t="s">
        <v>74</v>
      </c>
      <c r="E466" s="10"/>
      <c r="F466" s="6">
        <v>30</v>
      </c>
      <c r="G466" s="6">
        <f t="shared" si="21"/>
        <v>30</v>
      </c>
      <c r="H466" s="6">
        <v>30</v>
      </c>
      <c r="I466" s="6">
        <f t="shared" si="22"/>
        <v>0</v>
      </c>
      <c r="J466" s="7" t="str">
        <f t="shared" si="23"/>
        <v>PAGADO</v>
      </c>
      <c r="M466" s="8"/>
    </row>
    <row r="467" spans="3:13" customFormat="1" x14ac:dyDescent="0.25">
      <c r="C467" s="9" t="s">
        <v>448</v>
      </c>
      <c r="D467" t="s">
        <v>74</v>
      </c>
      <c r="E467" s="10"/>
      <c r="F467" s="6">
        <v>15</v>
      </c>
      <c r="G467" s="6">
        <f t="shared" si="21"/>
        <v>15</v>
      </c>
      <c r="H467" s="6">
        <v>15</v>
      </c>
      <c r="I467" s="6">
        <f t="shared" si="22"/>
        <v>0</v>
      </c>
      <c r="J467" s="7" t="str">
        <f t="shared" si="23"/>
        <v>PAGADO</v>
      </c>
      <c r="M467" s="8"/>
    </row>
    <row r="468" spans="3:13" customFormat="1" x14ac:dyDescent="0.25">
      <c r="C468" s="9" t="s">
        <v>449</v>
      </c>
      <c r="D468" t="s">
        <v>74</v>
      </c>
      <c r="E468" s="10"/>
      <c r="F468" s="6">
        <v>16</v>
      </c>
      <c r="G468" s="6">
        <f t="shared" si="21"/>
        <v>16</v>
      </c>
      <c r="H468" s="6">
        <v>16</v>
      </c>
      <c r="I468" s="6">
        <f t="shared" si="22"/>
        <v>0</v>
      </c>
      <c r="J468" s="7" t="str">
        <f t="shared" si="23"/>
        <v>PAGADO</v>
      </c>
      <c r="M468" s="8"/>
    </row>
    <row r="469" spans="3:13" customFormat="1" x14ac:dyDescent="0.25">
      <c r="C469" s="9" t="s">
        <v>450</v>
      </c>
      <c r="D469" t="s">
        <v>74</v>
      </c>
      <c r="E469" s="10"/>
      <c r="F469" s="6">
        <v>90</v>
      </c>
      <c r="G469" s="6">
        <f t="shared" si="21"/>
        <v>90</v>
      </c>
      <c r="H469" s="23">
        <f>40+50</f>
        <v>90</v>
      </c>
      <c r="I469" s="6">
        <f t="shared" si="22"/>
        <v>0</v>
      </c>
      <c r="J469" s="7" t="str">
        <f t="shared" si="23"/>
        <v>PAGADO</v>
      </c>
      <c r="M469" s="8"/>
    </row>
    <row r="470" spans="3:13" customFormat="1" x14ac:dyDescent="0.25">
      <c r="C470" s="9" t="s">
        <v>451</v>
      </c>
      <c r="D470" t="s">
        <v>74</v>
      </c>
      <c r="E470" s="10"/>
      <c r="F470" s="6">
        <v>210</v>
      </c>
      <c r="G470" s="6">
        <f t="shared" si="21"/>
        <v>210</v>
      </c>
      <c r="H470" s="23">
        <v>210</v>
      </c>
      <c r="I470" s="6">
        <f t="shared" si="22"/>
        <v>0</v>
      </c>
      <c r="J470" s="7" t="str">
        <f t="shared" si="23"/>
        <v>PAGADO</v>
      </c>
      <c r="M470" s="8"/>
    </row>
    <row r="471" spans="3:13" customFormat="1" x14ac:dyDescent="0.25">
      <c r="C471" s="9" t="s">
        <v>452</v>
      </c>
      <c r="D471" s="9" t="s">
        <v>415</v>
      </c>
      <c r="E471" s="10"/>
      <c r="F471" s="6">
        <v>16</v>
      </c>
      <c r="G471" s="6">
        <f t="shared" si="21"/>
        <v>16</v>
      </c>
      <c r="H471" s="6">
        <v>16</v>
      </c>
      <c r="I471" s="6">
        <f t="shared" si="22"/>
        <v>0</v>
      </c>
      <c r="J471" s="7" t="str">
        <f t="shared" si="23"/>
        <v>PAGADO</v>
      </c>
      <c r="M471" s="8"/>
    </row>
    <row r="472" spans="3:13" customFormat="1" x14ac:dyDescent="0.25">
      <c r="C472" s="9" t="s">
        <v>453</v>
      </c>
      <c r="D472" t="s">
        <v>18</v>
      </c>
      <c r="E472" s="10"/>
      <c r="F472" s="6">
        <v>200</v>
      </c>
      <c r="G472" s="6">
        <f t="shared" si="21"/>
        <v>200</v>
      </c>
      <c r="H472" s="6">
        <v>200</v>
      </c>
      <c r="I472" s="6">
        <f t="shared" si="22"/>
        <v>0</v>
      </c>
      <c r="J472" s="7" t="str">
        <f t="shared" si="23"/>
        <v>PAGADO</v>
      </c>
      <c r="M472" s="8"/>
    </row>
    <row r="473" spans="3:13" customFormat="1" x14ac:dyDescent="0.25">
      <c r="C473" s="9" t="s">
        <v>454</v>
      </c>
      <c r="D473" t="s">
        <v>18</v>
      </c>
      <c r="E473" s="10"/>
      <c r="F473" s="6">
        <v>60</v>
      </c>
      <c r="G473" s="6">
        <f t="shared" si="21"/>
        <v>60</v>
      </c>
      <c r="H473" s="6">
        <v>60</v>
      </c>
      <c r="I473" s="6">
        <f t="shared" si="22"/>
        <v>0</v>
      </c>
      <c r="J473" s="7" t="str">
        <f t="shared" si="23"/>
        <v>PAGADO</v>
      </c>
      <c r="M473" s="8"/>
    </row>
    <row r="474" spans="3:13" customFormat="1" x14ac:dyDescent="0.25">
      <c r="C474" s="9" t="s">
        <v>455</v>
      </c>
      <c r="D474" t="s">
        <v>18</v>
      </c>
      <c r="E474" s="10"/>
      <c r="F474" s="6">
        <v>20</v>
      </c>
      <c r="G474" s="6">
        <f t="shared" si="21"/>
        <v>20</v>
      </c>
      <c r="H474" s="6">
        <v>20</v>
      </c>
      <c r="I474" s="6">
        <f t="shared" si="22"/>
        <v>0</v>
      </c>
      <c r="J474" s="7" t="str">
        <f t="shared" si="23"/>
        <v>PAGADO</v>
      </c>
      <c r="M474" s="8"/>
    </row>
    <row r="475" spans="3:13" customFormat="1" x14ac:dyDescent="0.25">
      <c r="C475" s="9" t="s">
        <v>456</v>
      </c>
      <c r="D475" t="s">
        <v>18</v>
      </c>
      <c r="E475" s="10"/>
      <c r="F475" s="6">
        <v>15</v>
      </c>
      <c r="G475" s="6">
        <f t="shared" si="21"/>
        <v>15</v>
      </c>
      <c r="H475" s="6">
        <v>15</v>
      </c>
      <c r="I475" s="6">
        <f t="shared" si="22"/>
        <v>0</v>
      </c>
      <c r="J475" s="7" t="str">
        <f t="shared" si="23"/>
        <v>PAGADO</v>
      </c>
      <c r="M475" s="8"/>
    </row>
    <row r="476" spans="3:13" customFormat="1" x14ac:dyDescent="0.25">
      <c r="C476" s="9" t="s">
        <v>457</v>
      </c>
      <c r="D476" t="s">
        <v>136</v>
      </c>
      <c r="E476" s="10"/>
      <c r="F476" s="6">
        <v>16</v>
      </c>
      <c r="G476" s="6">
        <f t="shared" si="21"/>
        <v>16</v>
      </c>
      <c r="H476" s="6">
        <v>16</v>
      </c>
      <c r="I476" s="12">
        <f t="shared" si="22"/>
        <v>0</v>
      </c>
      <c r="J476" s="7" t="str">
        <f t="shared" si="23"/>
        <v>PAGADO</v>
      </c>
      <c r="M476" s="8"/>
    </row>
    <row r="477" spans="3:13" customFormat="1" x14ac:dyDescent="0.25">
      <c r="C477" t="s">
        <v>458</v>
      </c>
      <c r="D477" t="s">
        <v>61</v>
      </c>
      <c r="E477" s="6"/>
      <c r="F477" s="6">
        <v>20</v>
      </c>
      <c r="G477" s="6">
        <f t="shared" si="21"/>
        <v>20</v>
      </c>
      <c r="H477" s="6">
        <v>20</v>
      </c>
      <c r="I477" s="6">
        <f t="shared" si="22"/>
        <v>0</v>
      </c>
      <c r="J477" s="7" t="str">
        <f t="shared" si="23"/>
        <v>PAGADO</v>
      </c>
      <c r="M477" s="8"/>
    </row>
    <row r="478" spans="3:13" customFormat="1" x14ac:dyDescent="0.25">
      <c r="C478" t="s">
        <v>459</v>
      </c>
      <c r="D478" t="s">
        <v>460</v>
      </c>
      <c r="E478" s="10"/>
      <c r="F478" s="6">
        <v>50</v>
      </c>
      <c r="G478" s="6">
        <f t="shared" si="21"/>
        <v>50</v>
      </c>
      <c r="H478" s="6">
        <v>50</v>
      </c>
      <c r="I478" s="6">
        <f t="shared" si="22"/>
        <v>0</v>
      </c>
      <c r="J478" s="7" t="str">
        <f t="shared" si="23"/>
        <v>PAGADO</v>
      </c>
      <c r="M478" s="8"/>
    </row>
    <row r="479" spans="3:13" customFormat="1" x14ac:dyDescent="0.25">
      <c r="C479" t="s">
        <v>461</v>
      </c>
      <c r="D479" t="s">
        <v>460</v>
      </c>
      <c r="E479" s="10"/>
      <c r="F479" s="6">
        <v>50</v>
      </c>
      <c r="G479" s="6">
        <f t="shared" si="21"/>
        <v>50</v>
      </c>
      <c r="H479" s="6">
        <v>50</v>
      </c>
      <c r="I479" s="6">
        <f t="shared" si="22"/>
        <v>0</v>
      </c>
      <c r="J479" s="7" t="str">
        <f t="shared" si="23"/>
        <v>PAGADO</v>
      </c>
      <c r="M479" s="8"/>
    </row>
    <row r="480" spans="3:13" customFormat="1" x14ac:dyDescent="0.25">
      <c r="C480" t="s">
        <v>462</v>
      </c>
      <c r="D480" t="s">
        <v>460</v>
      </c>
      <c r="E480" s="10"/>
      <c r="F480" s="6">
        <v>50</v>
      </c>
      <c r="G480" s="6">
        <f t="shared" si="21"/>
        <v>50</v>
      </c>
      <c r="H480" s="6">
        <v>50</v>
      </c>
      <c r="I480" s="6">
        <f t="shared" si="22"/>
        <v>0</v>
      </c>
      <c r="J480" s="7" t="str">
        <f t="shared" si="23"/>
        <v>PAGADO</v>
      </c>
      <c r="M480" s="8"/>
    </row>
    <row r="481" spans="3:13" customFormat="1" x14ac:dyDescent="0.25">
      <c r="C481" s="9" t="s">
        <v>463</v>
      </c>
      <c r="D481" t="s">
        <v>127</v>
      </c>
      <c r="E481" s="10"/>
      <c r="F481" s="6">
        <v>11</v>
      </c>
      <c r="G481" s="6">
        <f t="shared" si="21"/>
        <v>11</v>
      </c>
      <c r="H481" s="6">
        <v>11</v>
      </c>
      <c r="I481" s="6">
        <f t="shared" si="22"/>
        <v>0</v>
      </c>
      <c r="J481" s="7" t="str">
        <f t="shared" si="23"/>
        <v>PAGADO</v>
      </c>
      <c r="M481" s="8"/>
    </row>
    <row r="482" spans="3:13" customFormat="1" x14ac:dyDescent="0.25">
      <c r="C482" s="9" t="s">
        <v>464</v>
      </c>
      <c r="D482" t="s">
        <v>127</v>
      </c>
      <c r="E482" s="10"/>
      <c r="F482" s="6">
        <v>13</v>
      </c>
      <c r="G482" s="6">
        <f t="shared" si="21"/>
        <v>13</v>
      </c>
      <c r="H482" s="6">
        <v>13</v>
      </c>
      <c r="I482" s="6">
        <f t="shared" si="22"/>
        <v>0</v>
      </c>
      <c r="J482" s="7" t="str">
        <f t="shared" si="23"/>
        <v>PAGADO</v>
      </c>
      <c r="M482" s="8"/>
    </row>
    <row r="483" spans="3:13" customFormat="1" x14ac:dyDescent="0.25">
      <c r="C483" s="9" t="s">
        <v>328</v>
      </c>
      <c r="D483" t="s">
        <v>16</v>
      </c>
      <c r="E483" s="10"/>
      <c r="F483" s="6">
        <v>26</v>
      </c>
      <c r="G483" s="6">
        <f t="shared" si="21"/>
        <v>26</v>
      </c>
      <c r="H483" s="6">
        <v>26</v>
      </c>
      <c r="I483" s="6">
        <f t="shared" si="22"/>
        <v>0</v>
      </c>
      <c r="J483" s="7" t="str">
        <f t="shared" si="23"/>
        <v>PAGADO</v>
      </c>
      <c r="M483" s="8"/>
    </row>
    <row r="484" spans="3:13" customFormat="1" x14ac:dyDescent="0.25">
      <c r="C484" s="9" t="s">
        <v>465</v>
      </c>
      <c r="D484" t="s">
        <v>466</v>
      </c>
      <c r="E484" s="10"/>
      <c r="F484" s="6">
        <v>70</v>
      </c>
      <c r="G484" s="6">
        <f t="shared" si="21"/>
        <v>70</v>
      </c>
      <c r="H484" s="6">
        <v>70</v>
      </c>
      <c r="I484" s="6">
        <f t="shared" si="22"/>
        <v>0</v>
      </c>
      <c r="J484" s="7" t="str">
        <f t="shared" si="23"/>
        <v>PAGADO</v>
      </c>
      <c r="M484" s="8"/>
    </row>
    <row r="485" spans="3:13" customFormat="1" x14ac:dyDescent="0.25">
      <c r="C485" s="9" t="s">
        <v>467</v>
      </c>
      <c r="D485" t="s">
        <v>74</v>
      </c>
      <c r="E485" s="10"/>
      <c r="F485" s="6">
        <v>207</v>
      </c>
      <c r="G485" s="6">
        <f t="shared" si="21"/>
        <v>207</v>
      </c>
      <c r="H485" s="6">
        <v>207</v>
      </c>
      <c r="I485" s="6">
        <f t="shared" si="22"/>
        <v>0</v>
      </c>
      <c r="J485" s="7" t="str">
        <f t="shared" si="23"/>
        <v>PAGADO</v>
      </c>
      <c r="M485" s="8"/>
    </row>
    <row r="486" spans="3:13" customFormat="1" x14ac:dyDescent="0.25">
      <c r="C486" t="s">
        <v>468</v>
      </c>
      <c r="D486" t="s">
        <v>39</v>
      </c>
      <c r="E486" s="10"/>
      <c r="F486" s="6">
        <v>90</v>
      </c>
      <c r="G486" s="6">
        <f t="shared" si="21"/>
        <v>90</v>
      </c>
      <c r="H486" s="6">
        <v>90</v>
      </c>
      <c r="I486" s="6">
        <f t="shared" si="22"/>
        <v>0</v>
      </c>
      <c r="J486" s="7" t="str">
        <f t="shared" si="23"/>
        <v>PAGADO</v>
      </c>
      <c r="M486" s="8"/>
    </row>
    <row r="487" spans="3:13" customFormat="1" x14ac:dyDescent="0.25">
      <c r="C487" s="9" t="s">
        <v>469</v>
      </c>
      <c r="D487" s="9" t="s">
        <v>70</v>
      </c>
      <c r="E487" s="10"/>
      <c r="F487" s="6">
        <v>70</v>
      </c>
      <c r="G487" s="6">
        <f t="shared" si="21"/>
        <v>70</v>
      </c>
      <c r="H487" s="6">
        <f>50+20</f>
        <v>70</v>
      </c>
      <c r="I487" s="6">
        <f t="shared" si="22"/>
        <v>0</v>
      </c>
      <c r="J487" s="7" t="str">
        <f t="shared" si="23"/>
        <v>PAGADO</v>
      </c>
      <c r="M487" s="8"/>
    </row>
    <row r="488" spans="3:13" customFormat="1" x14ac:dyDescent="0.25">
      <c r="C488" s="9" t="s">
        <v>470</v>
      </c>
      <c r="D488" t="s">
        <v>236</v>
      </c>
      <c r="E488" s="10"/>
      <c r="F488" s="6">
        <v>40</v>
      </c>
      <c r="G488" s="6">
        <f t="shared" si="21"/>
        <v>40</v>
      </c>
      <c r="H488" s="6">
        <v>40</v>
      </c>
      <c r="I488" s="6">
        <f t="shared" si="22"/>
        <v>0</v>
      </c>
      <c r="J488" s="7" t="str">
        <f t="shared" si="23"/>
        <v>PAGADO</v>
      </c>
      <c r="M488" s="8"/>
    </row>
    <row r="489" spans="3:13" customFormat="1" x14ac:dyDescent="0.25">
      <c r="C489" s="9" t="s">
        <v>471</v>
      </c>
      <c r="D489" t="s">
        <v>236</v>
      </c>
      <c r="E489" s="10"/>
      <c r="F489" s="6">
        <v>10</v>
      </c>
      <c r="G489" s="6">
        <f t="shared" si="21"/>
        <v>10</v>
      </c>
      <c r="H489" s="6">
        <v>10</v>
      </c>
      <c r="I489" s="6">
        <f t="shared" si="22"/>
        <v>0</v>
      </c>
      <c r="J489" s="7" t="str">
        <f t="shared" si="23"/>
        <v>PAGADO</v>
      </c>
      <c r="M489" s="8"/>
    </row>
    <row r="490" spans="3:13" customFormat="1" x14ac:dyDescent="0.25">
      <c r="C490" s="9" t="s">
        <v>472</v>
      </c>
      <c r="D490" t="s">
        <v>20</v>
      </c>
      <c r="E490" s="10"/>
      <c r="F490" s="6">
        <v>10</v>
      </c>
      <c r="G490" s="6">
        <f t="shared" si="21"/>
        <v>10</v>
      </c>
      <c r="H490" s="6">
        <v>10</v>
      </c>
      <c r="I490" s="6">
        <f t="shared" si="22"/>
        <v>0</v>
      </c>
      <c r="J490" s="7" t="str">
        <f t="shared" si="23"/>
        <v>PAGADO</v>
      </c>
      <c r="M490" s="8"/>
    </row>
    <row r="491" spans="3:13" customFormat="1" x14ac:dyDescent="0.25">
      <c r="C491" s="9" t="s">
        <v>473</v>
      </c>
      <c r="D491" t="s">
        <v>127</v>
      </c>
      <c r="E491" s="10"/>
      <c r="F491" s="6">
        <v>150</v>
      </c>
      <c r="G491" s="6">
        <f t="shared" si="21"/>
        <v>150</v>
      </c>
      <c r="H491" s="6">
        <v>150</v>
      </c>
      <c r="I491" s="6">
        <f t="shared" si="22"/>
        <v>0</v>
      </c>
      <c r="J491" s="7" t="str">
        <f t="shared" si="23"/>
        <v>PAGADO</v>
      </c>
      <c r="M491" s="8"/>
    </row>
    <row r="492" spans="3:13" customFormat="1" x14ac:dyDescent="0.25">
      <c r="C492" s="9" t="s">
        <v>474</v>
      </c>
      <c r="D492" s="9" t="s">
        <v>45</v>
      </c>
      <c r="E492" s="10"/>
      <c r="F492" s="6">
        <v>16</v>
      </c>
      <c r="G492" s="6">
        <f t="shared" si="21"/>
        <v>16</v>
      </c>
      <c r="H492" s="6">
        <v>16</v>
      </c>
      <c r="I492" s="6">
        <f t="shared" si="22"/>
        <v>0</v>
      </c>
      <c r="J492" s="7" t="str">
        <f t="shared" si="23"/>
        <v>PAGADO</v>
      </c>
      <c r="M492" s="8"/>
    </row>
    <row r="493" spans="3:13" customFormat="1" x14ac:dyDescent="0.25">
      <c r="C493" s="9" t="s">
        <v>475</v>
      </c>
      <c r="D493" t="s">
        <v>377</v>
      </c>
      <c r="E493" s="10"/>
      <c r="F493" s="6">
        <v>15</v>
      </c>
      <c r="G493" s="6">
        <f t="shared" si="21"/>
        <v>15</v>
      </c>
      <c r="H493" s="6">
        <v>15</v>
      </c>
      <c r="I493" s="6">
        <f t="shared" si="22"/>
        <v>0</v>
      </c>
      <c r="J493" s="7" t="str">
        <f t="shared" si="23"/>
        <v>PAGADO</v>
      </c>
      <c r="M493" s="8"/>
    </row>
    <row r="494" spans="3:13" customFormat="1" x14ac:dyDescent="0.25">
      <c r="C494" s="9" t="s">
        <v>476</v>
      </c>
      <c r="D494" t="s">
        <v>45</v>
      </c>
      <c r="E494" s="10"/>
      <c r="F494" s="6">
        <v>90</v>
      </c>
      <c r="G494" s="6">
        <f t="shared" si="21"/>
        <v>90</v>
      </c>
      <c r="H494" s="6">
        <v>90</v>
      </c>
      <c r="I494" s="6">
        <f t="shared" si="22"/>
        <v>0</v>
      </c>
      <c r="J494" s="7" t="str">
        <f t="shared" si="23"/>
        <v>PAGADO</v>
      </c>
      <c r="M494" s="8"/>
    </row>
    <row r="495" spans="3:13" customFormat="1" x14ac:dyDescent="0.25">
      <c r="C495" s="9" t="s">
        <v>477</v>
      </c>
      <c r="D495" t="s">
        <v>136</v>
      </c>
      <c r="E495" s="10"/>
      <c r="F495" s="6">
        <v>15</v>
      </c>
      <c r="G495" s="6">
        <f t="shared" si="21"/>
        <v>15</v>
      </c>
      <c r="H495" s="6">
        <v>15</v>
      </c>
      <c r="I495" s="6">
        <f t="shared" si="22"/>
        <v>0</v>
      </c>
      <c r="J495" s="7" t="str">
        <f t="shared" si="23"/>
        <v>PAGADO</v>
      </c>
      <c r="M495" s="8"/>
    </row>
    <row r="496" spans="3:13" customFormat="1" x14ac:dyDescent="0.25">
      <c r="C496" s="9" t="s">
        <v>478</v>
      </c>
      <c r="D496" t="s">
        <v>136</v>
      </c>
      <c r="E496" s="10"/>
      <c r="F496" s="6">
        <v>15</v>
      </c>
      <c r="G496" s="6">
        <f t="shared" si="21"/>
        <v>15</v>
      </c>
      <c r="H496" s="6">
        <v>15</v>
      </c>
      <c r="I496" s="6">
        <f t="shared" si="22"/>
        <v>0</v>
      </c>
      <c r="J496" s="7" t="str">
        <f t="shared" si="23"/>
        <v>PAGADO</v>
      </c>
      <c r="M496" s="8"/>
    </row>
    <row r="497" spans="3:13" customFormat="1" x14ac:dyDescent="0.25">
      <c r="C497" t="s">
        <v>479</v>
      </c>
      <c r="D497" t="s">
        <v>61</v>
      </c>
      <c r="E497" s="6"/>
      <c r="F497" s="6">
        <v>30</v>
      </c>
      <c r="G497" s="6">
        <f t="shared" si="21"/>
        <v>30</v>
      </c>
      <c r="H497" s="6">
        <v>30</v>
      </c>
      <c r="I497" s="6">
        <f t="shared" si="22"/>
        <v>0</v>
      </c>
      <c r="J497" s="7" t="str">
        <f t="shared" si="23"/>
        <v>PAGADO</v>
      </c>
      <c r="M497" s="8"/>
    </row>
    <row r="498" spans="3:13" customFormat="1" x14ac:dyDescent="0.25">
      <c r="C498" t="s">
        <v>480</v>
      </c>
      <c r="D498" t="s">
        <v>481</v>
      </c>
      <c r="E498" s="10"/>
      <c r="F498" s="6">
        <v>25</v>
      </c>
      <c r="G498" s="6">
        <f t="shared" si="21"/>
        <v>25</v>
      </c>
      <c r="H498" s="6">
        <v>25</v>
      </c>
      <c r="I498" s="6">
        <f t="shared" si="22"/>
        <v>0</v>
      </c>
      <c r="J498" s="7" t="str">
        <f t="shared" si="23"/>
        <v>PAGADO</v>
      </c>
      <c r="M498" s="8"/>
    </row>
    <row r="499" spans="3:13" customFormat="1" x14ac:dyDescent="0.25">
      <c r="C499" s="9" t="s">
        <v>482</v>
      </c>
      <c r="D499" t="s">
        <v>236</v>
      </c>
      <c r="E499" s="10"/>
      <c r="F499" s="6">
        <v>15</v>
      </c>
      <c r="G499" s="6">
        <f t="shared" si="21"/>
        <v>15</v>
      </c>
      <c r="H499" s="6">
        <v>15</v>
      </c>
      <c r="I499" s="6">
        <f t="shared" si="22"/>
        <v>0</v>
      </c>
      <c r="J499" s="7" t="str">
        <f t="shared" si="23"/>
        <v>PAGADO</v>
      </c>
      <c r="M499" s="8"/>
    </row>
    <row r="500" spans="3:13" customFormat="1" x14ac:dyDescent="0.25">
      <c r="C500" s="9" t="s">
        <v>483</v>
      </c>
      <c r="D500" t="s">
        <v>74</v>
      </c>
      <c r="E500" s="10"/>
      <c r="F500" s="6">
        <v>95</v>
      </c>
      <c r="G500" s="6">
        <f t="shared" si="21"/>
        <v>95</v>
      </c>
      <c r="H500" s="6">
        <f>50+45</f>
        <v>95</v>
      </c>
      <c r="I500" s="6">
        <f t="shared" si="22"/>
        <v>0</v>
      </c>
      <c r="J500" s="7" t="str">
        <f t="shared" si="23"/>
        <v>PAGADO</v>
      </c>
      <c r="M500" s="8"/>
    </row>
    <row r="501" spans="3:13" customFormat="1" x14ac:dyDescent="0.25">
      <c r="C501" t="s">
        <v>197</v>
      </c>
      <c r="D501" s="9" t="s">
        <v>423</v>
      </c>
      <c r="E501" s="10"/>
      <c r="F501" s="6">
        <v>85</v>
      </c>
      <c r="G501" s="6">
        <f t="shared" si="21"/>
        <v>85</v>
      </c>
      <c r="H501" s="6">
        <v>85</v>
      </c>
      <c r="I501" s="6">
        <f t="shared" si="22"/>
        <v>0</v>
      </c>
      <c r="J501" s="7" t="str">
        <f t="shared" si="23"/>
        <v>PAGADO</v>
      </c>
      <c r="M501" s="8"/>
    </row>
    <row r="502" spans="3:13" customFormat="1" x14ac:dyDescent="0.25">
      <c r="C502" t="s">
        <v>484</v>
      </c>
      <c r="D502" t="s">
        <v>31</v>
      </c>
      <c r="E502" s="6"/>
      <c r="F502" s="6">
        <v>45</v>
      </c>
      <c r="G502" s="6">
        <f t="shared" si="21"/>
        <v>45</v>
      </c>
      <c r="H502" s="6">
        <v>45</v>
      </c>
      <c r="I502" s="6">
        <f t="shared" si="22"/>
        <v>0</v>
      </c>
      <c r="J502" s="7" t="str">
        <f t="shared" si="23"/>
        <v>PAGADO</v>
      </c>
      <c r="M502" s="8"/>
    </row>
    <row r="503" spans="3:13" customFormat="1" x14ac:dyDescent="0.25">
      <c r="C503" s="9" t="s">
        <v>485</v>
      </c>
      <c r="D503" s="9" t="s">
        <v>70</v>
      </c>
      <c r="E503" s="10"/>
      <c r="F503" s="6">
        <v>100</v>
      </c>
      <c r="G503" s="6">
        <f t="shared" si="21"/>
        <v>100</v>
      </c>
      <c r="H503" s="6">
        <f>50+50</f>
        <v>100</v>
      </c>
      <c r="I503" s="6">
        <f t="shared" si="22"/>
        <v>0</v>
      </c>
      <c r="J503" s="7" t="str">
        <f t="shared" si="23"/>
        <v>PAGADO</v>
      </c>
      <c r="M503" s="8"/>
    </row>
    <row r="504" spans="3:13" customFormat="1" x14ac:dyDescent="0.25">
      <c r="C504" s="9" t="s">
        <v>486</v>
      </c>
      <c r="D504" s="9" t="s">
        <v>153</v>
      </c>
      <c r="E504" s="10"/>
      <c r="F504" s="6">
        <v>430</v>
      </c>
      <c r="G504" s="6">
        <f t="shared" si="21"/>
        <v>430</v>
      </c>
      <c r="H504" s="6">
        <f>100+330</f>
        <v>430</v>
      </c>
      <c r="I504" s="6">
        <f t="shared" si="22"/>
        <v>0</v>
      </c>
      <c r="J504" s="7" t="str">
        <f t="shared" si="23"/>
        <v>PAGADO</v>
      </c>
      <c r="M504" s="8"/>
    </row>
    <row r="505" spans="3:13" customFormat="1" x14ac:dyDescent="0.25">
      <c r="C505" s="9" t="s">
        <v>487</v>
      </c>
      <c r="D505" s="9" t="s">
        <v>488</v>
      </c>
      <c r="E505" s="10"/>
      <c r="F505" s="6">
        <v>55</v>
      </c>
      <c r="G505" s="6">
        <f t="shared" si="21"/>
        <v>55</v>
      </c>
      <c r="H505" s="6">
        <v>55</v>
      </c>
      <c r="I505" s="6">
        <f t="shared" si="22"/>
        <v>0</v>
      </c>
      <c r="J505" s="7" t="str">
        <f t="shared" si="23"/>
        <v>PAGADO</v>
      </c>
      <c r="M505" s="8"/>
    </row>
    <row r="506" spans="3:13" customFormat="1" x14ac:dyDescent="0.25">
      <c r="C506" s="9" t="s">
        <v>489</v>
      </c>
      <c r="D506" t="s">
        <v>84</v>
      </c>
      <c r="E506" s="10"/>
      <c r="F506" s="6">
        <v>65</v>
      </c>
      <c r="G506" s="6">
        <f t="shared" si="21"/>
        <v>65</v>
      </c>
      <c r="H506" s="6">
        <v>65</v>
      </c>
      <c r="I506" s="6">
        <f t="shared" si="22"/>
        <v>0</v>
      </c>
      <c r="J506" s="7" t="str">
        <f t="shared" si="23"/>
        <v>PAGADO</v>
      </c>
      <c r="M506" s="8"/>
    </row>
    <row r="507" spans="3:13" customFormat="1" x14ac:dyDescent="0.25">
      <c r="C507" s="9" t="s">
        <v>490</v>
      </c>
      <c r="D507" t="s">
        <v>84</v>
      </c>
      <c r="E507" s="10"/>
      <c r="F507" s="6">
        <v>85</v>
      </c>
      <c r="G507" s="6">
        <f t="shared" si="21"/>
        <v>85</v>
      </c>
      <c r="H507" s="6">
        <v>85</v>
      </c>
      <c r="I507" s="6">
        <f t="shared" si="22"/>
        <v>0</v>
      </c>
      <c r="J507" s="7" t="str">
        <f t="shared" si="23"/>
        <v>PAGADO</v>
      </c>
      <c r="M507" s="8"/>
    </row>
    <row r="508" spans="3:13" customFormat="1" x14ac:dyDescent="0.25">
      <c r="C508" s="9" t="s">
        <v>491</v>
      </c>
      <c r="D508" t="s">
        <v>84</v>
      </c>
      <c r="E508" s="10"/>
      <c r="F508" s="6">
        <v>65</v>
      </c>
      <c r="G508" s="6">
        <f t="shared" si="21"/>
        <v>65</v>
      </c>
      <c r="H508" s="6">
        <v>65</v>
      </c>
      <c r="I508" s="6">
        <f t="shared" si="22"/>
        <v>0</v>
      </c>
      <c r="J508" s="7" t="str">
        <f t="shared" si="23"/>
        <v>PAGADO</v>
      </c>
      <c r="M508" s="8"/>
    </row>
    <row r="509" spans="3:13" customFormat="1" x14ac:dyDescent="0.25">
      <c r="C509" s="9" t="s">
        <v>492</v>
      </c>
      <c r="D509" t="s">
        <v>84</v>
      </c>
      <c r="E509" s="10"/>
      <c r="F509" s="6">
        <v>85</v>
      </c>
      <c r="G509" s="6">
        <f t="shared" si="21"/>
        <v>85</v>
      </c>
      <c r="H509" s="6">
        <v>85</v>
      </c>
      <c r="I509" s="6">
        <f t="shared" si="22"/>
        <v>0</v>
      </c>
      <c r="J509" s="7" t="str">
        <f t="shared" si="23"/>
        <v>PAGADO</v>
      </c>
      <c r="M509" s="8"/>
    </row>
    <row r="510" spans="3:13" customFormat="1" x14ac:dyDescent="0.25">
      <c r="C510" s="9" t="s">
        <v>493</v>
      </c>
      <c r="D510" s="9" t="s">
        <v>89</v>
      </c>
      <c r="E510" s="10"/>
      <c r="F510" s="6">
        <v>80</v>
      </c>
      <c r="G510" s="6">
        <f t="shared" si="21"/>
        <v>80</v>
      </c>
      <c r="H510" s="6">
        <v>80</v>
      </c>
      <c r="I510" s="6">
        <f t="shared" si="22"/>
        <v>0</v>
      </c>
      <c r="J510" s="7" t="str">
        <f t="shared" si="23"/>
        <v>PAGADO</v>
      </c>
      <c r="M510" s="8"/>
    </row>
    <row r="511" spans="3:13" customFormat="1" x14ac:dyDescent="0.25">
      <c r="C511" s="9" t="s">
        <v>494</v>
      </c>
      <c r="D511" s="9" t="s">
        <v>89</v>
      </c>
      <c r="E511" s="10"/>
      <c r="F511" s="6">
        <v>150</v>
      </c>
      <c r="G511" s="6">
        <f t="shared" si="21"/>
        <v>150</v>
      </c>
      <c r="H511" s="6">
        <v>150</v>
      </c>
      <c r="I511" s="6">
        <f t="shared" si="22"/>
        <v>0</v>
      </c>
      <c r="J511" s="7" t="str">
        <f t="shared" si="23"/>
        <v>PAGADO</v>
      </c>
      <c r="M511" s="8"/>
    </row>
    <row r="512" spans="3:13" customFormat="1" x14ac:dyDescent="0.25">
      <c r="C512" s="9" t="s">
        <v>495</v>
      </c>
      <c r="D512" s="9" t="s">
        <v>89</v>
      </c>
      <c r="E512" s="10"/>
      <c r="F512" s="6">
        <v>80</v>
      </c>
      <c r="G512" s="6">
        <f t="shared" si="21"/>
        <v>80</v>
      </c>
      <c r="H512" s="6">
        <v>80</v>
      </c>
      <c r="I512" s="6">
        <f t="shared" si="22"/>
        <v>0</v>
      </c>
      <c r="J512" s="7" t="str">
        <f t="shared" si="23"/>
        <v>PAGADO</v>
      </c>
      <c r="M512" s="8"/>
    </row>
    <row r="513" spans="3:13" customFormat="1" x14ac:dyDescent="0.25">
      <c r="C513" s="9" t="s">
        <v>367</v>
      </c>
      <c r="D513" s="9" t="s">
        <v>496</v>
      </c>
      <c r="E513" s="10"/>
      <c r="F513" s="6">
        <v>80</v>
      </c>
      <c r="G513" s="6">
        <f t="shared" si="21"/>
        <v>80</v>
      </c>
      <c r="H513" s="6">
        <v>80</v>
      </c>
      <c r="I513" s="6">
        <f t="shared" si="22"/>
        <v>0</v>
      </c>
      <c r="J513" s="7" t="str">
        <f t="shared" si="23"/>
        <v>PAGADO</v>
      </c>
      <c r="M513" s="8"/>
    </row>
    <row r="514" spans="3:13" customFormat="1" x14ac:dyDescent="0.25">
      <c r="C514" s="9" t="s">
        <v>497</v>
      </c>
      <c r="D514" s="9" t="s">
        <v>496</v>
      </c>
      <c r="E514" s="10"/>
      <c r="F514" s="6">
        <v>10</v>
      </c>
      <c r="G514" s="6">
        <f t="shared" ref="G514:G577" si="24">F514-E514</f>
        <v>10</v>
      </c>
      <c r="H514" s="6">
        <v>10</v>
      </c>
      <c r="I514" s="6">
        <f t="shared" ref="I514:I577" si="25">F514-H514</f>
        <v>0</v>
      </c>
      <c r="J514" s="7" t="str">
        <f t="shared" ref="J514:J577" si="26">IF(I514&gt;0,"DEBE","PAGADO")</f>
        <v>PAGADO</v>
      </c>
      <c r="M514" s="8"/>
    </row>
    <row r="515" spans="3:13" customFormat="1" x14ac:dyDescent="0.25">
      <c r="C515" s="9" t="s">
        <v>498</v>
      </c>
      <c r="D515" t="s">
        <v>18</v>
      </c>
      <c r="E515" s="10"/>
      <c r="F515" s="6">
        <v>90</v>
      </c>
      <c r="G515" s="6">
        <f t="shared" si="24"/>
        <v>90</v>
      </c>
      <c r="H515" s="6">
        <v>90</v>
      </c>
      <c r="I515" s="6">
        <f t="shared" si="25"/>
        <v>0</v>
      </c>
      <c r="J515" s="7" t="str">
        <f t="shared" si="26"/>
        <v>PAGADO</v>
      </c>
      <c r="M515" s="8"/>
    </row>
    <row r="516" spans="3:13" customFormat="1" x14ac:dyDescent="0.25">
      <c r="C516" s="9" t="s">
        <v>499</v>
      </c>
      <c r="D516" s="9" t="s">
        <v>70</v>
      </c>
      <c r="E516" s="10"/>
      <c r="F516" s="6">
        <v>90</v>
      </c>
      <c r="G516" s="6">
        <f t="shared" si="24"/>
        <v>90</v>
      </c>
      <c r="H516" s="6">
        <v>90</v>
      </c>
      <c r="I516" s="6">
        <f t="shared" si="25"/>
        <v>0</v>
      </c>
      <c r="J516" s="7" t="str">
        <f t="shared" si="26"/>
        <v>PAGADO</v>
      </c>
      <c r="M516" s="8"/>
    </row>
    <row r="517" spans="3:13" customFormat="1" x14ac:dyDescent="0.25">
      <c r="C517" s="9" t="s">
        <v>500</v>
      </c>
      <c r="D517" s="9" t="s">
        <v>70</v>
      </c>
      <c r="E517" s="10"/>
      <c r="F517" s="6">
        <v>130</v>
      </c>
      <c r="G517" s="6">
        <f t="shared" si="24"/>
        <v>130</v>
      </c>
      <c r="H517" s="6">
        <f>100+30</f>
        <v>130</v>
      </c>
      <c r="I517" s="6">
        <f t="shared" si="25"/>
        <v>0</v>
      </c>
      <c r="J517" s="7" t="str">
        <f t="shared" si="26"/>
        <v>PAGADO</v>
      </c>
      <c r="M517" s="8"/>
    </row>
    <row r="518" spans="3:13" customFormat="1" x14ac:dyDescent="0.25">
      <c r="C518" s="9" t="s">
        <v>501</v>
      </c>
      <c r="D518" s="9" t="s">
        <v>502</v>
      </c>
      <c r="E518" s="10"/>
      <c r="F518" s="6">
        <v>65</v>
      </c>
      <c r="G518" s="6">
        <f t="shared" si="24"/>
        <v>65</v>
      </c>
      <c r="H518" s="6">
        <v>65</v>
      </c>
      <c r="I518" s="6">
        <f t="shared" si="25"/>
        <v>0</v>
      </c>
      <c r="J518" s="7" t="str">
        <f t="shared" si="26"/>
        <v>PAGADO</v>
      </c>
      <c r="M518" s="8"/>
    </row>
    <row r="519" spans="3:13" customFormat="1" x14ac:dyDescent="0.25">
      <c r="C519" s="9" t="s">
        <v>503</v>
      </c>
      <c r="D519" s="9" t="s">
        <v>502</v>
      </c>
      <c r="E519" s="10"/>
      <c r="F519" s="6">
        <v>60</v>
      </c>
      <c r="G519" s="6">
        <f t="shared" si="24"/>
        <v>60</v>
      </c>
      <c r="H519" s="6">
        <f>30+30</f>
        <v>60</v>
      </c>
      <c r="I519" s="6">
        <f t="shared" si="25"/>
        <v>0</v>
      </c>
      <c r="J519" s="7" t="str">
        <f t="shared" si="26"/>
        <v>PAGADO</v>
      </c>
      <c r="M519" s="8"/>
    </row>
    <row r="520" spans="3:13" customFormat="1" x14ac:dyDescent="0.25">
      <c r="C520" s="9" t="s">
        <v>504</v>
      </c>
      <c r="D520" s="9" t="s">
        <v>33</v>
      </c>
      <c r="E520" s="10"/>
      <c r="F520" s="6">
        <v>90</v>
      </c>
      <c r="G520" s="6">
        <f t="shared" si="24"/>
        <v>90</v>
      </c>
      <c r="H520" s="6">
        <v>90</v>
      </c>
      <c r="I520" s="6">
        <f t="shared" si="25"/>
        <v>0</v>
      </c>
      <c r="J520" s="7" t="str">
        <f t="shared" si="26"/>
        <v>PAGADO</v>
      </c>
      <c r="M520" s="8"/>
    </row>
    <row r="521" spans="3:13" customFormat="1" x14ac:dyDescent="0.25">
      <c r="C521" s="9" t="s">
        <v>505</v>
      </c>
      <c r="D521" s="9" t="s">
        <v>33</v>
      </c>
      <c r="E521" s="10"/>
      <c r="F521" s="6">
        <v>130</v>
      </c>
      <c r="G521" s="6">
        <f t="shared" si="24"/>
        <v>130</v>
      </c>
      <c r="H521" s="6">
        <v>130</v>
      </c>
      <c r="I521" s="6">
        <f t="shared" si="25"/>
        <v>0</v>
      </c>
      <c r="J521" s="7" t="str">
        <f t="shared" si="26"/>
        <v>PAGADO</v>
      </c>
      <c r="M521" s="8"/>
    </row>
    <row r="522" spans="3:13" customFormat="1" x14ac:dyDescent="0.25">
      <c r="C522" s="9" t="s">
        <v>506</v>
      </c>
      <c r="D522" s="9" t="s">
        <v>507</v>
      </c>
      <c r="E522" s="10"/>
      <c r="F522" s="6">
        <v>150</v>
      </c>
      <c r="G522" s="6">
        <f t="shared" si="24"/>
        <v>150</v>
      </c>
      <c r="H522" s="6">
        <f>25+45+80</f>
        <v>150</v>
      </c>
      <c r="I522" s="6">
        <f t="shared" si="25"/>
        <v>0</v>
      </c>
      <c r="J522" s="7" t="str">
        <f t="shared" si="26"/>
        <v>PAGADO</v>
      </c>
      <c r="M522" s="8"/>
    </row>
    <row r="523" spans="3:13" customFormat="1" x14ac:dyDescent="0.25">
      <c r="C523" s="9" t="s">
        <v>506</v>
      </c>
      <c r="D523" s="9" t="s">
        <v>508</v>
      </c>
      <c r="E523" s="10"/>
      <c r="F523" s="6">
        <v>150</v>
      </c>
      <c r="G523" s="6">
        <f t="shared" si="24"/>
        <v>150</v>
      </c>
      <c r="H523" s="6">
        <v>150</v>
      </c>
      <c r="I523" s="6">
        <f t="shared" si="25"/>
        <v>0</v>
      </c>
      <c r="J523" s="7" t="str">
        <f t="shared" si="26"/>
        <v>PAGADO</v>
      </c>
      <c r="M523" s="8"/>
    </row>
    <row r="524" spans="3:13" customFormat="1" x14ac:dyDescent="0.25">
      <c r="C524" s="9" t="s">
        <v>509</v>
      </c>
      <c r="D524" s="9" t="s">
        <v>508</v>
      </c>
      <c r="E524" s="10"/>
      <c r="F524" s="6">
        <v>70</v>
      </c>
      <c r="G524" s="6">
        <f t="shared" si="24"/>
        <v>70</v>
      </c>
      <c r="H524" s="6">
        <v>70</v>
      </c>
      <c r="I524" s="6">
        <f t="shared" si="25"/>
        <v>0</v>
      </c>
      <c r="J524" s="7" t="str">
        <f t="shared" si="26"/>
        <v>PAGADO</v>
      </c>
      <c r="M524" s="8"/>
    </row>
    <row r="525" spans="3:13" customFormat="1" x14ac:dyDescent="0.25">
      <c r="C525" s="9" t="s">
        <v>510</v>
      </c>
      <c r="D525" s="9" t="s">
        <v>511</v>
      </c>
      <c r="E525" s="10"/>
      <c r="F525" s="6">
        <v>80</v>
      </c>
      <c r="G525" s="6">
        <f t="shared" si="24"/>
        <v>80</v>
      </c>
      <c r="H525" s="6">
        <v>80</v>
      </c>
      <c r="I525" s="6">
        <f t="shared" si="25"/>
        <v>0</v>
      </c>
      <c r="J525" s="7" t="str">
        <f t="shared" si="26"/>
        <v>PAGADO</v>
      </c>
      <c r="M525" s="8"/>
    </row>
    <row r="526" spans="3:13" customFormat="1" x14ac:dyDescent="0.25">
      <c r="C526" s="9" t="s">
        <v>512</v>
      </c>
      <c r="D526" s="9" t="s">
        <v>511</v>
      </c>
      <c r="E526" s="10"/>
      <c r="F526" s="6">
        <v>16</v>
      </c>
      <c r="G526" s="6">
        <f t="shared" si="24"/>
        <v>16</v>
      </c>
      <c r="H526" s="6">
        <v>16</v>
      </c>
      <c r="I526" s="6">
        <f t="shared" si="25"/>
        <v>0</v>
      </c>
      <c r="J526" s="7" t="str">
        <f t="shared" si="26"/>
        <v>PAGADO</v>
      </c>
      <c r="M526" s="8"/>
    </row>
    <row r="527" spans="3:13" customFormat="1" x14ac:dyDescent="0.25">
      <c r="C527" s="9" t="s">
        <v>380</v>
      </c>
      <c r="D527" t="s">
        <v>127</v>
      </c>
      <c r="E527" s="10"/>
      <c r="F527" s="6">
        <v>15</v>
      </c>
      <c r="G527" s="6">
        <f t="shared" si="24"/>
        <v>15</v>
      </c>
      <c r="H527" s="6">
        <v>15</v>
      </c>
      <c r="I527" s="6">
        <f t="shared" si="25"/>
        <v>0</v>
      </c>
      <c r="J527" s="7" t="str">
        <f t="shared" si="26"/>
        <v>PAGADO</v>
      </c>
      <c r="M527" s="8"/>
    </row>
    <row r="528" spans="3:13" customFormat="1" x14ac:dyDescent="0.25">
      <c r="C528" s="9" t="s">
        <v>513</v>
      </c>
      <c r="D528" t="s">
        <v>74</v>
      </c>
      <c r="E528" s="10"/>
      <c r="F528" s="6">
        <v>10</v>
      </c>
      <c r="G528" s="6">
        <f t="shared" si="24"/>
        <v>10</v>
      </c>
      <c r="H528" s="6">
        <v>10</v>
      </c>
      <c r="I528" s="6">
        <f t="shared" si="25"/>
        <v>0</v>
      </c>
      <c r="J528" s="7" t="str">
        <f t="shared" si="26"/>
        <v>PAGADO</v>
      </c>
      <c r="M528" s="8"/>
    </row>
    <row r="529" spans="3:13" customFormat="1" x14ac:dyDescent="0.25">
      <c r="C529" s="9" t="s">
        <v>514</v>
      </c>
      <c r="D529" s="9" t="s">
        <v>202</v>
      </c>
      <c r="E529" s="10"/>
      <c r="F529" s="6">
        <v>15</v>
      </c>
      <c r="G529" s="6">
        <f t="shared" si="24"/>
        <v>15</v>
      </c>
      <c r="H529" s="6">
        <v>15</v>
      </c>
      <c r="I529" s="6">
        <f t="shared" si="25"/>
        <v>0</v>
      </c>
      <c r="J529" s="7" t="str">
        <f t="shared" si="26"/>
        <v>PAGADO</v>
      </c>
      <c r="M529" s="8"/>
    </row>
    <row r="530" spans="3:13" customFormat="1" x14ac:dyDescent="0.25">
      <c r="C530" s="9" t="s">
        <v>515</v>
      </c>
      <c r="D530" s="9" t="s">
        <v>202</v>
      </c>
      <c r="E530" s="10"/>
      <c r="F530" s="6">
        <v>80</v>
      </c>
      <c r="G530" s="6">
        <f t="shared" si="24"/>
        <v>80</v>
      </c>
      <c r="H530" s="6">
        <v>80</v>
      </c>
      <c r="I530" s="6">
        <f t="shared" si="25"/>
        <v>0</v>
      </c>
      <c r="J530" s="7" t="str">
        <f t="shared" si="26"/>
        <v>PAGADO</v>
      </c>
      <c r="M530" s="8"/>
    </row>
    <row r="531" spans="3:13" customFormat="1" x14ac:dyDescent="0.25">
      <c r="C531" s="9" t="s">
        <v>516</v>
      </c>
      <c r="D531" s="9" t="s">
        <v>517</v>
      </c>
      <c r="E531" s="10"/>
      <c r="F531" s="6">
        <v>20</v>
      </c>
      <c r="G531" s="6">
        <f t="shared" si="24"/>
        <v>20</v>
      </c>
      <c r="H531" s="6">
        <v>20</v>
      </c>
      <c r="I531" s="6">
        <f t="shared" si="25"/>
        <v>0</v>
      </c>
      <c r="J531" s="7" t="str">
        <f t="shared" si="26"/>
        <v>PAGADO</v>
      </c>
      <c r="M531" s="8"/>
    </row>
    <row r="532" spans="3:13" customFormat="1" x14ac:dyDescent="0.25">
      <c r="C532" s="9" t="s">
        <v>518</v>
      </c>
      <c r="D532" s="9" t="s">
        <v>153</v>
      </c>
      <c r="E532" s="10"/>
      <c r="F532" s="6">
        <v>75</v>
      </c>
      <c r="G532" s="6">
        <f t="shared" si="24"/>
        <v>75</v>
      </c>
      <c r="H532" s="6">
        <v>75</v>
      </c>
      <c r="I532" s="6">
        <f t="shared" si="25"/>
        <v>0</v>
      </c>
      <c r="J532" s="7" t="str">
        <f t="shared" si="26"/>
        <v>PAGADO</v>
      </c>
      <c r="M532" s="8"/>
    </row>
    <row r="533" spans="3:13" customFormat="1" x14ac:dyDescent="0.25">
      <c r="C533" s="9" t="s">
        <v>519</v>
      </c>
      <c r="D533" s="9" t="s">
        <v>153</v>
      </c>
      <c r="E533" s="10"/>
      <c r="F533" s="6">
        <v>75</v>
      </c>
      <c r="G533" s="6">
        <f t="shared" si="24"/>
        <v>75</v>
      </c>
      <c r="H533" s="6">
        <v>75</v>
      </c>
      <c r="I533" s="6">
        <f t="shared" si="25"/>
        <v>0</v>
      </c>
      <c r="J533" s="7" t="str">
        <f t="shared" si="26"/>
        <v>PAGADO</v>
      </c>
      <c r="M533" s="8"/>
    </row>
    <row r="534" spans="3:13" customFormat="1" x14ac:dyDescent="0.25">
      <c r="C534" s="9" t="s">
        <v>520</v>
      </c>
      <c r="D534" s="9" t="s">
        <v>153</v>
      </c>
      <c r="E534" s="10"/>
      <c r="F534" s="6">
        <v>75</v>
      </c>
      <c r="G534" s="6">
        <f t="shared" si="24"/>
        <v>75</v>
      </c>
      <c r="H534" s="6">
        <v>75</v>
      </c>
      <c r="I534" s="6">
        <f t="shared" si="25"/>
        <v>0</v>
      </c>
      <c r="J534" s="7" t="str">
        <f t="shared" si="26"/>
        <v>PAGADO</v>
      </c>
      <c r="M534" s="8"/>
    </row>
    <row r="535" spans="3:13" customFormat="1" x14ac:dyDescent="0.25">
      <c r="C535" s="9" t="s">
        <v>521</v>
      </c>
      <c r="D535" s="9" t="s">
        <v>153</v>
      </c>
      <c r="E535" s="10"/>
      <c r="F535" s="6">
        <v>75</v>
      </c>
      <c r="G535" s="6">
        <f t="shared" si="24"/>
        <v>75</v>
      </c>
      <c r="H535" s="6">
        <v>75</v>
      </c>
      <c r="I535" s="6">
        <f t="shared" si="25"/>
        <v>0</v>
      </c>
      <c r="J535" s="7" t="str">
        <f t="shared" si="26"/>
        <v>PAGADO</v>
      </c>
      <c r="M535" s="8"/>
    </row>
    <row r="536" spans="3:13" customFormat="1" x14ac:dyDescent="0.25">
      <c r="C536" s="9" t="s">
        <v>522</v>
      </c>
      <c r="D536" s="9" t="s">
        <v>523</v>
      </c>
      <c r="E536" s="10"/>
      <c r="F536" s="6">
        <v>35</v>
      </c>
      <c r="G536" s="6">
        <f t="shared" si="24"/>
        <v>35</v>
      </c>
      <c r="H536" s="6">
        <v>35</v>
      </c>
      <c r="I536" s="6">
        <f t="shared" si="25"/>
        <v>0</v>
      </c>
      <c r="J536" s="7" t="str">
        <f t="shared" si="26"/>
        <v>PAGADO</v>
      </c>
      <c r="M536" s="8"/>
    </row>
    <row r="537" spans="3:13" customFormat="1" x14ac:dyDescent="0.25">
      <c r="C537" s="9" t="s">
        <v>524</v>
      </c>
      <c r="D537" s="9" t="s">
        <v>431</v>
      </c>
      <c r="E537" s="10"/>
      <c r="F537" s="6">
        <v>60</v>
      </c>
      <c r="G537" s="6">
        <f t="shared" si="24"/>
        <v>60</v>
      </c>
      <c r="H537" s="6">
        <v>60</v>
      </c>
      <c r="I537" s="6">
        <f t="shared" si="25"/>
        <v>0</v>
      </c>
      <c r="J537" s="7" t="str">
        <f t="shared" si="26"/>
        <v>PAGADO</v>
      </c>
      <c r="M537" s="8"/>
    </row>
    <row r="538" spans="3:13" customFormat="1" x14ac:dyDescent="0.25">
      <c r="C538" s="9" t="s">
        <v>525</v>
      </c>
      <c r="D538" s="9" t="s">
        <v>431</v>
      </c>
      <c r="E538" s="10"/>
      <c r="F538" s="6">
        <v>20</v>
      </c>
      <c r="G538" s="6">
        <f t="shared" si="24"/>
        <v>20</v>
      </c>
      <c r="H538" s="6">
        <v>20</v>
      </c>
      <c r="I538" s="6">
        <f t="shared" si="25"/>
        <v>0</v>
      </c>
      <c r="J538" s="7" t="str">
        <f t="shared" si="26"/>
        <v>PAGADO</v>
      </c>
      <c r="M538" s="8"/>
    </row>
    <row r="539" spans="3:13" customFormat="1" x14ac:dyDescent="0.25">
      <c r="C539" s="9" t="s">
        <v>526</v>
      </c>
      <c r="D539" t="s">
        <v>45</v>
      </c>
      <c r="E539" s="10"/>
      <c r="F539" s="6">
        <v>100</v>
      </c>
      <c r="G539" s="6">
        <f t="shared" si="24"/>
        <v>100</v>
      </c>
      <c r="H539" s="6">
        <v>100</v>
      </c>
      <c r="I539" s="6">
        <f t="shared" si="25"/>
        <v>0</v>
      </c>
      <c r="J539" s="7" t="str">
        <f t="shared" si="26"/>
        <v>PAGADO</v>
      </c>
      <c r="M539" s="8"/>
    </row>
    <row r="540" spans="3:13" customFormat="1" x14ac:dyDescent="0.25">
      <c r="C540" s="9" t="s">
        <v>527</v>
      </c>
      <c r="D540" t="s">
        <v>45</v>
      </c>
      <c r="E540" s="10"/>
      <c r="F540" s="6">
        <v>10</v>
      </c>
      <c r="G540" s="6">
        <f t="shared" si="24"/>
        <v>10</v>
      </c>
      <c r="H540" s="6">
        <v>10</v>
      </c>
      <c r="I540" s="6">
        <f t="shared" si="25"/>
        <v>0</v>
      </c>
      <c r="J540" s="7" t="str">
        <f t="shared" si="26"/>
        <v>PAGADO</v>
      </c>
      <c r="M540" s="8"/>
    </row>
    <row r="541" spans="3:13" customFormat="1" x14ac:dyDescent="0.25">
      <c r="C541" s="9" t="s">
        <v>528</v>
      </c>
      <c r="D541" t="s">
        <v>377</v>
      </c>
      <c r="E541" s="10"/>
      <c r="F541" s="6">
        <v>70</v>
      </c>
      <c r="G541" s="6">
        <f t="shared" si="24"/>
        <v>70</v>
      </c>
      <c r="H541" s="6">
        <v>70</v>
      </c>
      <c r="I541" s="6">
        <f t="shared" si="25"/>
        <v>0</v>
      </c>
      <c r="J541" s="7" t="str">
        <f t="shared" si="26"/>
        <v>PAGADO</v>
      </c>
      <c r="M541" s="8"/>
    </row>
    <row r="542" spans="3:13" customFormat="1" x14ac:dyDescent="0.25">
      <c r="C542" s="9" t="s">
        <v>148</v>
      </c>
      <c r="D542" t="s">
        <v>18</v>
      </c>
      <c r="E542" s="10"/>
      <c r="F542" s="6">
        <v>15</v>
      </c>
      <c r="G542" s="6">
        <f t="shared" si="24"/>
        <v>15</v>
      </c>
      <c r="H542" s="6">
        <v>15</v>
      </c>
      <c r="I542" s="6">
        <f t="shared" si="25"/>
        <v>0</v>
      </c>
      <c r="J542" s="7" t="str">
        <f t="shared" si="26"/>
        <v>PAGADO</v>
      </c>
      <c r="M542" s="8"/>
    </row>
    <row r="543" spans="3:13" customFormat="1" x14ac:dyDescent="0.25">
      <c r="C543" s="9" t="s">
        <v>529</v>
      </c>
      <c r="D543" t="s">
        <v>18</v>
      </c>
      <c r="E543" s="10"/>
      <c r="F543" s="6">
        <v>30</v>
      </c>
      <c r="G543" s="6">
        <f t="shared" si="24"/>
        <v>30</v>
      </c>
      <c r="H543" s="6">
        <v>30</v>
      </c>
      <c r="I543" s="6">
        <f t="shared" si="25"/>
        <v>0</v>
      </c>
      <c r="J543" s="7" t="str">
        <f t="shared" si="26"/>
        <v>PAGADO</v>
      </c>
      <c r="M543" s="8"/>
    </row>
    <row r="544" spans="3:13" customFormat="1" x14ac:dyDescent="0.25">
      <c r="C544" s="9" t="s">
        <v>530</v>
      </c>
      <c r="D544" s="9" t="s">
        <v>531</v>
      </c>
      <c r="E544" s="10"/>
      <c r="F544" s="6">
        <v>120</v>
      </c>
      <c r="G544" s="6">
        <f t="shared" si="24"/>
        <v>120</v>
      </c>
      <c r="H544" s="6">
        <v>120</v>
      </c>
      <c r="I544" s="6">
        <f t="shared" si="25"/>
        <v>0</v>
      </c>
      <c r="J544" s="7" t="str">
        <f t="shared" si="26"/>
        <v>PAGADO</v>
      </c>
      <c r="M544" s="8"/>
    </row>
    <row r="545" spans="3:13" customFormat="1" x14ac:dyDescent="0.25">
      <c r="C545" t="s">
        <v>532</v>
      </c>
      <c r="D545" t="s">
        <v>61</v>
      </c>
      <c r="E545" s="6"/>
      <c r="F545" s="6">
        <v>15</v>
      </c>
      <c r="G545" s="6">
        <f t="shared" si="24"/>
        <v>15</v>
      </c>
      <c r="H545" s="6">
        <v>15</v>
      </c>
      <c r="I545" s="6">
        <f t="shared" si="25"/>
        <v>0</v>
      </c>
      <c r="J545" s="7" t="str">
        <f t="shared" si="26"/>
        <v>PAGADO</v>
      </c>
      <c r="M545" s="8"/>
    </row>
    <row r="546" spans="3:13" customFormat="1" x14ac:dyDescent="0.25">
      <c r="C546" s="9" t="s">
        <v>533</v>
      </c>
      <c r="D546" t="s">
        <v>80</v>
      </c>
      <c r="E546" s="10"/>
      <c r="F546" s="6">
        <v>130</v>
      </c>
      <c r="G546" s="6">
        <f t="shared" si="24"/>
        <v>130</v>
      </c>
      <c r="H546" s="6">
        <v>130</v>
      </c>
      <c r="I546" s="6">
        <f t="shared" si="25"/>
        <v>0</v>
      </c>
      <c r="J546" s="7" t="str">
        <f t="shared" si="26"/>
        <v>PAGADO</v>
      </c>
      <c r="M546" s="8"/>
    </row>
    <row r="547" spans="3:13" customFormat="1" x14ac:dyDescent="0.25">
      <c r="C547" s="9" t="s">
        <v>534</v>
      </c>
      <c r="D547" t="s">
        <v>80</v>
      </c>
      <c r="E547" s="10"/>
      <c r="F547" s="6">
        <v>100</v>
      </c>
      <c r="G547" s="6">
        <f t="shared" si="24"/>
        <v>100</v>
      </c>
      <c r="H547" s="6">
        <v>100</v>
      </c>
      <c r="I547" s="6">
        <f t="shared" si="25"/>
        <v>0</v>
      </c>
      <c r="J547" s="7" t="str">
        <f t="shared" si="26"/>
        <v>PAGADO</v>
      </c>
      <c r="M547" s="8"/>
    </row>
    <row r="548" spans="3:13" customFormat="1" x14ac:dyDescent="0.25">
      <c r="C548" s="9" t="s">
        <v>435</v>
      </c>
      <c r="D548" t="s">
        <v>236</v>
      </c>
      <c r="E548" s="10"/>
      <c r="F548" s="6">
        <v>100</v>
      </c>
      <c r="G548" s="6">
        <f t="shared" si="24"/>
        <v>100</v>
      </c>
      <c r="H548" s="6">
        <v>100</v>
      </c>
      <c r="I548" s="6">
        <f t="shared" si="25"/>
        <v>0</v>
      </c>
      <c r="J548" s="7" t="str">
        <f t="shared" si="26"/>
        <v>PAGADO</v>
      </c>
      <c r="M548" s="8"/>
    </row>
    <row r="549" spans="3:13" customFormat="1" x14ac:dyDescent="0.25">
      <c r="C549" s="9" t="s">
        <v>535</v>
      </c>
      <c r="D549" s="9" t="s">
        <v>33</v>
      </c>
      <c r="E549" s="10"/>
      <c r="F549" s="6">
        <v>150</v>
      </c>
      <c r="G549" s="6">
        <f t="shared" si="24"/>
        <v>150</v>
      </c>
      <c r="H549" s="6">
        <v>150</v>
      </c>
      <c r="I549" s="6">
        <f t="shared" si="25"/>
        <v>0</v>
      </c>
      <c r="J549" s="7" t="str">
        <f t="shared" si="26"/>
        <v>PAGADO</v>
      </c>
      <c r="M549" s="8"/>
    </row>
    <row r="550" spans="3:13" customFormat="1" x14ac:dyDescent="0.25">
      <c r="C550" s="9" t="s">
        <v>536</v>
      </c>
      <c r="D550" t="s">
        <v>74</v>
      </c>
      <c r="E550" s="10"/>
      <c r="F550" s="6">
        <v>15</v>
      </c>
      <c r="G550" s="6">
        <f t="shared" si="24"/>
        <v>15</v>
      </c>
      <c r="H550" s="6">
        <v>15</v>
      </c>
      <c r="I550" s="6">
        <f t="shared" si="25"/>
        <v>0</v>
      </c>
      <c r="J550" s="7" t="str">
        <f t="shared" si="26"/>
        <v>PAGADO</v>
      </c>
      <c r="M550" s="8"/>
    </row>
    <row r="551" spans="3:13" customFormat="1" x14ac:dyDescent="0.25">
      <c r="C551" s="9" t="s">
        <v>536</v>
      </c>
      <c r="D551" t="s">
        <v>236</v>
      </c>
      <c r="E551" s="10"/>
      <c r="F551" s="6">
        <v>15</v>
      </c>
      <c r="G551" s="6">
        <f t="shared" si="24"/>
        <v>15</v>
      </c>
      <c r="H551" s="24">
        <f>7.5+7.5</f>
        <v>15</v>
      </c>
      <c r="I551" s="6">
        <f t="shared" si="25"/>
        <v>0</v>
      </c>
      <c r="J551" s="7" t="str">
        <f t="shared" si="26"/>
        <v>PAGADO</v>
      </c>
      <c r="M551" s="8"/>
    </row>
    <row r="552" spans="3:13" customFormat="1" x14ac:dyDescent="0.25">
      <c r="C552" s="9" t="s">
        <v>536</v>
      </c>
      <c r="D552" s="9" t="s">
        <v>238</v>
      </c>
      <c r="E552" s="10"/>
      <c r="F552" s="6">
        <v>15</v>
      </c>
      <c r="G552" s="6">
        <f t="shared" si="24"/>
        <v>15</v>
      </c>
      <c r="H552" s="6">
        <f>5+10</f>
        <v>15</v>
      </c>
      <c r="I552" s="6">
        <f t="shared" si="25"/>
        <v>0</v>
      </c>
      <c r="J552" s="7" t="str">
        <f t="shared" si="26"/>
        <v>PAGADO</v>
      </c>
      <c r="M552" s="8"/>
    </row>
    <row r="553" spans="3:13" customFormat="1" x14ac:dyDescent="0.25">
      <c r="C553" s="9" t="s">
        <v>537</v>
      </c>
      <c r="D553" t="s">
        <v>236</v>
      </c>
      <c r="E553" s="10"/>
      <c r="F553" s="6">
        <v>20</v>
      </c>
      <c r="G553" s="6">
        <f t="shared" si="24"/>
        <v>20</v>
      </c>
      <c r="H553" s="6">
        <v>20</v>
      </c>
      <c r="I553" s="6">
        <f t="shared" si="25"/>
        <v>0</v>
      </c>
      <c r="J553" s="7" t="str">
        <f t="shared" si="26"/>
        <v>PAGADO</v>
      </c>
      <c r="M553" s="8"/>
    </row>
    <row r="554" spans="3:13" customFormat="1" x14ac:dyDescent="0.25">
      <c r="C554" s="9" t="s">
        <v>538</v>
      </c>
      <c r="D554" s="9" t="s">
        <v>431</v>
      </c>
      <c r="E554" s="10"/>
      <c r="F554" s="6">
        <v>15</v>
      </c>
      <c r="G554" s="6">
        <f t="shared" si="24"/>
        <v>15</v>
      </c>
      <c r="H554" s="6">
        <v>15</v>
      </c>
      <c r="I554" s="6">
        <f t="shared" si="25"/>
        <v>0</v>
      </c>
      <c r="J554" s="7" t="str">
        <f t="shared" si="26"/>
        <v>PAGADO</v>
      </c>
      <c r="M554" s="8"/>
    </row>
    <row r="555" spans="3:13" customFormat="1" x14ac:dyDescent="0.25">
      <c r="C555" s="9" t="s">
        <v>120</v>
      </c>
      <c r="D555" s="9" t="s">
        <v>508</v>
      </c>
      <c r="E555" s="10"/>
      <c r="F555" s="6">
        <v>25</v>
      </c>
      <c r="G555" s="6">
        <f t="shared" si="24"/>
        <v>25</v>
      </c>
      <c r="H555" s="6">
        <v>25</v>
      </c>
      <c r="I555" s="6">
        <f t="shared" si="25"/>
        <v>0</v>
      </c>
      <c r="J555" s="7" t="str">
        <f t="shared" si="26"/>
        <v>PAGADO</v>
      </c>
      <c r="M555" s="8"/>
    </row>
    <row r="556" spans="3:13" customFormat="1" x14ac:dyDescent="0.25">
      <c r="C556" t="s">
        <v>539</v>
      </c>
      <c r="D556" t="s">
        <v>481</v>
      </c>
      <c r="E556" s="10"/>
      <c r="F556" s="6">
        <v>25</v>
      </c>
      <c r="G556" s="6">
        <f t="shared" si="24"/>
        <v>25</v>
      </c>
      <c r="H556" s="6">
        <v>25</v>
      </c>
      <c r="I556" s="6">
        <f t="shared" si="25"/>
        <v>0</v>
      </c>
      <c r="J556" s="7" t="str">
        <f t="shared" si="26"/>
        <v>PAGADO</v>
      </c>
      <c r="M556" s="8"/>
    </row>
    <row r="557" spans="3:13" customFormat="1" x14ac:dyDescent="0.25">
      <c r="C557" t="s">
        <v>540</v>
      </c>
      <c r="D557" t="s">
        <v>481</v>
      </c>
      <c r="E557" s="10"/>
      <c r="F557" s="6">
        <v>25</v>
      </c>
      <c r="G557" s="6">
        <f t="shared" si="24"/>
        <v>25</v>
      </c>
      <c r="H557" s="6">
        <v>25</v>
      </c>
      <c r="I557" s="6">
        <f t="shared" si="25"/>
        <v>0</v>
      </c>
      <c r="J557" s="7" t="str">
        <f t="shared" si="26"/>
        <v>PAGADO</v>
      </c>
      <c r="M557" s="8"/>
    </row>
    <row r="558" spans="3:13" customFormat="1" x14ac:dyDescent="0.25">
      <c r="C558" t="s">
        <v>541</v>
      </c>
      <c r="D558" t="s">
        <v>481</v>
      </c>
      <c r="E558" s="10"/>
      <c r="F558" s="6">
        <v>30</v>
      </c>
      <c r="G558" s="6">
        <f t="shared" si="24"/>
        <v>30</v>
      </c>
      <c r="H558" s="6">
        <v>30</v>
      </c>
      <c r="I558" s="6">
        <f t="shared" si="25"/>
        <v>0</v>
      </c>
      <c r="J558" s="7" t="str">
        <f t="shared" si="26"/>
        <v>PAGADO</v>
      </c>
      <c r="M558" s="8"/>
    </row>
    <row r="559" spans="3:13" customFormat="1" x14ac:dyDescent="0.25">
      <c r="C559" t="s">
        <v>542</v>
      </c>
      <c r="D559" t="s">
        <v>31</v>
      </c>
      <c r="E559" s="6"/>
      <c r="F559" s="6">
        <v>20</v>
      </c>
      <c r="G559" s="6">
        <f t="shared" si="24"/>
        <v>20</v>
      </c>
      <c r="H559" s="6">
        <v>20</v>
      </c>
      <c r="I559" s="6">
        <f t="shared" si="25"/>
        <v>0</v>
      </c>
      <c r="J559" s="7" t="str">
        <f t="shared" si="26"/>
        <v>PAGADO</v>
      </c>
      <c r="M559" s="8"/>
    </row>
    <row r="560" spans="3:13" customFormat="1" x14ac:dyDescent="0.25">
      <c r="C560" t="s">
        <v>543</v>
      </c>
      <c r="D560" t="s">
        <v>31</v>
      </c>
      <c r="E560" s="6"/>
      <c r="F560" s="6">
        <v>190</v>
      </c>
      <c r="G560" s="6">
        <f t="shared" si="24"/>
        <v>190</v>
      </c>
      <c r="H560" s="6">
        <f>110+80</f>
        <v>190</v>
      </c>
      <c r="I560" s="6">
        <f t="shared" si="25"/>
        <v>0</v>
      </c>
      <c r="J560" s="7" t="str">
        <f t="shared" si="26"/>
        <v>PAGADO</v>
      </c>
      <c r="M560" s="8"/>
    </row>
    <row r="561" spans="3:13" customFormat="1" x14ac:dyDescent="0.25">
      <c r="C561" s="9" t="s">
        <v>544</v>
      </c>
      <c r="D561" t="s">
        <v>74</v>
      </c>
      <c r="E561" s="10"/>
      <c r="F561" s="6">
        <v>60</v>
      </c>
      <c r="G561" s="6">
        <f t="shared" si="24"/>
        <v>60</v>
      </c>
      <c r="H561" s="6">
        <v>60</v>
      </c>
      <c r="I561" s="6">
        <f t="shared" si="25"/>
        <v>0</v>
      </c>
      <c r="J561" s="7" t="str">
        <f t="shared" si="26"/>
        <v>PAGADO</v>
      </c>
      <c r="M561" s="8"/>
    </row>
    <row r="562" spans="3:13" customFormat="1" x14ac:dyDescent="0.25">
      <c r="C562" s="9" t="s">
        <v>545</v>
      </c>
      <c r="D562" s="9" t="s">
        <v>508</v>
      </c>
      <c r="E562" s="10"/>
      <c r="F562" s="6">
        <v>10</v>
      </c>
      <c r="G562" s="6">
        <f t="shared" si="24"/>
        <v>10</v>
      </c>
      <c r="H562" s="6">
        <v>10</v>
      </c>
      <c r="I562" s="6">
        <f t="shared" si="25"/>
        <v>0</v>
      </c>
      <c r="J562" s="7" t="str">
        <f t="shared" si="26"/>
        <v>PAGADO</v>
      </c>
      <c r="M562" s="8"/>
    </row>
    <row r="563" spans="3:13" customFormat="1" x14ac:dyDescent="0.25">
      <c r="C563" s="9" t="s">
        <v>546</v>
      </c>
      <c r="D563" s="9" t="s">
        <v>508</v>
      </c>
      <c r="E563" s="10"/>
      <c r="F563" s="6">
        <v>40</v>
      </c>
      <c r="G563" s="6">
        <f t="shared" si="24"/>
        <v>40</v>
      </c>
      <c r="H563" s="6">
        <v>40</v>
      </c>
      <c r="I563" s="6">
        <f t="shared" si="25"/>
        <v>0</v>
      </c>
      <c r="J563" s="7" t="str">
        <f t="shared" si="26"/>
        <v>PAGADO</v>
      </c>
      <c r="M563" s="8"/>
    </row>
    <row r="564" spans="3:13" customFormat="1" x14ac:dyDescent="0.25">
      <c r="C564" s="9" t="s">
        <v>547</v>
      </c>
      <c r="D564" s="9" t="s">
        <v>548</v>
      </c>
      <c r="E564" s="10"/>
      <c r="F564" s="6">
        <v>75</v>
      </c>
      <c r="G564" s="6">
        <f t="shared" si="24"/>
        <v>75</v>
      </c>
      <c r="H564" s="6">
        <v>75</v>
      </c>
      <c r="I564" s="6">
        <f t="shared" si="25"/>
        <v>0</v>
      </c>
      <c r="J564" s="7" t="str">
        <f t="shared" si="26"/>
        <v>PAGADO</v>
      </c>
      <c r="M564" s="8"/>
    </row>
    <row r="565" spans="3:13" customFormat="1" x14ac:dyDescent="0.25">
      <c r="C565" s="9" t="s">
        <v>549</v>
      </c>
      <c r="D565" s="9" t="s">
        <v>548</v>
      </c>
      <c r="E565" s="10"/>
      <c r="F565" s="6">
        <v>90</v>
      </c>
      <c r="G565" s="6">
        <f t="shared" si="24"/>
        <v>90</v>
      </c>
      <c r="H565" s="6">
        <v>90</v>
      </c>
      <c r="I565" s="6">
        <f t="shared" si="25"/>
        <v>0</v>
      </c>
      <c r="J565" s="7" t="str">
        <f t="shared" si="26"/>
        <v>PAGADO</v>
      </c>
      <c r="M565" s="8"/>
    </row>
    <row r="566" spans="3:13" customFormat="1" x14ac:dyDescent="0.25">
      <c r="C566" s="9" t="s">
        <v>550</v>
      </c>
      <c r="D566" s="9" t="s">
        <v>238</v>
      </c>
      <c r="E566" s="10"/>
      <c r="F566" s="6">
        <v>60</v>
      </c>
      <c r="G566" s="6">
        <f t="shared" si="24"/>
        <v>60</v>
      </c>
      <c r="H566" s="6">
        <v>60</v>
      </c>
      <c r="I566" s="6">
        <f t="shared" si="25"/>
        <v>0</v>
      </c>
      <c r="J566" s="7" t="str">
        <f t="shared" si="26"/>
        <v>PAGADO</v>
      </c>
      <c r="M566" s="8"/>
    </row>
    <row r="567" spans="3:13" customFormat="1" x14ac:dyDescent="0.25">
      <c r="C567" s="9" t="s">
        <v>551</v>
      </c>
      <c r="D567" t="s">
        <v>377</v>
      </c>
      <c r="E567" s="10"/>
      <c r="F567" s="6">
        <v>115</v>
      </c>
      <c r="G567" s="6">
        <f t="shared" si="24"/>
        <v>115</v>
      </c>
      <c r="H567" s="6">
        <f>60+55</f>
        <v>115</v>
      </c>
      <c r="I567" s="6">
        <f t="shared" si="25"/>
        <v>0</v>
      </c>
      <c r="J567" s="7" t="str">
        <f t="shared" si="26"/>
        <v>PAGADO</v>
      </c>
      <c r="M567" s="8"/>
    </row>
    <row r="568" spans="3:13" customFormat="1" x14ac:dyDescent="0.25">
      <c r="C568" s="9" t="s">
        <v>552</v>
      </c>
      <c r="D568" t="s">
        <v>377</v>
      </c>
      <c r="E568" s="10"/>
      <c r="F568" s="6">
        <v>70</v>
      </c>
      <c r="G568" s="6">
        <f t="shared" si="24"/>
        <v>70</v>
      </c>
      <c r="H568" s="24">
        <v>70</v>
      </c>
      <c r="I568" s="6">
        <f t="shared" si="25"/>
        <v>0</v>
      </c>
      <c r="J568" s="7" t="str">
        <f t="shared" si="26"/>
        <v>PAGADO</v>
      </c>
      <c r="M568" s="8"/>
    </row>
    <row r="569" spans="3:13" customFormat="1" x14ac:dyDescent="0.25">
      <c r="C569" s="9" t="s">
        <v>553</v>
      </c>
      <c r="D569" t="s">
        <v>377</v>
      </c>
      <c r="E569" s="10"/>
      <c r="F569" s="6">
        <v>70</v>
      </c>
      <c r="G569" s="6">
        <f t="shared" si="24"/>
        <v>70</v>
      </c>
      <c r="H569" s="24">
        <v>70</v>
      </c>
      <c r="I569" s="6">
        <f t="shared" si="25"/>
        <v>0</v>
      </c>
      <c r="J569" s="7" t="str">
        <f t="shared" si="26"/>
        <v>PAGADO</v>
      </c>
      <c r="M569" s="8"/>
    </row>
    <row r="570" spans="3:13" customFormat="1" x14ac:dyDescent="0.25">
      <c r="C570" s="9" t="s">
        <v>554</v>
      </c>
      <c r="D570" t="s">
        <v>377</v>
      </c>
      <c r="E570" s="10"/>
      <c r="F570" s="6">
        <v>70</v>
      </c>
      <c r="G570" s="6">
        <f t="shared" si="24"/>
        <v>70</v>
      </c>
      <c r="H570" s="24">
        <f>35+35</f>
        <v>70</v>
      </c>
      <c r="I570" s="6">
        <f t="shared" si="25"/>
        <v>0</v>
      </c>
      <c r="J570" s="7" t="str">
        <f t="shared" si="26"/>
        <v>PAGADO</v>
      </c>
      <c r="M570" s="8"/>
    </row>
    <row r="571" spans="3:13" customFormat="1" x14ac:dyDescent="0.25">
      <c r="C571" s="9" t="s">
        <v>555</v>
      </c>
      <c r="D571" s="9" t="s">
        <v>70</v>
      </c>
      <c r="E571" s="10"/>
      <c r="F571" s="6">
        <v>50</v>
      </c>
      <c r="G571" s="6">
        <f t="shared" si="24"/>
        <v>50</v>
      </c>
      <c r="H571" s="6">
        <v>50</v>
      </c>
      <c r="I571" s="6">
        <f t="shared" si="25"/>
        <v>0</v>
      </c>
      <c r="J571" s="7" t="str">
        <f t="shared" si="26"/>
        <v>PAGADO</v>
      </c>
      <c r="M571" s="8"/>
    </row>
    <row r="572" spans="3:13" customFormat="1" x14ac:dyDescent="0.25">
      <c r="C572" s="9" t="s">
        <v>556</v>
      </c>
      <c r="D572" s="9" t="s">
        <v>70</v>
      </c>
      <c r="E572" s="10"/>
      <c r="F572" s="6">
        <v>70</v>
      </c>
      <c r="G572" s="6">
        <f t="shared" si="24"/>
        <v>70</v>
      </c>
      <c r="H572" s="6">
        <v>70</v>
      </c>
      <c r="I572" s="6">
        <f t="shared" si="25"/>
        <v>0</v>
      </c>
      <c r="J572" s="7" t="str">
        <f t="shared" si="26"/>
        <v>PAGADO</v>
      </c>
      <c r="M572" s="8"/>
    </row>
    <row r="573" spans="3:13" customFormat="1" x14ac:dyDescent="0.25">
      <c r="C573" s="9" t="s">
        <v>557</v>
      </c>
      <c r="D573" s="9" t="s">
        <v>70</v>
      </c>
      <c r="E573" s="10"/>
      <c r="F573" s="6">
        <v>50</v>
      </c>
      <c r="G573" s="6">
        <f t="shared" si="24"/>
        <v>50</v>
      </c>
      <c r="H573" s="6">
        <v>50</v>
      </c>
      <c r="I573" s="6">
        <f t="shared" si="25"/>
        <v>0</v>
      </c>
      <c r="J573" s="7" t="str">
        <f t="shared" si="26"/>
        <v>PAGADO</v>
      </c>
      <c r="M573" s="8"/>
    </row>
    <row r="574" spans="3:13" customFormat="1" x14ac:dyDescent="0.25">
      <c r="C574" s="9" t="s">
        <v>558</v>
      </c>
      <c r="D574" s="9" t="s">
        <v>33</v>
      </c>
      <c r="E574" s="10"/>
      <c r="F574" s="6">
        <v>30</v>
      </c>
      <c r="G574" s="6">
        <f t="shared" si="24"/>
        <v>30</v>
      </c>
      <c r="H574" s="11">
        <v>30</v>
      </c>
      <c r="I574" s="6">
        <f t="shared" si="25"/>
        <v>0</v>
      </c>
      <c r="J574" s="7" t="str">
        <f t="shared" si="26"/>
        <v>PAGADO</v>
      </c>
      <c r="M574" s="8"/>
    </row>
    <row r="575" spans="3:13" customFormat="1" x14ac:dyDescent="0.25">
      <c r="C575" s="9" t="s">
        <v>559</v>
      </c>
      <c r="D575" s="9" t="s">
        <v>560</v>
      </c>
      <c r="E575" s="10"/>
      <c r="F575" s="6">
        <v>75</v>
      </c>
      <c r="G575" s="6">
        <f t="shared" si="24"/>
        <v>75</v>
      </c>
      <c r="H575" s="6">
        <v>75</v>
      </c>
      <c r="I575" s="6">
        <f t="shared" si="25"/>
        <v>0</v>
      </c>
      <c r="J575" s="7" t="str">
        <f t="shared" si="26"/>
        <v>PAGADO</v>
      </c>
      <c r="M575" s="8"/>
    </row>
    <row r="576" spans="3:13" customFormat="1" x14ac:dyDescent="0.25">
      <c r="C576" s="9" t="s">
        <v>561</v>
      </c>
      <c r="D576" s="9" t="s">
        <v>560</v>
      </c>
      <c r="E576" s="10"/>
      <c r="F576" s="6">
        <v>140</v>
      </c>
      <c r="G576" s="6">
        <f t="shared" si="24"/>
        <v>140</v>
      </c>
      <c r="H576" s="6">
        <f>100+40</f>
        <v>140</v>
      </c>
      <c r="I576" s="6">
        <f t="shared" si="25"/>
        <v>0</v>
      </c>
      <c r="J576" s="7" t="str">
        <f t="shared" si="26"/>
        <v>PAGADO</v>
      </c>
      <c r="M576" s="8"/>
    </row>
    <row r="577" spans="3:13" customFormat="1" x14ac:dyDescent="0.25">
      <c r="C577" s="9" t="s">
        <v>258</v>
      </c>
      <c r="D577" s="9" t="s">
        <v>67</v>
      </c>
      <c r="E577" s="10"/>
      <c r="F577" s="6">
        <v>90</v>
      </c>
      <c r="G577" s="6">
        <f t="shared" si="24"/>
        <v>90</v>
      </c>
      <c r="H577" s="6">
        <f>50+40</f>
        <v>90</v>
      </c>
      <c r="I577" s="6">
        <f t="shared" si="25"/>
        <v>0</v>
      </c>
      <c r="J577" s="7" t="str">
        <f t="shared" si="26"/>
        <v>PAGADO</v>
      </c>
      <c r="M577" s="8"/>
    </row>
    <row r="578" spans="3:13" customFormat="1" x14ac:dyDescent="0.25">
      <c r="C578" s="9" t="s">
        <v>562</v>
      </c>
      <c r="D578" s="9" t="s">
        <v>67</v>
      </c>
      <c r="E578" s="10"/>
      <c r="F578" s="6">
        <v>130</v>
      </c>
      <c r="G578" s="6">
        <f t="shared" ref="G578:G641" si="27">F578-E578</f>
        <v>130</v>
      </c>
      <c r="H578" s="25">
        <f>30+80+20</f>
        <v>130</v>
      </c>
      <c r="I578" s="6">
        <f t="shared" ref="I578:I633" si="28">F578-H578</f>
        <v>0</v>
      </c>
      <c r="J578" s="17" t="str">
        <f t="shared" ref="J578:J633" si="29">IF(I578&gt;0,"DEBE","PAGADO")</f>
        <v>PAGADO</v>
      </c>
      <c r="M578" s="8"/>
    </row>
    <row r="579" spans="3:13" customFormat="1" x14ac:dyDescent="0.25">
      <c r="C579" s="9" t="s">
        <v>563</v>
      </c>
      <c r="D579" s="9" t="s">
        <v>67</v>
      </c>
      <c r="E579" s="10"/>
      <c r="F579" s="6">
        <v>65</v>
      </c>
      <c r="G579" s="6">
        <f t="shared" si="27"/>
        <v>65</v>
      </c>
      <c r="H579" s="24">
        <f>30+30+5</f>
        <v>65</v>
      </c>
      <c r="I579" s="6">
        <f t="shared" si="28"/>
        <v>0</v>
      </c>
      <c r="J579" s="17" t="str">
        <f t="shared" si="29"/>
        <v>PAGADO</v>
      </c>
      <c r="M579" s="8"/>
    </row>
    <row r="580" spans="3:13" customFormat="1" x14ac:dyDescent="0.25">
      <c r="C580" s="9" t="s">
        <v>564</v>
      </c>
      <c r="D580" s="9" t="s">
        <v>202</v>
      </c>
      <c r="E580" s="10"/>
      <c r="F580" s="6">
        <v>10</v>
      </c>
      <c r="G580" s="6">
        <f t="shared" si="27"/>
        <v>10</v>
      </c>
      <c r="H580" s="6">
        <v>10</v>
      </c>
      <c r="I580" s="6">
        <f t="shared" si="28"/>
        <v>0</v>
      </c>
      <c r="J580" s="7" t="str">
        <f t="shared" si="29"/>
        <v>PAGADO</v>
      </c>
      <c r="M580" s="8"/>
    </row>
    <row r="581" spans="3:13" customFormat="1" x14ac:dyDescent="0.25">
      <c r="C581" s="9" t="s">
        <v>565</v>
      </c>
      <c r="D581" s="9" t="s">
        <v>202</v>
      </c>
      <c r="E581" s="10"/>
      <c r="F581" s="6">
        <v>15</v>
      </c>
      <c r="G581" s="6">
        <f t="shared" si="27"/>
        <v>15</v>
      </c>
      <c r="H581" s="6">
        <v>15</v>
      </c>
      <c r="I581" s="6">
        <f t="shared" si="28"/>
        <v>0</v>
      </c>
      <c r="J581" s="7" t="str">
        <f t="shared" si="29"/>
        <v>PAGADO</v>
      </c>
      <c r="M581" s="8"/>
    </row>
    <row r="582" spans="3:13" customFormat="1" x14ac:dyDescent="0.25">
      <c r="C582" s="9" t="s">
        <v>566</v>
      </c>
      <c r="D582" s="9" t="s">
        <v>202</v>
      </c>
      <c r="E582" s="10"/>
      <c r="F582" s="6">
        <v>20</v>
      </c>
      <c r="G582" s="6">
        <f t="shared" si="27"/>
        <v>20</v>
      </c>
      <c r="H582" s="6">
        <v>20</v>
      </c>
      <c r="I582" s="6">
        <f t="shared" si="28"/>
        <v>0</v>
      </c>
      <c r="J582" s="7" t="str">
        <f t="shared" si="29"/>
        <v>PAGADO</v>
      </c>
      <c r="M582" s="8"/>
    </row>
    <row r="583" spans="3:13" customFormat="1" x14ac:dyDescent="0.25">
      <c r="C583" s="9" t="s">
        <v>567</v>
      </c>
      <c r="D583" s="9" t="s">
        <v>202</v>
      </c>
      <c r="E583" s="10"/>
      <c r="F583" s="6">
        <v>70</v>
      </c>
      <c r="G583" s="6">
        <f t="shared" si="27"/>
        <v>70</v>
      </c>
      <c r="H583" s="6">
        <v>70</v>
      </c>
      <c r="I583" s="6">
        <f t="shared" si="28"/>
        <v>0</v>
      </c>
      <c r="J583" s="7" t="str">
        <f t="shared" si="29"/>
        <v>PAGADO</v>
      </c>
      <c r="M583" s="8"/>
    </row>
    <row r="584" spans="3:13" customFormat="1" x14ac:dyDescent="0.25">
      <c r="C584" s="9" t="s">
        <v>568</v>
      </c>
      <c r="D584" s="9" t="s">
        <v>202</v>
      </c>
      <c r="E584" s="10"/>
      <c r="F584" s="6">
        <v>15</v>
      </c>
      <c r="G584" s="6">
        <f t="shared" si="27"/>
        <v>15</v>
      </c>
      <c r="H584" s="6">
        <v>15</v>
      </c>
      <c r="I584" s="6">
        <f t="shared" si="28"/>
        <v>0</v>
      </c>
      <c r="J584" s="7" t="str">
        <f t="shared" si="29"/>
        <v>PAGADO</v>
      </c>
      <c r="M584" s="8"/>
    </row>
    <row r="585" spans="3:13" customFormat="1" x14ac:dyDescent="0.25">
      <c r="C585" s="9" t="s">
        <v>569</v>
      </c>
      <c r="D585" s="9" t="s">
        <v>89</v>
      </c>
      <c r="E585" s="10"/>
      <c r="F585" s="6">
        <v>20</v>
      </c>
      <c r="G585" s="6">
        <f t="shared" si="27"/>
        <v>20</v>
      </c>
      <c r="H585" s="26">
        <f>10+10</f>
        <v>20</v>
      </c>
      <c r="I585" s="6">
        <f t="shared" si="28"/>
        <v>0</v>
      </c>
      <c r="J585" s="7" t="str">
        <f t="shared" si="29"/>
        <v>PAGADO</v>
      </c>
      <c r="L585" t="s">
        <v>570</v>
      </c>
      <c r="M585" s="8"/>
    </row>
    <row r="586" spans="3:13" customFormat="1" x14ac:dyDescent="0.25">
      <c r="C586" s="9" t="s">
        <v>571</v>
      </c>
      <c r="D586" t="s">
        <v>236</v>
      </c>
      <c r="E586" s="10"/>
      <c r="F586" s="6">
        <v>35</v>
      </c>
      <c r="G586" s="6">
        <f t="shared" si="27"/>
        <v>35</v>
      </c>
      <c r="H586" s="24">
        <f>17.5+17.5</f>
        <v>35</v>
      </c>
      <c r="I586" s="6">
        <f t="shared" si="28"/>
        <v>0</v>
      </c>
      <c r="J586" s="7" t="str">
        <f t="shared" si="29"/>
        <v>PAGADO</v>
      </c>
      <c r="M586" s="8"/>
    </row>
    <row r="587" spans="3:13" customFormat="1" x14ac:dyDescent="0.25">
      <c r="C587" s="9" t="s">
        <v>572</v>
      </c>
      <c r="D587" t="s">
        <v>80</v>
      </c>
      <c r="E587" s="10"/>
      <c r="F587" s="26">
        <v>75</v>
      </c>
      <c r="G587" s="26">
        <f t="shared" si="27"/>
        <v>75</v>
      </c>
      <c r="H587" s="27">
        <f>15+60</f>
        <v>75</v>
      </c>
      <c r="I587" s="26">
        <f t="shared" si="28"/>
        <v>0</v>
      </c>
      <c r="J587" s="7" t="str">
        <f t="shared" si="29"/>
        <v>PAGADO</v>
      </c>
      <c r="M587" s="8"/>
    </row>
    <row r="588" spans="3:13" customFormat="1" x14ac:dyDescent="0.25">
      <c r="C588" s="9" t="s">
        <v>573</v>
      </c>
      <c r="D588" s="9" t="s">
        <v>74</v>
      </c>
      <c r="E588" s="10"/>
      <c r="F588" s="6">
        <v>140</v>
      </c>
      <c r="G588" s="6">
        <f t="shared" si="27"/>
        <v>140</v>
      </c>
      <c r="H588" s="6">
        <f>19+100+21</f>
        <v>140</v>
      </c>
      <c r="I588" s="26">
        <f t="shared" si="28"/>
        <v>0</v>
      </c>
      <c r="J588" s="7" t="str">
        <f t="shared" si="29"/>
        <v>PAGADO</v>
      </c>
      <c r="M588" s="8"/>
    </row>
    <row r="589" spans="3:13" customFormat="1" x14ac:dyDescent="0.25">
      <c r="C589" s="9" t="s">
        <v>574</v>
      </c>
      <c r="D589" t="s">
        <v>80</v>
      </c>
      <c r="E589" s="10"/>
      <c r="F589" s="6">
        <v>100</v>
      </c>
      <c r="G589" s="6">
        <f t="shared" si="27"/>
        <v>100</v>
      </c>
      <c r="H589" s="24">
        <f>40+60</f>
        <v>100</v>
      </c>
      <c r="I589" s="6">
        <f t="shared" si="28"/>
        <v>0</v>
      </c>
      <c r="J589" s="7" t="str">
        <f t="shared" si="29"/>
        <v>PAGADO</v>
      </c>
      <c r="M589" s="8"/>
    </row>
    <row r="590" spans="3:13" customFormat="1" x14ac:dyDescent="0.25">
      <c r="C590" s="9" t="s">
        <v>575</v>
      </c>
      <c r="D590" s="9" t="s">
        <v>89</v>
      </c>
      <c r="E590" s="10"/>
      <c r="F590" s="6">
        <v>65</v>
      </c>
      <c r="G590" s="6">
        <f t="shared" si="27"/>
        <v>65</v>
      </c>
      <c r="H590" s="26">
        <f>35+30</f>
        <v>65</v>
      </c>
      <c r="I590" s="6">
        <f t="shared" si="28"/>
        <v>0</v>
      </c>
      <c r="J590" s="7" t="str">
        <f t="shared" si="29"/>
        <v>PAGADO</v>
      </c>
      <c r="L590" t="s">
        <v>570</v>
      </c>
      <c r="M590" s="8"/>
    </row>
    <row r="591" spans="3:13" customFormat="1" x14ac:dyDescent="0.25">
      <c r="C591" s="9" t="s">
        <v>576</v>
      </c>
      <c r="D591" s="9" t="s">
        <v>70</v>
      </c>
      <c r="E591" s="10"/>
      <c r="F591" s="6">
        <v>60</v>
      </c>
      <c r="G591" s="6">
        <f t="shared" si="27"/>
        <v>60</v>
      </c>
      <c r="H591" s="6">
        <v>60</v>
      </c>
      <c r="I591" s="6">
        <f t="shared" si="28"/>
        <v>0</v>
      </c>
      <c r="J591" s="7" t="str">
        <f t="shared" si="29"/>
        <v>PAGADO</v>
      </c>
      <c r="M591" s="8"/>
    </row>
    <row r="592" spans="3:13" customFormat="1" x14ac:dyDescent="0.25">
      <c r="C592" s="9" t="s">
        <v>577</v>
      </c>
      <c r="D592" s="9" t="s">
        <v>488</v>
      </c>
      <c r="E592" s="10"/>
      <c r="F592" s="6">
        <v>55</v>
      </c>
      <c r="G592" s="6">
        <f t="shared" si="27"/>
        <v>55</v>
      </c>
      <c r="H592" s="6">
        <f>27.5+27.5</f>
        <v>55</v>
      </c>
      <c r="I592" s="6">
        <f t="shared" si="28"/>
        <v>0</v>
      </c>
      <c r="J592" s="7" t="str">
        <f t="shared" si="29"/>
        <v>PAGADO</v>
      </c>
      <c r="M592" s="8"/>
    </row>
    <row r="593" spans="3:13" customFormat="1" x14ac:dyDescent="0.25">
      <c r="C593" s="9" t="s">
        <v>303</v>
      </c>
      <c r="D593" s="9" t="s">
        <v>496</v>
      </c>
      <c r="E593" s="10"/>
      <c r="F593" s="6">
        <v>65</v>
      </c>
      <c r="G593" s="6">
        <f t="shared" si="27"/>
        <v>65</v>
      </c>
      <c r="H593" s="6">
        <v>65</v>
      </c>
      <c r="I593" s="6">
        <f t="shared" si="28"/>
        <v>0</v>
      </c>
      <c r="J593" s="7" t="str">
        <f t="shared" si="29"/>
        <v>PAGADO</v>
      </c>
      <c r="M593" s="8"/>
    </row>
    <row r="594" spans="3:13" customFormat="1" x14ac:dyDescent="0.25">
      <c r="C594" s="9" t="s">
        <v>578</v>
      </c>
      <c r="D594" s="9" t="s">
        <v>89</v>
      </c>
      <c r="E594" s="10"/>
      <c r="F594" s="6">
        <v>70</v>
      </c>
      <c r="G594" s="6">
        <f t="shared" si="27"/>
        <v>70</v>
      </c>
      <c r="H594" s="26">
        <f>35+35</f>
        <v>70</v>
      </c>
      <c r="I594" s="6">
        <f t="shared" si="28"/>
        <v>0</v>
      </c>
      <c r="J594" s="7" t="str">
        <f t="shared" si="29"/>
        <v>PAGADO</v>
      </c>
      <c r="L594" t="s">
        <v>570</v>
      </c>
      <c r="M594" s="8"/>
    </row>
    <row r="595" spans="3:13" customFormat="1" x14ac:dyDescent="0.25">
      <c r="C595" s="28" t="s">
        <v>579</v>
      </c>
      <c r="D595" s="28" t="s">
        <v>89</v>
      </c>
      <c r="E595" s="29"/>
      <c r="F595" s="30">
        <v>150</v>
      </c>
      <c r="G595" s="30">
        <f t="shared" si="27"/>
        <v>150</v>
      </c>
      <c r="H595" s="31">
        <f>75+75</f>
        <v>150</v>
      </c>
      <c r="I595" s="30">
        <f t="shared" si="28"/>
        <v>0</v>
      </c>
      <c r="J595" s="32" t="str">
        <f t="shared" si="29"/>
        <v>PAGADO</v>
      </c>
      <c r="K595" s="28"/>
      <c r="M595" s="8"/>
    </row>
    <row r="596" spans="3:13" customFormat="1" x14ac:dyDescent="0.25">
      <c r="C596" s="9" t="s">
        <v>580</v>
      </c>
      <c r="D596" t="s">
        <v>377</v>
      </c>
      <c r="E596" s="10"/>
      <c r="F596" s="6">
        <v>170</v>
      </c>
      <c r="G596" s="6">
        <f t="shared" si="27"/>
        <v>170</v>
      </c>
      <c r="H596" s="24">
        <f>85+85</f>
        <v>170</v>
      </c>
      <c r="I596" s="6">
        <f t="shared" si="28"/>
        <v>0</v>
      </c>
      <c r="J596" s="7" t="str">
        <f t="shared" si="29"/>
        <v>PAGADO</v>
      </c>
      <c r="M596" s="8"/>
    </row>
    <row r="597" spans="3:13" customFormat="1" x14ac:dyDescent="0.25">
      <c r="C597" s="9" t="s">
        <v>551</v>
      </c>
      <c r="D597" s="9" t="s">
        <v>153</v>
      </c>
      <c r="E597" s="10"/>
      <c r="F597" s="6">
        <v>115</v>
      </c>
      <c r="G597" s="6">
        <f t="shared" si="27"/>
        <v>115</v>
      </c>
      <c r="H597" s="6">
        <f>57+58</f>
        <v>115</v>
      </c>
      <c r="I597" s="6">
        <f t="shared" si="28"/>
        <v>0</v>
      </c>
      <c r="J597" s="7" t="str">
        <f t="shared" si="29"/>
        <v>PAGADO</v>
      </c>
      <c r="M597" s="8"/>
    </row>
    <row r="598" spans="3:13" customFormat="1" x14ac:dyDescent="0.25">
      <c r="C598" s="9" t="s">
        <v>581</v>
      </c>
      <c r="D598" s="9" t="s">
        <v>33</v>
      </c>
      <c r="E598" s="10"/>
      <c r="F598" s="6">
        <v>240</v>
      </c>
      <c r="G598" s="6">
        <f t="shared" si="27"/>
        <v>240</v>
      </c>
      <c r="H598" s="11">
        <f>120+120</f>
        <v>240</v>
      </c>
      <c r="I598" s="6">
        <f t="shared" si="28"/>
        <v>0</v>
      </c>
      <c r="J598" s="7" t="str">
        <f t="shared" si="29"/>
        <v>PAGADO</v>
      </c>
      <c r="K598" s="33"/>
      <c r="M598" s="8"/>
    </row>
    <row r="599" spans="3:13" customFormat="1" x14ac:dyDescent="0.25">
      <c r="C599" s="9" t="s">
        <v>582</v>
      </c>
      <c r="D599" s="9" t="s">
        <v>162</v>
      </c>
      <c r="E599" s="10"/>
      <c r="F599" s="6">
        <v>210</v>
      </c>
      <c r="G599" s="6">
        <f t="shared" si="27"/>
        <v>210</v>
      </c>
      <c r="H599" s="6">
        <v>210</v>
      </c>
      <c r="I599" s="6">
        <f t="shared" si="28"/>
        <v>0</v>
      </c>
      <c r="J599" s="7" t="str">
        <f t="shared" si="29"/>
        <v>PAGADO</v>
      </c>
      <c r="M599" s="8"/>
    </row>
    <row r="600" spans="3:13" customFormat="1" x14ac:dyDescent="0.25">
      <c r="C600" s="9" t="s">
        <v>554</v>
      </c>
      <c r="D600" s="9" t="s">
        <v>583</v>
      </c>
      <c r="E600" s="6"/>
      <c r="F600" s="6">
        <v>70</v>
      </c>
      <c r="G600" s="6">
        <f t="shared" si="27"/>
        <v>70</v>
      </c>
      <c r="H600" s="6">
        <v>70</v>
      </c>
      <c r="I600" s="6">
        <f t="shared" si="28"/>
        <v>0</v>
      </c>
      <c r="J600" s="7" t="str">
        <f t="shared" si="29"/>
        <v>PAGADO</v>
      </c>
      <c r="M600" s="8"/>
    </row>
    <row r="601" spans="3:13" customFormat="1" x14ac:dyDescent="0.25">
      <c r="C601" s="9" t="s">
        <v>552</v>
      </c>
      <c r="D601" s="9" t="s">
        <v>583</v>
      </c>
      <c r="E601" s="10"/>
      <c r="F601" s="6">
        <v>70</v>
      </c>
      <c r="G601" s="6">
        <f t="shared" si="27"/>
        <v>70</v>
      </c>
      <c r="H601" s="6">
        <v>70</v>
      </c>
      <c r="I601" s="6">
        <f t="shared" si="28"/>
        <v>0</v>
      </c>
      <c r="J601" s="7" t="str">
        <f t="shared" si="29"/>
        <v>PAGADO</v>
      </c>
      <c r="M601" s="8"/>
    </row>
    <row r="602" spans="3:13" customFormat="1" x14ac:dyDescent="0.25">
      <c r="C602" s="9" t="s">
        <v>584</v>
      </c>
      <c r="D602" s="9" t="s">
        <v>33</v>
      </c>
      <c r="E602" s="10"/>
      <c r="F602" s="6">
        <v>130</v>
      </c>
      <c r="G602" s="6">
        <f t="shared" si="27"/>
        <v>130</v>
      </c>
      <c r="H602" s="11">
        <f>65+65</f>
        <v>130</v>
      </c>
      <c r="I602" s="6">
        <f t="shared" si="28"/>
        <v>0</v>
      </c>
      <c r="J602" s="7" t="str">
        <f t="shared" si="29"/>
        <v>PAGADO</v>
      </c>
      <c r="M602" s="8"/>
    </row>
    <row r="603" spans="3:13" customFormat="1" x14ac:dyDescent="0.25">
      <c r="C603" s="9" t="s">
        <v>585</v>
      </c>
      <c r="D603" s="9" t="s">
        <v>202</v>
      </c>
      <c r="E603" s="10"/>
      <c r="F603" s="6">
        <v>130</v>
      </c>
      <c r="G603" s="6">
        <f t="shared" si="27"/>
        <v>130</v>
      </c>
      <c r="H603" s="6">
        <f>50+35+45</f>
        <v>130</v>
      </c>
      <c r="I603" s="6">
        <f t="shared" si="28"/>
        <v>0</v>
      </c>
      <c r="J603" s="7" t="str">
        <f t="shared" si="29"/>
        <v>PAGADO</v>
      </c>
      <c r="M603" s="8"/>
    </row>
    <row r="604" spans="3:13" customFormat="1" x14ac:dyDescent="0.25">
      <c r="C604" s="33" t="s">
        <v>586</v>
      </c>
      <c r="D604" s="9" t="s">
        <v>74</v>
      </c>
      <c r="E604" s="10"/>
      <c r="F604" s="6">
        <v>200</v>
      </c>
      <c r="G604" s="6">
        <f t="shared" si="27"/>
        <v>200</v>
      </c>
      <c r="H604" s="30">
        <v>200</v>
      </c>
      <c r="I604" s="6">
        <f t="shared" si="28"/>
        <v>0</v>
      </c>
      <c r="J604" s="7" t="str">
        <f t="shared" si="29"/>
        <v>PAGADO</v>
      </c>
      <c r="M604" s="8"/>
    </row>
    <row r="605" spans="3:13" customFormat="1" x14ac:dyDescent="0.25">
      <c r="C605" s="9" t="s">
        <v>587</v>
      </c>
      <c r="D605" s="9" t="s">
        <v>202</v>
      </c>
      <c r="E605" s="10"/>
      <c r="F605" s="6">
        <v>170</v>
      </c>
      <c r="G605" s="6">
        <f t="shared" si="27"/>
        <v>170</v>
      </c>
      <c r="H605" s="6">
        <f>50+120</f>
        <v>170</v>
      </c>
      <c r="I605" s="6">
        <f t="shared" si="28"/>
        <v>0</v>
      </c>
      <c r="J605" s="7" t="str">
        <f t="shared" si="29"/>
        <v>PAGADO</v>
      </c>
      <c r="M605" s="8"/>
    </row>
    <row r="606" spans="3:13" customFormat="1" x14ac:dyDescent="0.25">
      <c r="C606" s="9" t="s">
        <v>588</v>
      </c>
      <c r="D606" s="9" t="s">
        <v>162</v>
      </c>
      <c r="E606" s="10"/>
      <c r="F606" s="6">
        <v>110</v>
      </c>
      <c r="G606" s="6">
        <f t="shared" si="27"/>
        <v>110</v>
      </c>
      <c r="H606" s="6">
        <f>55+55</f>
        <v>110</v>
      </c>
      <c r="I606" s="6">
        <f t="shared" si="28"/>
        <v>0</v>
      </c>
      <c r="J606" s="7" t="str">
        <f t="shared" si="29"/>
        <v>PAGADO</v>
      </c>
      <c r="M606" s="8"/>
    </row>
    <row r="607" spans="3:13" customFormat="1" x14ac:dyDescent="0.25">
      <c r="C607" s="9" t="s">
        <v>589</v>
      </c>
      <c r="D607" s="9" t="s">
        <v>171</v>
      </c>
      <c r="E607" s="10"/>
      <c r="F607" s="6">
        <v>28</v>
      </c>
      <c r="G607" s="6">
        <f t="shared" si="27"/>
        <v>28</v>
      </c>
      <c r="H607" s="6">
        <v>28</v>
      </c>
      <c r="I607" s="6">
        <f t="shared" si="28"/>
        <v>0</v>
      </c>
      <c r="J607" s="7" t="str">
        <f t="shared" si="29"/>
        <v>PAGADO</v>
      </c>
      <c r="M607" s="8"/>
    </row>
    <row r="608" spans="3:13" customFormat="1" x14ac:dyDescent="0.25">
      <c r="C608" s="9" t="s">
        <v>589</v>
      </c>
      <c r="D608" s="9" t="s">
        <v>171</v>
      </c>
      <c r="E608" s="10"/>
      <c r="F608" s="6">
        <v>25</v>
      </c>
      <c r="G608" s="6">
        <f t="shared" si="27"/>
        <v>25</v>
      </c>
      <c r="H608" s="6">
        <v>25</v>
      </c>
      <c r="I608" s="6">
        <f t="shared" si="28"/>
        <v>0</v>
      </c>
      <c r="J608" s="7" t="str">
        <f t="shared" si="29"/>
        <v>PAGADO</v>
      </c>
      <c r="M608" s="8"/>
    </row>
    <row r="609" spans="3:13" customFormat="1" x14ac:dyDescent="0.25">
      <c r="C609" s="9" t="s">
        <v>589</v>
      </c>
      <c r="D609" s="9" t="s">
        <v>171</v>
      </c>
      <c r="E609" s="10"/>
      <c r="F609" s="6">
        <v>24</v>
      </c>
      <c r="G609" s="6">
        <f t="shared" si="27"/>
        <v>24</v>
      </c>
      <c r="H609" s="6">
        <v>24</v>
      </c>
      <c r="I609" s="6">
        <f t="shared" si="28"/>
        <v>0</v>
      </c>
      <c r="J609" s="7" t="str">
        <f t="shared" si="29"/>
        <v>PAGADO</v>
      </c>
      <c r="M609" s="8"/>
    </row>
    <row r="610" spans="3:13" customFormat="1" x14ac:dyDescent="0.25">
      <c r="C610" s="9" t="s">
        <v>590</v>
      </c>
      <c r="D610" s="9" t="s">
        <v>171</v>
      </c>
      <c r="E610" s="10"/>
      <c r="F610" s="6">
        <v>20</v>
      </c>
      <c r="G610" s="6">
        <f t="shared" si="27"/>
        <v>20</v>
      </c>
      <c r="H610" s="6">
        <v>20</v>
      </c>
      <c r="I610" s="6">
        <f t="shared" si="28"/>
        <v>0</v>
      </c>
      <c r="J610" s="7" t="str">
        <f t="shared" si="29"/>
        <v>PAGADO</v>
      </c>
      <c r="M610" s="8"/>
    </row>
    <row r="611" spans="3:13" customFormat="1" x14ac:dyDescent="0.25">
      <c r="C611" s="9" t="s">
        <v>591</v>
      </c>
      <c r="D611" t="s">
        <v>592</v>
      </c>
      <c r="E611" s="10"/>
      <c r="F611" s="6">
        <v>60</v>
      </c>
      <c r="G611" s="6">
        <f t="shared" si="27"/>
        <v>60</v>
      </c>
      <c r="H611" s="6">
        <v>60</v>
      </c>
      <c r="I611" s="6">
        <f t="shared" si="28"/>
        <v>0</v>
      </c>
      <c r="J611" s="7" t="str">
        <f t="shared" si="29"/>
        <v>PAGADO</v>
      </c>
      <c r="M611" s="8"/>
    </row>
    <row r="612" spans="3:13" customFormat="1" x14ac:dyDescent="0.25">
      <c r="C612" s="9" t="s">
        <v>593</v>
      </c>
      <c r="D612" s="9" t="s">
        <v>594</v>
      </c>
      <c r="E612" s="10"/>
      <c r="F612" s="6">
        <v>75</v>
      </c>
      <c r="G612" s="6">
        <f t="shared" si="27"/>
        <v>75</v>
      </c>
      <c r="H612" s="6">
        <f>20+20+35</f>
        <v>75</v>
      </c>
      <c r="I612" s="6">
        <f t="shared" si="28"/>
        <v>0</v>
      </c>
      <c r="J612" s="7" t="str">
        <f t="shared" si="29"/>
        <v>PAGADO</v>
      </c>
      <c r="M612" s="8"/>
    </row>
    <row r="613" spans="3:13" customFormat="1" x14ac:dyDescent="0.25">
      <c r="C613" s="9" t="s">
        <v>595</v>
      </c>
      <c r="D613" s="9" t="s">
        <v>325</v>
      </c>
      <c r="E613" s="10"/>
      <c r="F613" s="6">
        <v>15</v>
      </c>
      <c r="G613" s="6">
        <f t="shared" si="27"/>
        <v>15</v>
      </c>
      <c r="H613" s="6">
        <v>15</v>
      </c>
      <c r="I613" s="6">
        <f t="shared" si="28"/>
        <v>0</v>
      </c>
      <c r="J613" s="7" t="str">
        <f t="shared" si="29"/>
        <v>PAGADO</v>
      </c>
      <c r="M613" s="8"/>
    </row>
    <row r="614" spans="3:13" customFormat="1" x14ac:dyDescent="0.25">
      <c r="C614" s="9" t="s">
        <v>596</v>
      </c>
      <c r="D614" s="9" t="s">
        <v>597</v>
      </c>
      <c r="E614" s="10"/>
      <c r="F614" s="6">
        <v>40</v>
      </c>
      <c r="G614" s="6">
        <f t="shared" si="27"/>
        <v>40</v>
      </c>
      <c r="H614" s="6">
        <v>40</v>
      </c>
      <c r="I614" s="6">
        <f t="shared" si="28"/>
        <v>0</v>
      </c>
      <c r="J614" s="7" t="str">
        <f t="shared" si="29"/>
        <v>PAGADO</v>
      </c>
      <c r="M614" s="8"/>
    </row>
    <row r="615" spans="3:13" customFormat="1" x14ac:dyDescent="0.25">
      <c r="C615" s="9" t="s">
        <v>598</v>
      </c>
      <c r="D615" s="9" t="s">
        <v>597</v>
      </c>
      <c r="E615" s="10"/>
      <c r="F615" s="6">
        <v>25</v>
      </c>
      <c r="G615" s="6">
        <f t="shared" si="27"/>
        <v>25</v>
      </c>
      <c r="H615" s="6">
        <v>25</v>
      </c>
      <c r="I615" s="6">
        <f t="shared" si="28"/>
        <v>0</v>
      </c>
      <c r="J615" s="7" t="str">
        <f t="shared" si="29"/>
        <v>PAGADO</v>
      </c>
      <c r="M615" s="8"/>
    </row>
    <row r="616" spans="3:13" customFormat="1" x14ac:dyDescent="0.25">
      <c r="C616" s="9" t="s">
        <v>599</v>
      </c>
      <c r="D616" s="9" t="s">
        <v>597</v>
      </c>
      <c r="E616" s="10"/>
      <c r="F616" s="6">
        <v>15</v>
      </c>
      <c r="G616" s="6">
        <f t="shared" si="27"/>
        <v>15</v>
      </c>
      <c r="H616" s="6">
        <v>15</v>
      </c>
      <c r="I616" s="6">
        <f t="shared" si="28"/>
        <v>0</v>
      </c>
      <c r="J616" s="7" t="str">
        <f t="shared" si="29"/>
        <v>PAGADO</v>
      </c>
      <c r="M616" s="8"/>
    </row>
    <row r="617" spans="3:13" customFormat="1" x14ac:dyDescent="0.25">
      <c r="C617" s="9" t="s">
        <v>600</v>
      </c>
      <c r="D617" s="9" t="s">
        <v>597</v>
      </c>
      <c r="E617" s="10"/>
      <c r="F617" s="6">
        <v>15</v>
      </c>
      <c r="G617" s="6">
        <f t="shared" si="27"/>
        <v>15</v>
      </c>
      <c r="H617" s="6">
        <v>15</v>
      </c>
      <c r="I617" s="6">
        <f t="shared" si="28"/>
        <v>0</v>
      </c>
      <c r="J617" s="7" t="str">
        <f t="shared" si="29"/>
        <v>PAGADO</v>
      </c>
      <c r="M617" s="8"/>
    </row>
    <row r="618" spans="3:13" customFormat="1" x14ac:dyDescent="0.25">
      <c r="C618" s="9" t="s">
        <v>601</v>
      </c>
      <c r="D618" s="9" t="s">
        <v>602</v>
      </c>
      <c r="E618" s="10"/>
      <c r="F618" s="6">
        <v>20</v>
      </c>
      <c r="G618" s="6">
        <f t="shared" si="27"/>
        <v>20</v>
      </c>
      <c r="H618" s="6">
        <v>20</v>
      </c>
      <c r="I618" s="6">
        <f t="shared" si="28"/>
        <v>0</v>
      </c>
      <c r="J618" s="7" t="str">
        <f t="shared" si="29"/>
        <v>PAGADO</v>
      </c>
      <c r="M618" s="8"/>
    </row>
    <row r="619" spans="3:13" customFormat="1" x14ac:dyDescent="0.25">
      <c r="C619" s="9" t="s">
        <v>603</v>
      </c>
      <c r="D619" s="9" t="s">
        <v>171</v>
      </c>
      <c r="E619" s="10"/>
      <c r="F619" s="6">
        <v>15</v>
      </c>
      <c r="G619" s="6">
        <f t="shared" si="27"/>
        <v>15</v>
      </c>
      <c r="H619" s="6">
        <v>15</v>
      </c>
      <c r="I619" s="6">
        <f t="shared" si="28"/>
        <v>0</v>
      </c>
      <c r="J619" s="7" t="str">
        <f t="shared" si="29"/>
        <v>PAGADO</v>
      </c>
      <c r="M619" s="8"/>
    </row>
    <row r="620" spans="3:13" customFormat="1" x14ac:dyDescent="0.25">
      <c r="C620" s="9" t="s">
        <v>604</v>
      </c>
      <c r="D620" s="9" t="s">
        <v>605</v>
      </c>
      <c r="E620" s="10"/>
      <c r="F620" s="6">
        <v>75</v>
      </c>
      <c r="G620" s="6">
        <f t="shared" si="27"/>
        <v>75</v>
      </c>
      <c r="H620" s="6">
        <v>75</v>
      </c>
      <c r="I620" s="6">
        <f t="shared" si="28"/>
        <v>0</v>
      </c>
      <c r="J620" s="7" t="str">
        <f t="shared" si="29"/>
        <v>PAGADO</v>
      </c>
      <c r="M620" s="8"/>
    </row>
    <row r="621" spans="3:13" customFormat="1" x14ac:dyDescent="0.25">
      <c r="C621" s="9" t="s">
        <v>606</v>
      </c>
      <c r="D621" s="9" t="s">
        <v>607</v>
      </c>
      <c r="E621" s="10"/>
      <c r="F621" s="6">
        <v>60</v>
      </c>
      <c r="G621" s="6">
        <f t="shared" si="27"/>
        <v>60</v>
      </c>
      <c r="H621" s="6">
        <v>60</v>
      </c>
      <c r="I621" s="6">
        <f t="shared" si="28"/>
        <v>0</v>
      </c>
      <c r="J621" s="7" t="str">
        <f t="shared" si="29"/>
        <v>PAGADO</v>
      </c>
      <c r="M621" s="8"/>
    </row>
    <row r="622" spans="3:13" customFormat="1" x14ac:dyDescent="0.25">
      <c r="C622" s="9" t="s">
        <v>608</v>
      </c>
      <c r="D622" s="9" t="s">
        <v>609</v>
      </c>
      <c r="E622" s="10"/>
      <c r="F622" s="6">
        <v>80</v>
      </c>
      <c r="G622" s="6">
        <f t="shared" si="27"/>
        <v>80</v>
      </c>
      <c r="H622" s="6">
        <v>80</v>
      </c>
      <c r="I622" s="6">
        <f t="shared" si="28"/>
        <v>0</v>
      </c>
      <c r="J622" s="7" t="str">
        <f t="shared" si="29"/>
        <v>PAGADO</v>
      </c>
      <c r="M622" s="8"/>
    </row>
    <row r="623" spans="3:13" customFormat="1" x14ac:dyDescent="0.25">
      <c r="C623" s="9" t="s">
        <v>610</v>
      </c>
      <c r="D623" s="9" t="s">
        <v>236</v>
      </c>
      <c r="E623" s="10"/>
      <c r="F623" s="6">
        <v>100</v>
      </c>
      <c r="G623" s="6">
        <f t="shared" si="27"/>
        <v>100</v>
      </c>
      <c r="H623" s="6">
        <f>50+50</f>
        <v>100</v>
      </c>
      <c r="I623" s="6">
        <f t="shared" si="28"/>
        <v>0</v>
      </c>
      <c r="J623" s="7" t="str">
        <f t="shared" si="29"/>
        <v>PAGADO</v>
      </c>
      <c r="M623" s="8"/>
    </row>
    <row r="624" spans="3:13" customFormat="1" x14ac:dyDescent="0.25">
      <c r="C624" s="9" t="s">
        <v>611</v>
      </c>
      <c r="D624" t="s">
        <v>127</v>
      </c>
      <c r="E624" s="10"/>
      <c r="F624" s="6">
        <v>27</v>
      </c>
      <c r="G624" s="6">
        <f t="shared" si="27"/>
        <v>27</v>
      </c>
      <c r="H624" s="6">
        <v>27</v>
      </c>
      <c r="I624" s="6">
        <f t="shared" si="28"/>
        <v>0</v>
      </c>
      <c r="J624" s="7" t="str">
        <f t="shared" si="29"/>
        <v>PAGADO</v>
      </c>
      <c r="M624" s="8"/>
    </row>
    <row r="625" spans="3:13" customFormat="1" x14ac:dyDescent="0.25">
      <c r="C625" s="9" t="s">
        <v>612</v>
      </c>
      <c r="D625" t="s">
        <v>45</v>
      </c>
      <c r="E625" s="10"/>
      <c r="F625" s="6">
        <v>80</v>
      </c>
      <c r="G625" s="6">
        <f t="shared" si="27"/>
        <v>80</v>
      </c>
      <c r="H625" s="6">
        <v>80</v>
      </c>
      <c r="I625" s="6">
        <f t="shared" si="28"/>
        <v>0</v>
      </c>
      <c r="J625" s="7" t="str">
        <f t="shared" si="29"/>
        <v>PAGADO</v>
      </c>
      <c r="M625" s="8"/>
    </row>
    <row r="626" spans="3:13" customFormat="1" x14ac:dyDescent="0.25">
      <c r="C626" s="9" t="s">
        <v>613</v>
      </c>
      <c r="D626" t="s">
        <v>614</v>
      </c>
      <c r="E626" s="10"/>
      <c r="F626" s="6">
        <v>70</v>
      </c>
      <c r="G626" s="6">
        <f t="shared" si="27"/>
        <v>70</v>
      </c>
      <c r="H626" s="6">
        <f>20+50</f>
        <v>70</v>
      </c>
      <c r="I626" s="6">
        <f t="shared" si="28"/>
        <v>0</v>
      </c>
      <c r="J626" s="7" t="str">
        <f t="shared" si="29"/>
        <v>PAGADO</v>
      </c>
      <c r="M626" s="8"/>
    </row>
    <row r="627" spans="3:13" customFormat="1" x14ac:dyDescent="0.25">
      <c r="C627" s="9" t="s">
        <v>615</v>
      </c>
      <c r="D627" t="s">
        <v>67</v>
      </c>
      <c r="E627" s="10"/>
      <c r="F627" s="6">
        <v>85</v>
      </c>
      <c r="G627" s="6">
        <f t="shared" si="27"/>
        <v>85</v>
      </c>
      <c r="H627" s="30">
        <f>45+40</f>
        <v>85</v>
      </c>
      <c r="I627" s="6">
        <f t="shared" si="28"/>
        <v>0</v>
      </c>
      <c r="J627" s="7" t="str">
        <f t="shared" si="29"/>
        <v>PAGADO</v>
      </c>
      <c r="M627" s="8"/>
    </row>
    <row r="628" spans="3:13" customFormat="1" x14ac:dyDescent="0.25">
      <c r="C628" t="s">
        <v>616</v>
      </c>
      <c r="D628" t="s">
        <v>67</v>
      </c>
      <c r="E628" s="10"/>
      <c r="F628" s="6">
        <v>70</v>
      </c>
      <c r="G628" s="6">
        <f t="shared" si="27"/>
        <v>70</v>
      </c>
      <c r="H628" s="30">
        <f>35+35</f>
        <v>70</v>
      </c>
      <c r="I628" s="6">
        <f t="shared" si="28"/>
        <v>0</v>
      </c>
      <c r="J628" s="7" t="str">
        <f t="shared" si="29"/>
        <v>PAGADO</v>
      </c>
      <c r="M628" s="8"/>
    </row>
    <row r="629" spans="3:13" customFormat="1" x14ac:dyDescent="0.25">
      <c r="C629" s="9" t="s">
        <v>617</v>
      </c>
      <c r="D629" s="9" t="s">
        <v>511</v>
      </c>
      <c r="E629" s="10"/>
      <c r="F629" s="6">
        <v>65</v>
      </c>
      <c r="G629" s="6">
        <f t="shared" si="27"/>
        <v>65</v>
      </c>
      <c r="H629" s="6">
        <f>20+45</f>
        <v>65</v>
      </c>
      <c r="I629" s="6">
        <f t="shared" si="28"/>
        <v>0</v>
      </c>
      <c r="J629" s="7" t="str">
        <f t="shared" si="29"/>
        <v>PAGADO</v>
      </c>
      <c r="M629" s="8"/>
    </row>
    <row r="630" spans="3:13" customFormat="1" x14ac:dyDescent="0.25">
      <c r="C630" s="9" t="s">
        <v>618</v>
      </c>
      <c r="D630" s="9" t="s">
        <v>39</v>
      </c>
      <c r="E630" s="10"/>
      <c r="F630" s="6">
        <v>55</v>
      </c>
      <c r="G630" s="6">
        <f t="shared" si="27"/>
        <v>55</v>
      </c>
      <c r="H630" s="6">
        <f>20+35</f>
        <v>55</v>
      </c>
      <c r="I630" s="6">
        <f t="shared" si="28"/>
        <v>0</v>
      </c>
      <c r="J630" s="7" t="str">
        <f t="shared" si="29"/>
        <v>PAGADO</v>
      </c>
      <c r="K630" s="9"/>
      <c r="M630" s="8"/>
    </row>
    <row r="631" spans="3:13" customFormat="1" x14ac:dyDescent="0.25">
      <c r="C631" s="9" t="s">
        <v>619</v>
      </c>
      <c r="D631" s="9" t="s">
        <v>89</v>
      </c>
      <c r="E631" s="10"/>
      <c r="F631" s="6">
        <v>70</v>
      </c>
      <c r="G631" s="6">
        <f t="shared" si="27"/>
        <v>70</v>
      </c>
      <c r="H631" s="26">
        <f>35+35</f>
        <v>70</v>
      </c>
      <c r="I631" s="6">
        <f t="shared" si="28"/>
        <v>0</v>
      </c>
      <c r="J631" s="7" t="str">
        <f t="shared" si="29"/>
        <v>PAGADO</v>
      </c>
      <c r="K631" s="9"/>
      <c r="M631" s="8"/>
    </row>
    <row r="632" spans="3:13" customFormat="1" x14ac:dyDescent="0.25">
      <c r="C632" s="9" t="s">
        <v>620</v>
      </c>
      <c r="D632" s="9" t="s">
        <v>89</v>
      </c>
      <c r="E632" s="10"/>
      <c r="F632" s="6">
        <v>70</v>
      </c>
      <c r="G632" s="6">
        <f t="shared" si="27"/>
        <v>70</v>
      </c>
      <c r="H632" s="26">
        <f>35+35</f>
        <v>70</v>
      </c>
      <c r="I632" s="6">
        <f t="shared" si="28"/>
        <v>0</v>
      </c>
      <c r="J632" s="7" t="str">
        <f t="shared" si="29"/>
        <v>PAGADO</v>
      </c>
      <c r="K632" s="9"/>
      <c r="M632" s="8"/>
    </row>
    <row r="633" spans="3:13" customFormat="1" x14ac:dyDescent="0.25">
      <c r="C633" s="9" t="s">
        <v>621</v>
      </c>
      <c r="D633" s="9" t="s">
        <v>89</v>
      </c>
      <c r="E633" s="10"/>
      <c r="F633" s="6">
        <v>70</v>
      </c>
      <c r="G633" s="6">
        <f t="shared" si="27"/>
        <v>70</v>
      </c>
      <c r="H633" s="26">
        <f>35+35</f>
        <v>70</v>
      </c>
      <c r="I633" s="6">
        <f t="shared" si="28"/>
        <v>0</v>
      </c>
      <c r="J633" s="7" t="str">
        <f t="shared" si="29"/>
        <v>PAGADO</v>
      </c>
      <c r="K633" s="9"/>
      <c r="M633" s="8"/>
    </row>
    <row r="634" spans="3:13" customFormat="1" x14ac:dyDescent="0.25">
      <c r="C634" s="9" t="s">
        <v>622</v>
      </c>
      <c r="D634" s="9" t="s">
        <v>74</v>
      </c>
      <c r="E634" s="10"/>
      <c r="F634" s="12">
        <v>-40</v>
      </c>
      <c r="G634" s="12">
        <f t="shared" si="27"/>
        <v>-40</v>
      </c>
      <c r="H634" s="12">
        <v>-40</v>
      </c>
      <c r="I634" s="30">
        <v>-40</v>
      </c>
      <c r="J634" s="34" t="s">
        <v>623</v>
      </c>
      <c r="K634" s="9" t="s">
        <v>236</v>
      </c>
      <c r="M634" s="8"/>
    </row>
    <row r="635" spans="3:13" customFormat="1" x14ac:dyDescent="0.25">
      <c r="C635" s="9" t="s">
        <v>624</v>
      </c>
      <c r="D635" s="9" t="s">
        <v>74</v>
      </c>
      <c r="E635" s="10"/>
      <c r="F635" s="12">
        <v>-60</v>
      </c>
      <c r="G635" s="12">
        <f t="shared" si="27"/>
        <v>-60</v>
      </c>
      <c r="H635" s="12">
        <v>-60</v>
      </c>
      <c r="I635" s="30">
        <v>-60</v>
      </c>
      <c r="J635" s="34" t="s">
        <v>623</v>
      </c>
      <c r="K635" s="9" t="s">
        <v>625</v>
      </c>
      <c r="M635" s="8"/>
    </row>
    <row r="636" spans="3:13" customFormat="1" x14ac:dyDescent="0.25">
      <c r="C636" s="9" t="s">
        <v>626</v>
      </c>
      <c r="D636" s="9" t="s">
        <v>74</v>
      </c>
      <c r="E636" s="10"/>
      <c r="F636" s="12">
        <v>-40</v>
      </c>
      <c r="G636" s="12">
        <f t="shared" si="27"/>
        <v>-40</v>
      </c>
      <c r="H636" s="12">
        <v>-40</v>
      </c>
      <c r="I636" s="30">
        <v>-40</v>
      </c>
      <c r="J636" s="34" t="s">
        <v>623</v>
      </c>
      <c r="K636" s="9" t="s">
        <v>627</v>
      </c>
      <c r="M636" s="8"/>
    </row>
    <row r="637" spans="3:13" customFormat="1" x14ac:dyDescent="0.25">
      <c r="C637" s="9" t="s">
        <v>628</v>
      </c>
      <c r="D637" s="9" t="s">
        <v>74</v>
      </c>
      <c r="E637" s="10"/>
      <c r="F637" s="12">
        <v>-45</v>
      </c>
      <c r="G637" s="12">
        <f t="shared" si="27"/>
        <v>-45</v>
      </c>
      <c r="H637" s="12">
        <v>-45</v>
      </c>
      <c r="I637" s="30">
        <v>-45</v>
      </c>
      <c r="J637" s="34" t="s">
        <v>623</v>
      </c>
      <c r="K637" s="9" t="s">
        <v>625</v>
      </c>
      <c r="M637" s="8"/>
    </row>
    <row r="638" spans="3:13" customFormat="1" x14ac:dyDescent="0.25">
      <c r="C638" s="9" t="s">
        <v>629</v>
      </c>
      <c r="D638" s="9" t="s">
        <v>70</v>
      </c>
      <c r="E638" s="10"/>
      <c r="F638" s="6">
        <v>60</v>
      </c>
      <c r="G638" s="6">
        <f t="shared" si="27"/>
        <v>60</v>
      </c>
      <c r="H638" s="6">
        <v>60</v>
      </c>
      <c r="I638" s="6">
        <f t="shared" ref="I638:I701" si="30">F638-H638</f>
        <v>0</v>
      </c>
      <c r="J638" s="7" t="str">
        <f t="shared" ref="J638:J701" si="31">IF(I638&gt;0,"DEBE","PAGADO")</f>
        <v>PAGADO</v>
      </c>
      <c r="M638" s="8"/>
    </row>
    <row r="639" spans="3:13" customFormat="1" x14ac:dyDescent="0.25">
      <c r="C639" s="9" t="s">
        <v>589</v>
      </c>
      <c r="D639" s="9" t="s">
        <v>171</v>
      </c>
      <c r="E639" s="10"/>
      <c r="F639" s="6">
        <v>28</v>
      </c>
      <c r="G639" s="6">
        <f t="shared" si="27"/>
        <v>28</v>
      </c>
      <c r="H639" s="6">
        <v>28</v>
      </c>
      <c r="I639" s="6">
        <f t="shared" si="30"/>
        <v>0</v>
      </c>
      <c r="J639" s="7" t="str">
        <f t="shared" si="31"/>
        <v>PAGADO</v>
      </c>
      <c r="M639" s="8"/>
    </row>
    <row r="640" spans="3:13" customFormat="1" x14ac:dyDescent="0.25">
      <c r="C640" s="9" t="s">
        <v>589</v>
      </c>
      <c r="D640" s="9" t="s">
        <v>171</v>
      </c>
      <c r="E640" s="10"/>
      <c r="F640" s="6">
        <v>18</v>
      </c>
      <c r="G640" s="6">
        <f t="shared" si="27"/>
        <v>18</v>
      </c>
      <c r="H640" s="6">
        <v>18</v>
      </c>
      <c r="I640" s="6">
        <f t="shared" si="30"/>
        <v>0</v>
      </c>
      <c r="J640" s="7" t="str">
        <f t="shared" si="31"/>
        <v>PAGADO</v>
      </c>
      <c r="M640" s="8"/>
    </row>
    <row r="641" spans="3:13" customFormat="1" x14ac:dyDescent="0.25">
      <c r="C641" s="9" t="s">
        <v>630</v>
      </c>
      <c r="D641" t="s">
        <v>127</v>
      </c>
      <c r="E641" s="10"/>
      <c r="F641" s="6">
        <v>10</v>
      </c>
      <c r="G641" s="6">
        <f t="shared" si="27"/>
        <v>10</v>
      </c>
      <c r="H641" s="6">
        <v>10</v>
      </c>
      <c r="I641" s="6">
        <f t="shared" si="30"/>
        <v>0</v>
      </c>
      <c r="J641" s="7" t="str">
        <f t="shared" si="31"/>
        <v>PAGADO</v>
      </c>
      <c r="M641" s="8"/>
    </row>
    <row r="642" spans="3:13" customFormat="1" x14ac:dyDescent="0.25">
      <c r="C642" s="9" t="s">
        <v>631</v>
      </c>
      <c r="D642" t="s">
        <v>632</v>
      </c>
      <c r="E642" s="10"/>
      <c r="F642" s="6">
        <v>110</v>
      </c>
      <c r="G642" s="6">
        <f t="shared" ref="G642:G705" si="32">F642-E642</f>
        <v>110</v>
      </c>
      <c r="H642" s="6">
        <f>55+55</f>
        <v>110</v>
      </c>
      <c r="I642" s="6">
        <f t="shared" si="30"/>
        <v>0</v>
      </c>
      <c r="J642" s="7" t="str">
        <f t="shared" si="31"/>
        <v>PAGADO</v>
      </c>
      <c r="M642" s="8"/>
    </row>
    <row r="643" spans="3:13" customFormat="1" x14ac:dyDescent="0.25">
      <c r="C643" s="9" t="s">
        <v>633</v>
      </c>
      <c r="D643" t="s">
        <v>377</v>
      </c>
      <c r="E643" s="10"/>
      <c r="F643" s="6">
        <v>70</v>
      </c>
      <c r="G643" s="6">
        <f t="shared" si="32"/>
        <v>70</v>
      </c>
      <c r="H643" s="24">
        <v>70</v>
      </c>
      <c r="I643" s="6">
        <f t="shared" si="30"/>
        <v>0</v>
      </c>
      <c r="J643" s="7" t="str">
        <f t="shared" si="31"/>
        <v>PAGADO</v>
      </c>
      <c r="L643" t="s">
        <v>634</v>
      </c>
      <c r="M643" s="8"/>
    </row>
    <row r="644" spans="3:13" customFormat="1" x14ac:dyDescent="0.25">
      <c r="C644" s="9" t="s">
        <v>635</v>
      </c>
      <c r="D644" t="s">
        <v>236</v>
      </c>
      <c r="E644" s="10"/>
      <c r="F644" s="6">
        <v>9</v>
      </c>
      <c r="G644" s="6">
        <f t="shared" si="32"/>
        <v>9</v>
      </c>
      <c r="H644" s="6">
        <v>9</v>
      </c>
      <c r="I644" s="6">
        <f t="shared" si="30"/>
        <v>0</v>
      </c>
      <c r="J644" s="7" t="str">
        <f t="shared" si="31"/>
        <v>PAGADO</v>
      </c>
      <c r="M644" s="8"/>
    </row>
    <row r="645" spans="3:13" customFormat="1" x14ac:dyDescent="0.25">
      <c r="C645" s="9" t="s">
        <v>636</v>
      </c>
      <c r="D645" t="s">
        <v>236</v>
      </c>
      <c r="E645" s="10"/>
      <c r="F645" s="6">
        <v>8</v>
      </c>
      <c r="G645" s="6">
        <f t="shared" si="32"/>
        <v>8</v>
      </c>
      <c r="H645" s="6">
        <v>8</v>
      </c>
      <c r="I645" s="6">
        <f t="shared" si="30"/>
        <v>0</v>
      </c>
      <c r="J645" s="7" t="str">
        <f t="shared" si="31"/>
        <v>PAGADO</v>
      </c>
      <c r="M645" s="8"/>
    </row>
    <row r="646" spans="3:13" customFormat="1" x14ac:dyDescent="0.25">
      <c r="C646" s="9" t="s">
        <v>547</v>
      </c>
      <c r="D646" t="s">
        <v>236</v>
      </c>
      <c r="E646" s="10"/>
      <c r="F646" s="6">
        <v>75</v>
      </c>
      <c r="G646" s="6">
        <f t="shared" si="32"/>
        <v>75</v>
      </c>
      <c r="H646" s="6">
        <v>75</v>
      </c>
      <c r="I646" s="6">
        <f t="shared" si="30"/>
        <v>0</v>
      </c>
      <c r="J646" s="7" t="str">
        <f t="shared" si="31"/>
        <v>PAGADO</v>
      </c>
      <c r="M646" s="8"/>
    </row>
    <row r="647" spans="3:13" customFormat="1" x14ac:dyDescent="0.25">
      <c r="C647" s="9" t="s">
        <v>637</v>
      </c>
      <c r="D647" t="s">
        <v>377</v>
      </c>
      <c r="E647" s="10"/>
      <c r="F647" s="6">
        <v>70</v>
      </c>
      <c r="G647" s="6">
        <f t="shared" si="32"/>
        <v>70</v>
      </c>
      <c r="H647" s="30">
        <v>70</v>
      </c>
      <c r="I647" s="6">
        <f t="shared" si="30"/>
        <v>0</v>
      </c>
      <c r="J647" s="7" t="str">
        <f t="shared" si="31"/>
        <v>PAGADO</v>
      </c>
      <c r="M647" s="8"/>
    </row>
    <row r="648" spans="3:13" customFormat="1" x14ac:dyDescent="0.25">
      <c r="C648" s="9" t="s">
        <v>556</v>
      </c>
      <c r="D648" t="s">
        <v>377</v>
      </c>
      <c r="E648" s="10"/>
      <c r="F648" s="6">
        <v>70</v>
      </c>
      <c r="G648" s="6">
        <f t="shared" si="32"/>
        <v>70</v>
      </c>
      <c r="H648" s="30">
        <v>70</v>
      </c>
      <c r="I648" s="6">
        <f t="shared" si="30"/>
        <v>0</v>
      </c>
      <c r="J648" s="7" t="str">
        <f t="shared" si="31"/>
        <v>PAGADO</v>
      </c>
      <c r="M648" s="8"/>
    </row>
    <row r="649" spans="3:13" customFormat="1" x14ac:dyDescent="0.25">
      <c r="C649" s="9" t="s">
        <v>456</v>
      </c>
      <c r="D649" t="s">
        <v>18</v>
      </c>
      <c r="E649" s="10"/>
      <c r="F649" s="6">
        <v>6</v>
      </c>
      <c r="G649" s="6">
        <f t="shared" si="32"/>
        <v>6</v>
      </c>
      <c r="H649" s="6">
        <v>6</v>
      </c>
      <c r="I649" s="6">
        <f t="shared" si="30"/>
        <v>0</v>
      </c>
      <c r="J649" s="7" t="str">
        <f t="shared" si="31"/>
        <v>PAGADO</v>
      </c>
      <c r="M649" s="8"/>
    </row>
    <row r="650" spans="3:13" customFormat="1" x14ac:dyDescent="0.25">
      <c r="C650" s="9" t="s">
        <v>456</v>
      </c>
      <c r="D650" s="9" t="s">
        <v>508</v>
      </c>
      <c r="E650" s="10"/>
      <c r="F650" s="6">
        <v>8</v>
      </c>
      <c r="G650" s="6">
        <f t="shared" si="32"/>
        <v>8</v>
      </c>
      <c r="H650" s="6">
        <v>8</v>
      </c>
      <c r="I650" s="6">
        <f t="shared" si="30"/>
        <v>0</v>
      </c>
      <c r="J650" s="7" t="str">
        <f t="shared" si="31"/>
        <v>PAGADO</v>
      </c>
      <c r="M650" s="8"/>
    </row>
    <row r="651" spans="3:13" customFormat="1" x14ac:dyDescent="0.25">
      <c r="C651" s="9" t="s">
        <v>116</v>
      </c>
      <c r="D651" s="9" t="s">
        <v>171</v>
      </c>
      <c r="E651" s="10"/>
      <c r="F651" s="6">
        <v>9</v>
      </c>
      <c r="G651" s="6">
        <f t="shared" si="32"/>
        <v>9</v>
      </c>
      <c r="H651" s="6">
        <v>9</v>
      </c>
      <c r="I651" s="6">
        <f t="shared" si="30"/>
        <v>0</v>
      </c>
      <c r="J651" s="7" t="str">
        <f t="shared" si="31"/>
        <v>PAGADO</v>
      </c>
      <c r="M651" s="8"/>
    </row>
    <row r="652" spans="3:13" customFormat="1" x14ac:dyDescent="0.25">
      <c r="C652" s="9" t="s">
        <v>116</v>
      </c>
      <c r="D652" s="9" t="s">
        <v>171</v>
      </c>
      <c r="E652" s="10"/>
      <c r="F652" s="6">
        <v>6</v>
      </c>
      <c r="G652" s="6">
        <f t="shared" si="32"/>
        <v>6</v>
      </c>
      <c r="H652" s="6">
        <v>6</v>
      </c>
      <c r="I652" s="6">
        <f t="shared" si="30"/>
        <v>0</v>
      </c>
      <c r="J652" s="7" t="str">
        <f t="shared" si="31"/>
        <v>PAGADO</v>
      </c>
      <c r="M652" s="8"/>
    </row>
    <row r="653" spans="3:13" customFormat="1" x14ac:dyDescent="0.25">
      <c r="C653" s="9" t="s">
        <v>638</v>
      </c>
      <c r="D653" s="9" t="s">
        <v>171</v>
      </c>
      <c r="E653" s="10"/>
      <c r="F653" s="6">
        <v>10</v>
      </c>
      <c r="G653" s="6">
        <f t="shared" si="32"/>
        <v>10</v>
      </c>
      <c r="H653" s="6">
        <v>10</v>
      </c>
      <c r="I653" s="6">
        <f t="shared" si="30"/>
        <v>0</v>
      </c>
      <c r="J653" s="7" t="str">
        <f t="shared" si="31"/>
        <v>PAGADO</v>
      </c>
      <c r="M653" s="8"/>
    </row>
    <row r="654" spans="3:13" customFormat="1" x14ac:dyDescent="0.25">
      <c r="C654" s="9" t="s">
        <v>639</v>
      </c>
      <c r="D654" s="9" t="s">
        <v>171</v>
      </c>
      <c r="E654" s="10"/>
      <c r="F654" s="6">
        <v>9</v>
      </c>
      <c r="G654" s="6">
        <f t="shared" si="32"/>
        <v>9</v>
      </c>
      <c r="H654" s="6">
        <v>9</v>
      </c>
      <c r="I654" s="6">
        <f t="shared" si="30"/>
        <v>0</v>
      </c>
      <c r="J654" s="7" t="str">
        <f t="shared" si="31"/>
        <v>PAGADO</v>
      </c>
      <c r="M654" s="8"/>
    </row>
    <row r="655" spans="3:13" customFormat="1" x14ac:dyDescent="0.25">
      <c r="C655" s="9" t="s">
        <v>640</v>
      </c>
      <c r="D655" s="9" t="s">
        <v>171</v>
      </c>
      <c r="E655" s="10"/>
      <c r="F655" s="6">
        <v>8</v>
      </c>
      <c r="G655" s="6">
        <f t="shared" si="32"/>
        <v>8</v>
      </c>
      <c r="H655" s="6">
        <v>8</v>
      </c>
      <c r="I655" s="6">
        <f t="shared" si="30"/>
        <v>0</v>
      </c>
      <c r="J655" s="7" t="str">
        <f t="shared" si="31"/>
        <v>PAGADO</v>
      </c>
      <c r="M655" s="8"/>
    </row>
    <row r="656" spans="3:13" customFormat="1" x14ac:dyDescent="0.25">
      <c r="C656" s="9" t="s">
        <v>641</v>
      </c>
      <c r="D656" s="9" t="s">
        <v>171</v>
      </c>
      <c r="E656" s="10"/>
      <c r="F656" s="6">
        <v>7</v>
      </c>
      <c r="G656" s="6">
        <f t="shared" si="32"/>
        <v>7</v>
      </c>
      <c r="H656" s="6">
        <v>7</v>
      </c>
      <c r="I656" s="6">
        <f t="shared" si="30"/>
        <v>0</v>
      </c>
      <c r="J656" s="7" t="str">
        <f t="shared" si="31"/>
        <v>PAGADO</v>
      </c>
      <c r="M656" s="8"/>
    </row>
    <row r="657" spans="3:13" customFormat="1" x14ac:dyDescent="0.25">
      <c r="C657" s="9" t="s">
        <v>642</v>
      </c>
      <c r="D657" s="9" t="s">
        <v>171</v>
      </c>
      <c r="E657" s="10"/>
      <c r="F657" s="6">
        <v>7</v>
      </c>
      <c r="G657" s="6">
        <f t="shared" si="32"/>
        <v>7</v>
      </c>
      <c r="H657" s="6">
        <v>7</v>
      </c>
      <c r="I657" s="6">
        <f t="shared" si="30"/>
        <v>0</v>
      </c>
      <c r="J657" s="7" t="str">
        <f t="shared" si="31"/>
        <v>PAGADO</v>
      </c>
      <c r="M657" s="8"/>
    </row>
    <row r="658" spans="3:13" customFormat="1" x14ac:dyDescent="0.25">
      <c r="C658" s="9" t="s">
        <v>643</v>
      </c>
      <c r="D658" t="s">
        <v>18</v>
      </c>
      <c r="E658" s="10"/>
      <c r="F658" s="6">
        <v>6</v>
      </c>
      <c r="G658" s="6">
        <f t="shared" si="32"/>
        <v>6</v>
      </c>
      <c r="H658" s="6">
        <v>6</v>
      </c>
      <c r="I658" s="6">
        <f t="shared" si="30"/>
        <v>0</v>
      </c>
      <c r="J658" s="7" t="str">
        <f t="shared" si="31"/>
        <v>PAGADO</v>
      </c>
      <c r="M658" s="8"/>
    </row>
    <row r="659" spans="3:13" customFormat="1" x14ac:dyDescent="0.25">
      <c r="C659" s="9" t="s">
        <v>644</v>
      </c>
      <c r="D659" t="s">
        <v>18</v>
      </c>
      <c r="E659" s="10"/>
      <c r="F659" s="6">
        <v>7</v>
      </c>
      <c r="G659" s="6">
        <f t="shared" si="32"/>
        <v>7</v>
      </c>
      <c r="H659" s="6">
        <v>7</v>
      </c>
      <c r="I659" s="6">
        <f t="shared" si="30"/>
        <v>0</v>
      </c>
      <c r="J659" s="7" t="str">
        <f t="shared" si="31"/>
        <v>PAGADO</v>
      </c>
      <c r="M659" s="8"/>
    </row>
    <row r="660" spans="3:13" customFormat="1" x14ac:dyDescent="0.25">
      <c r="C660" s="9" t="s">
        <v>645</v>
      </c>
      <c r="D660" t="s">
        <v>18</v>
      </c>
      <c r="E660" s="10"/>
      <c r="F660" s="6">
        <v>8</v>
      </c>
      <c r="G660" s="6">
        <f t="shared" si="32"/>
        <v>8</v>
      </c>
      <c r="H660" s="6">
        <v>8</v>
      </c>
      <c r="I660" s="6">
        <f t="shared" si="30"/>
        <v>0</v>
      </c>
      <c r="J660" s="7" t="str">
        <f t="shared" si="31"/>
        <v>PAGADO</v>
      </c>
      <c r="M660" s="8"/>
    </row>
    <row r="661" spans="3:13" customFormat="1" x14ac:dyDescent="0.25">
      <c r="C661" s="9" t="s">
        <v>646</v>
      </c>
      <c r="D661" s="9" t="s">
        <v>415</v>
      </c>
      <c r="E661" s="10"/>
      <c r="F661" s="6">
        <v>7</v>
      </c>
      <c r="G661" s="6">
        <f t="shared" si="32"/>
        <v>7</v>
      </c>
      <c r="H661" s="6">
        <v>7</v>
      </c>
      <c r="I661" s="6">
        <f t="shared" si="30"/>
        <v>0</v>
      </c>
      <c r="J661" s="7" t="str">
        <f t="shared" si="31"/>
        <v>PAGADO</v>
      </c>
      <c r="M661" s="8"/>
    </row>
    <row r="662" spans="3:13" customFormat="1" x14ac:dyDescent="0.25">
      <c r="C662" s="9" t="s">
        <v>647</v>
      </c>
      <c r="D662" t="s">
        <v>648</v>
      </c>
      <c r="E662" s="10"/>
      <c r="F662" s="6">
        <v>8</v>
      </c>
      <c r="G662" s="6">
        <f t="shared" si="32"/>
        <v>8</v>
      </c>
      <c r="H662" s="6">
        <v>8</v>
      </c>
      <c r="I662" s="6">
        <f t="shared" si="30"/>
        <v>0</v>
      </c>
      <c r="J662" s="7" t="str">
        <f t="shared" si="31"/>
        <v>PAGADO</v>
      </c>
      <c r="M662" s="8"/>
    </row>
    <row r="663" spans="3:13" customFormat="1" x14ac:dyDescent="0.25">
      <c r="C663" s="9" t="s">
        <v>649</v>
      </c>
      <c r="D663" t="s">
        <v>648</v>
      </c>
      <c r="E663" s="10"/>
      <c r="F663" s="6">
        <v>7</v>
      </c>
      <c r="G663" s="6">
        <f t="shared" si="32"/>
        <v>7</v>
      </c>
      <c r="H663" s="6">
        <v>7</v>
      </c>
      <c r="I663" s="6">
        <f t="shared" si="30"/>
        <v>0</v>
      </c>
      <c r="J663" s="7" t="str">
        <f t="shared" si="31"/>
        <v>PAGADO</v>
      </c>
      <c r="M663" s="8"/>
    </row>
    <row r="664" spans="3:13" customFormat="1" x14ac:dyDescent="0.25">
      <c r="C664" s="9" t="s">
        <v>650</v>
      </c>
      <c r="D664" t="s">
        <v>648</v>
      </c>
      <c r="E664" s="10"/>
      <c r="F664" s="6">
        <v>6</v>
      </c>
      <c r="G664" s="6">
        <f t="shared" si="32"/>
        <v>6</v>
      </c>
      <c r="H664" s="6">
        <v>6</v>
      </c>
      <c r="I664" s="6">
        <f t="shared" si="30"/>
        <v>0</v>
      </c>
      <c r="J664" s="7" t="str">
        <f t="shared" si="31"/>
        <v>PAGADO</v>
      </c>
      <c r="M664" s="8"/>
    </row>
    <row r="665" spans="3:13" customFormat="1" x14ac:dyDescent="0.25">
      <c r="C665" s="9" t="s">
        <v>218</v>
      </c>
      <c r="D665" t="s">
        <v>236</v>
      </c>
      <c r="E665" s="10"/>
      <c r="F665" s="6">
        <v>9</v>
      </c>
      <c r="G665" s="6">
        <f t="shared" si="32"/>
        <v>9</v>
      </c>
      <c r="H665" s="6">
        <v>9</v>
      </c>
      <c r="I665" s="6">
        <f t="shared" si="30"/>
        <v>0</v>
      </c>
      <c r="J665" s="7" t="str">
        <f t="shared" si="31"/>
        <v>PAGADO</v>
      </c>
      <c r="M665" s="8"/>
    </row>
    <row r="666" spans="3:13" customFormat="1" x14ac:dyDescent="0.25">
      <c r="C666" s="9" t="s">
        <v>116</v>
      </c>
      <c r="D666" t="s">
        <v>651</v>
      </c>
      <c r="E666" s="10"/>
      <c r="F666" s="6">
        <v>7</v>
      </c>
      <c r="G666" s="6">
        <f t="shared" si="32"/>
        <v>7</v>
      </c>
      <c r="H666" s="6">
        <v>7</v>
      </c>
      <c r="I666" s="6">
        <f t="shared" si="30"/>
        <v>0</v>
      </c>
      <c r="J666" s="7" t="str">
        <f t="shared" si="31"/>
        <v>PAGADO</v>
      </c>
      <c r="M666" s="8"/>
    </row>
    <row r="667" spans="3:13" customFormat="1" x14ac:dyDescent="0.25">
      <c r="C667" s="9" t="s">
        <v>652</v>
      </c>
      <c r="D667" t="s">
        <v>16</v>
      </c>
      <c r="E667" s="10"/>
      <c r="F667" s="6">
        <v>8</v>
      </c>
      <c r="G667" s="6">
        <f t="shared" si="32"/>
        <v>8</v>
      </c>
      <c r="H667" s="6">
        <v>8</v>
      </c>
      <c r="I667" s="6">
        <f t="shared" si="30"/>
        <v>0</v>
      </c>
      <c r="J667" s="7" t="str">
        <f t="shared" si="31"/>
        <v>PAGADO</v>
      </c>
      <c r="M667" s="8"/>
    </row>
    <row r="668" spans="3:13" customFormat="1" x14ac:dyDescent="0.25">
      <c r="C668" s="9" t="s">
        <v>652</v>
      </c>
      <c r="D668" t="s">
        <v>16</v>
      </c>
      <c r="E668" s="10"/>
      <c r="F668" s="6">
        <v>6</v>
      </c>
      <c r="G668" s="6">
        <f t="shared" si="32"/>
        <v>6</v>
      </c>
      <c r="H668" s="6">
        <v>6</v>
      </c>
      <c r="I668" s="6">
        <f t="shared" si="30"/>
        <v>0</v>
      </c>
      <c r="J668" s="7" t="str">
        <f t="shared" si="31"/>
        <v>PAGADO</v>
      </c>
      <c r="M668" s="8"/>
    </row>
    <row r="669" spans="3:13" customFormat="1" x14ac:dyDescent="0.25">
      <c r="C669" s="9" t="s">
        <v>522</v>
      </c>
      <c r="D669" t="s">
        <v>16</v>
      </c>
      <c r="E669" s="10"/>
      <c r="F669" s="6">
        <v>45</v>
      </c>
      <c r="G669" s="6">
        <f t="shared" si="32"/>
        <v>45</v>
      </c>
      <c r="H669" s="6">
        <v>45</v>
      </c>
      <c r="I669" s="6">
        <f t="shared" si="30"/>
        <v>0</v>
      </c>
      <c r="J669" s="7" t="str">
        <f t="shared" si="31"/>
        <v>PAGADO</v>
      </c>
      <c r="M669" s="8"/>
    </row>
    <row r="670" spans="3:13" customFormat="1" x14ac:dyDescent="0.25">
      <c r="C670" s="9" t="s">
        <v>653</v>
      </c>
      <c r="D670" s="9" t="s">
        <v>70</v>
      </c>
      <c r="E670" s="10"/>
      <c r="F670" s="6">
        <v>9</v>
      </c>
      <c r="G670" s="6">
        <f t="shared" si="32"/>
        <v>9</v>
      </c>
      <c r="H670" s="30">
        <v>9</v>
      </c>
      <c r="I670" s="6">
        <f t="shared" si="30"/>
        <v>0</v>
      </c>
      <c r="J670" s="7" t="str">
        <f t="shared" si="31"/>
        <v>PAGADO</v>
      </c>
      <c r="M670" s="8"/>
    </row>
    <row r="671" spans="3:13" customFormat="1" x14ac:dyDescent="0.25">
      <c r="C671" s="9" t="s">
        <v>654</v>
      </c>
      <c r="D671" s="9" t="s">
        <v>70</v>
      </c>
      <c r="E671" s="10"/>
      <c r="F671" s="6">
        <v>8</v>
      </c>
      <c r="G671" s="6">
        <f t="shared" si="32"/>
        <v>8</v>
      </c>
      <c r="H671" s="30">
        <v>8</v>
      </c>
      <c r="I671" s="6">
        <f t="shared" si="30"/>
        <v>0</v>
      </c>
      <c r="J671" s="7" t="str">
        <f t="shared" si="31"/>
        <v>PAGADO</v>
      </c>
      <c r="M671" s="8"/>
    </row>
    <row r="672" spans="3:13" customFormat="1" x14ac:dyDescent="0.25">
      <c r="C672" s="9" t="s">
        <v>655</v>
      </c>
      <c r="D672" s="9" t="s">
        <v>70</v>
      </c>
      <c r="E672" s="10"/>
      <c r="F672" s="6">
        <v>65</v>
      </c>
      <c r="G672" s="6">
        <f t="shared" si="32"/>
        <v>65</v>
      </c>
      <c r="H672" s="30">
        <v>65</v>
      </c>
      <c r="I672" s="6">
        <f t="shared" si="30"/>
        <v>0</v>
      </c>
      <c r="J672" s="7" t="str">
        <f t="shared" si="31"/>
        <v>PAGADO</v>
      </c>
      <c r="M672" s="8"/>
    </row>
    <row r="673" spans="3:13" customFormat="1" x14ac:dyDescent="0.25">
      <c r="C673" s="9" t="s">
        <v>656</v>
      </c>
      <c r="D673" s="9" t="s">
        <v>657</v>
      </c>
      <c r="E673" s="10"/>
      <c r="F673" s="6">
        <v>75</v>
      </c>
      <c r="G673" s="6">
        <f t="shared" si="32"/>
        <v>75</v>
      </c>
      <c r="H673" s="6">
        <v>75</v>
      </c>
      <c r="I673" s="6">
        <f t="shared" si="30"/>
        <v>0</v>
      </c>
      <c r="J673" s="7" t="str">
        <f t="shared" si="31"/>
        <v>PAGADO</v>
      </c>
      <c r="M673" s="8"/>
    </row>
    <row r="674" spans="3:13" customFormat="1" x14ac:dyDescent="0.25">
      <c r="C674" s="9" t="s">
        <v>658</v>
      </c>
      <c r="D674" s="9" t="s">
        <v>657</v>
      </c>
      <c r="E674" s="10"/>
      <c r="F674" s="6">
        <v>75</v>
      </c>
      <c r="G674" s="6">
        <f t="shared" si="32"/>
        <v>75</v>
      </c>
      <c r="H674" s="6">
        <v>75</v>
      </c>
      <c r="I674" s="6">
        <f t="shared" si="30"/>
        <v>0</v>
      </c>
      <c r="J674" s="7" t="str">
        <f t="shared" si="31"/>
        <v>PAGADO</v>
      </c>
      <c r="M674" s="8"/>
    </row>
    <row r="675" spans="3:13" customFormat="1" x14ac:dyDescent="0.25">
      <c r="C675" s="9" t="s">
        <v>659</v>
      </c>
      <c r="D675" s="9" t="s">
        <v>431</v>
      </c>
      <c r="E675" s="10"/>
      <c r="F675" s="6">
        <v>18</v>
      </c>
      <c r="G675" s="6">
        <f t="shared" si="32"/>
        <v>18</v>
      </c>
      <c r="H675" s="6">
        <v>18</v>
      </c>
      <c r="I675" s="6">
        <f t="shared" si="30"/>
        <v>0</v>
      </c>
      <c r="J675" s="7" t="str">
        <f t="shared" si="31"/>
        <v>PAGADO</v>
      </c>
      <c r="M675" s="8"/>
    </row>
    <row r="676" spans="3:13" customFormat="1" x14ac:dyDescent="0.25">
      <c r="C676" s="9" t="s">
        <v>660</v>
      </c>
      <c r="D676" s="9" t="s">
        <v>609</v>
      </c>
      <c r="E676" s="10"/>
      <c r="F676" s="6">
        <v>55</v>
      </c>
      <c r="G676" s="6">
        <f t="shared" si="32"/>
        <v>55</v>
      </c>
      <c r="H676" s="6">
        <f>20+35</f>
        <v>55</v>
      </c>
      <c r="I676" s="6">
        <f t="shared" si="30"/>
        <v>0</v>
      </c>
      <c r="J676" s="7" t="str">
        <f t="shared" si="31"/>
        <v>PAGADO</v>
      </c>
      <c r="M676" s="8"/>
    </row>
    <row r="677" spans="3:13" customFormat="1" x14ac:dyDescent="0.25">
      <c r="C677" s="9" t="s">
        <v>102</v>
      </c>
      <c r="D677" s="9" t="s">
        <v>661</v>
      </c>
      <c r="E677" s="10"/>
      <c r="F677" s="6">
        <v>14</v>
      </c>
      <c r="G677" s="6">
        <f t="shared" si="32"/>
        <v>14</v>
      </c>
      <c r="H677" s="6">
        <v>14</v>
      </c>
      <c r="I677" s="6">
        <f t="shared" si="30"/>
        <v>0</v>
      </c>
      <c r="J677" s="7" t="str">
        <f t="shared" si="31"/>
        <v>PAGADO</v>
      </c>
      <c r="M677" s="8"/>
    </row>
    <row r="678" spans="3:13" customFormat="1" x14ac:dyDescent="0.25">
      <c r="C678" s="9" t="s">
        <v>662</v>
      </c>
      <c r="D678" s="9" t="s">
        <v>33</v>
      </c>
      <c r="E678" s="10"/>
      <c r="F678" s="6">
        <v>90</v>
      </c>
      <c r="G678" s="6">
        <f t="shared" si="32"/>
        <v>90</v>
      </c>
      <c r="H678" s="11">
        <v>90</v>
      </c>
      <c r="I678" s="6">
        <f t="shared" si="30"/>
        <v>0</v>
      </c>
      <c r="J678" s="7" t="str">
        <f t="shared" si="31"/>
        <v>PAGADO</v>
      </c>
      <c r="M678" s="8"/>
    </row>
    <row r="679" spans="3:13" customFormat="1" x14ac:dyDescent="0.25">
      <c r="C679" s="9" t="s">
        <v>663</v>
      </c>
      <c r="D679" s="9" t="s">
        <v>664</v>
      </c>
      <c r="E679" s="10"/>
      <c r="F679" s="6">
        <v>28</v>
      </c>
      <c r="G679" s="6">
        <f t="shared" si="32"/>
        <v>28</v>
      </c>
      <c r="H679" s="6">
        <v>28</v>
      </c>
      <c r="I679" s="6">
        <f t="shared" si="30"/>
        <v>0</v>
      </c>
      <c r="J679" s="7" t="str">
        <f t="shared" si="31"/>
        <v>PAGADO</v>
      </c>
      <c r="M679" s="8"/>
    </row>
    <row r="680" spans="3:13" customFormat="1" x14ac:dyDescent="0.25">
      <c r="C680" s="9" t="s">
        <v>155</v>
      </c>
      <c r="D680" s="9" t="s">
        <v>665</v>
      </c>
      <c r="E680" s="10"/>
      <c r="F680" s="6">
        <v>9</v>
      </c>
      <c r="G680" s="6">
        <f t="shared" si="32"/>
        <v>9</v>
      </c>
      <c r="H680" s="6">
        <v>9</v>
      </c>
      <c r="I680" s="6">
        <f t="shared" si="30"/>
        <v>0</v>
      </c>
      <c r="J680" s="7" t="str">
        <f t="shared" si="31"/>
        <v>PAGADO</v>
      </c>
      <c r="M680" s="8"/>
    </row>
    <row r="681" spans="3:13" customFormat="1" x14ac:dyDescent="0.25">
      <c r="C681" s="9" t="s">
        <v>666</v>
      </c>
      <c r="D681" s="9" t="s">
        <v>667</v>
      </c>
      <c r="E681" s="10"/>
      <c r="F681" s="6">
        <v>75</v>
      </c>
      <c r="G681" s="6">
        <f t="shared" si="32"/>
        <v>75</v>
      </c>
      <c r="H681" s="6">
        <v>75</v>
      </c>
      <c r="I681" s="6">
        <f t="shared" si="30"/>
        <v>0</v>
      </c>
      <c r="J681" s="7" t="str">
        <f t="shared" si="31"/>
        <v>PAGADO</v>
      </c>
      <c r="M681" s="8"/>
    </row>
    <row r="682" spans="3:13" customFormat="1" x14ac:dyDescent="0.25">
      <c r="C682" s="9" t="s">
        <v>668</v>
      </c>
      <c r="D682" s="9" t="s">
        <v>669</v>
      </c>
      <c r="E682" s="10"/>
      <c r="F682" s="6">
        <v>79</v>
      </c>
      <c r="G682" s="6">
        <f t="shared" si="32"/>
        <v>79</v>
      </c>
      <c r="H682" s="6">
        <v>79</v>
      </c>
      <c r="I682" s="6">
        <f t="shared" si="30"/>
        <v>0</v>
      </c>
      <c r="J682" s="7" t="str">
        <f t="shared" si="31"/>
        <v>PAGADO</v>
      </c>
      <c r="M682" s="8"/>
    </row>
    <row r="683" spans="3:13" customFormat="1" x14ac:dyDescent="0.25">
      <c r="C683" s="9" t="s">
        <v>426</v>
      </c>
      <c r="D683" t="s">
        <v>45</v>
      </c>
      <c r="E683" s="10"/>
      <c r="F683" s="6">
        <v>26</v>
      </c>
      <c r="G683" s="6">
        <f t="shared" si="32"/>
        <v>26</v>
      </c>
      <c r="H683" s="6">
        <v>26</v>
      </c>
      <c r="I683" s="6">
        <f t="shared" si="30"/>
        <v>0</v>
      </c>
      <c r="J683" s="7" t="str">
        <f t="shared" si="31"/>
        <v>PAGADO</v>
      </c>
      <c r="M683" s="8"/>
    </row>
    <row r="684" spans="3:13" customFormat="1" x14ac:dyDescent="0.25">
      <c r="C684" s="9" t="s">
        <v>670</v>
      </c>
      <c r="D684" s="9" t="s">
        <v>236</v>
      </c>
      <c r="E684" s="10"/>
      <c r="F684" s="6">
        <v>15</v>
      </c>
      <c r="G684" s="6">
        <f t="shared" si="32"/>
        <v>15</v>
      </c>
      <c r="H684" s="24">
        <v>15</v>
      </c>
      <c r="I684" s="6">
        <f t="shared" si="30"/>
        <v>0</v>
      </c>
      <c r="J684" s="7" t="str">
        <f t="shared" si="31"/>
        <v>PAGADO</v>
      </c>
      <c r="K684" s="9"/>
      <c r="M684" s="8"/>
    </row>
    <row r="685" spans="3:13" customFormat="1" x14ac:dyDescent="0.25">
      <c r="C685" s="9" t="s">
        <v>671</v>
      </c>
      <c r="D685" s="9" t="s">
        <v>313</v>
      </c>
      <c r="E685" s="10"/>
      <c r="F685" s="6">
        <v>25</v>
      </c>
      <c r="G685" s="6">
        <f t="shared" si="32"/>
        <v>25</v>
      </c>
      <c r="H685" s="6">
        <v>25</v>
      </c>
      <c r="I685" s="6">
        <f t="shared" si="30"/>
        <v>0</v>
      </c>
      <c r="J685" s="7" t="str">
        <f t="shared" si="31"/>
        <v>PAGADO</v>
      </c>
      <c r="K685" s="9"/>
      <c r="M685" s="8"/>
    </row>
    <row r="686" spans="3:13" customFormat="1" x14ac:dyDescent="0.25">
      <c r="C686" s="9" t="s">
        <v>672</v>
      </c>
      <c r="D686" s="9" t="s">
        <v>508</v>
      </c>
      <c r="E686" s="10"/>
      <c r="F686" s="6">
        <v>17</v>
      </c>
      <c r="G686" s="6">
        <f t="shared" si="32"/>
        <v>17</v>
      </c>
      <c r="H686" s="6">
        <v>17</v>
      </c>
      <c r="I686" s="6">
        <f t="shared" si="30"/>
        <v>0</v>
      </c>
      <c r="J686" s="7" t="str">
        <f t="shared" si="31"/>
        <v>PAGADO</v>
      </c>
      <c r="K686" s="9"/>
      <c r="M686" s="8"/>
    </row>
    <row r="687" spans="3:13" customFormat="1" x14ac:dyDescent="0.25">
      <c r="C687" s="9" t="s">
        <v>673</v>
      </c>
      <c r="D687" s="9" t="s">
        <v>171</v>
      </c>
      <c r="E687" s="10"/>
      <c r="F687" s="6">
        <v>15</v>
      </c>
      <c r="G687" s="6">
        <f t="shared" si="32"/>
        <v>15</v>
      </c>
      <c r="H687" s="6">
        <v>15</v>
      </c>
      <c r="I687" s="6">
        <f t="shared" si="30"/>
        <v>0</v>
      </c>
      <c r="J687" s="7" t="str">
        <f t="shared" si="31"/>
        <v>PAGADO</v>
      </c>
      <c r="K687" s="9"/>
      <c r="M687" s="8"/>
    </row>
    <row r="688" spans="3:13" customFormat="1" x14ac:dyDescent="0.25">
      <c r="C688" s="9" t="s">
        <v>674</v>
      </c>
      <c r="D688" s="9" t="s">
        <v>236</v>
      </c>
      <c r="E688" s="10"/>
      <c r="F688" s="6">
        <v>45</v>
      </c>
      <c r="G688" s="6">
        <f t="shared" si="32"/>
        <v>45</v>
      </c>
      <c r="H688" s="24">
        <f>35+10</f>
        <v>45</v>
      </c>
      <c r="I688" s="6">
        <f t="shared" si="30"/>
        <v>0</v>
      </c>
      <c r="J688" s="7" t="str">
        <f t="shared" si="31"/>
        <v>PAGADO</v>
      </c>
      <c r="K688" s="9"/>
      <c r="M688" s="8"/>
    </row>
    <row r="689" spans="3:13" customFormat="1" x14ac:dyDescent="0.25">
      <c r="C689" s="9" t="s">
        <v>675</v>
      </c>
      <c r="D689" s="9" t="s">
        <v>377</v>
      </c>
      <c r="E689" s="10"/>
      <c r="F689" s="6">
        <v>10</v>
      </c>
      <c r="G689" s="6">
        <f t="shared" si="32"/>
        <v>10</v>
      </c>
      <c r="H689" s="6">
        <v>10</v>
      </c>
      <c r="I689" s="6">
        <f t="shared" si="30"/>
        <v>0</v>
      </c>
      <c r="J689" s="7" t="str">
        <f t="shared" si="31"/>
        <v>PAGADO</v>
      </c>
      <c r="K689" s="9"/>
      <c r="M689" s="8"/>
    </row>
    <row r="690" spans="3:13" customFormat="1" x14ac:dyDescent="0.25">
      <c r="C690" s="9" t="s">
        <v>676</v>
      </c>
      <c r="D690" s="9" t="s">
        <v>70</v>
      </c>
      <c r="E690" s="10"/>
      <c r="F690" s="6">
        <v>15</v>
      </c>
      <c r="G690" s="6">
        <f t="shared" si="32"/>
        <v>15</v>
      </c>
      <c r="H690" s="30">
        <v>15</v>
      </c>
      <c r="I690" s="6">
        <f t="shared" si="30"/>
        <v>0</v>
      </c>
      <c r="J690" s="7" t="str">
        <f t="shared" si="31"/>
        <v>PAGADO</v>
      </c>
      <c r="K690" s="9"/>
      <c r="M690" s="8"/>
    </row>
    <row r="691" spans="3:13" customFormat="1" x14ac:dyDescent="0.25">
      <c r="C691" s="9" t="s">
        <v>677</v>
      </c>
      <c r="D691" s="9" t="s">
        <v>70</v>
      </c>
      <c r="E691" s="10"/>
      <c r="F691" s="6">
        <v>15</v>
      </c>
      <c r="G691" s="6">
        <f t="shared" si="32"/>
        <v>15</v>
      </c>
      <c r="H691" s="30">
        <v>15</v>
      </c>
      <c r="I691" s="6">
        <f t="shared" si="30"/>
        <v>0</v>
      </c>
      <c r="J691" s="7" t="str">
        <f t="shared" si="31"/>
        <v>PAGADO</v>
      </c>
      <c r="K691" s="9"/>
      <c r="M691" s="8"/>
    </row>
    <row r="692" spans="3:13" customFormat="1" x14ac:dyDescent="0.25">
      <c r="C692" s="9" t="s">
        <v>678</v>
      </c>
      <c r="D692" t="s">
        <v>632</v>
      </c>
      <c r="E692" s="10"/>
      <c r="F692" s="6">
        <v>6</v>
      </c>
      <c r="G692" s="6">
        <f t="shared" si="32"/>
        <v>6</v>
      </c>
      <c r="H692" s="6">
        <v>6</v>
      </c>
      <c r="I692" s="6">
        <f t="shared" si="30"/>
        <v>0</v>
      </c>
      <c r="J692" s="7" t="str">
        <f t="shared" si="31"/>
        <v>PAGADO</v>
      </c>
      <c r="M692" s="8"/>
    </row>
    <row r="693" spans="3:13" customFormat="1" x14ac:dyDescent="0.25">
      <c r="C693" s="9" t="s">
        <v>678</v>
      </c>
      <c r="D693" t="s">
        <v>632</v>
      </c>
      <c r="E693" s="10"/>
      <c r="F693" s="6">
        <v>12</v>
      </c>
      <c r="G693" s="6">
        <f t="shared" si="32"/>
        <v>12</v>
      </c>
      <c r="H693" s="6">
        <v>12</v>
      </c>
      <c r="I693" s="6">
        <f t="shared" si="30"/>
        <v>0</v>
      </c>
      <c r="J693" s="7" t="str">
        <f t="shared" si="31"/>
        <v>PAGADO</v>
      </c>
      <c r="M693" s="8"/>
    </row>
    <row r="694" spans="3:13" customFormat="1" x14ac:dyDescent="0.25">
      <c r="C694" s="9" t="s">
        <v>654</v>
      </c>
      <c r="D694" t="s">
        <v>632</v>
      </c>
      <c r="E694" s="10"/>
      <c r="F694" s="6">
        <v>7</v>
      </c>
      <c r="G694" s="6">
        <f t="shared" si="32"/>
        <v>7</v>
      </c>
      <c r="H694" s="6">
        <v>7</v>
      </c>
      <c r="I694" s="6">
        <f t="shared" si="30"/>
        <v>0</v>
      </c>
      <c r="J694" s="7" t="str">
        <f t="shared" si="31"/>
        <v>PAGADO</v>
      </c>
      <c r="M694" s="8"/>
    </row>
    <row r="695" spans="3:13" customFormat="1" x14ac:dyDescent="0.25">
      <c r="C695" s="9" t="s">
        <v>679</v>
      </c>
      <c r="D695" t="s">
        <v>680</v>
      </c>
      <c r="E695" s="10"/>
      <c r="F695" s="6">
        <v>60</v>
      </c>
      <c r="G695" s="6">
        <f t="shared" si="32"/>
        <v>60</v>
      </c>
      <c r="H695" s="6">
        <v>60</v>
      </c>
      <c r="I695" s="6">
        <f t="shared" si="30"/>
        <v>0</v>
      </c>
      <c r="J695" s="7" t="str">
        <f t="shared" si="31"/>
        <v>PAGADO</v>
      </c>
      <c r="M695" s="8"/>
    </row>
    <row r="696" spans="3:13" customFormat="1" x14ac:dyDescent="0.25">
      <c r="C696" s="9" t="s">
        <v>681</v>
      </c>
      <c r="D696" t="s">
        <v>682</v>
      </c>
      <c r="E696" s="10"/>
      <c r="F696" s="6">
        <v>10</v>
      </c>
      <c r="G696" s="6">
        <f t="shared" si="32"/>
        <v>10</v>
      </c>
      <c r="H696" s="6">
        <v>10</v>
      </c>
      <c r="I696" s="6">
        <f t="shared" si="30"/>
        <v>0</v>
      </c>
      <c r="J696" s="7" t="str">
        <f t="shared" si="31"/>
        <v>PAGADO</v>
      </c>
      <c r="M696" s="8"/>
    </row>
    <row r="697" spans="3:13" customFormat="1" x14ac:dyDescent="0.25">
      <c r="C697" s="9" t="s">
        <v>683</v>
      </c>
      <c r="D697" t="s">
        <v>684</v>
      </c>
      <c r="E697" s="10"/>
      <c r="F697" s="6">
        <v>70</v>
      </c>
      <c r="G697" s="6">
        <f t="shared" si="32"/>
        <v>70</v>
      </c>
      <c r="H697" s="6">
        <f>50+20</f>
        <v>70</v>
      </c>
      <c r="I697" s="6">
        <f t="shared" si="30"/>
        <v>0</v>
      </c>
      <c r="J697" s="7" t="str">
        <f t="shared" si="31"/>
        <v>PAGADO</v>
      </c>
      <c r="M697" s="8"/>
    </row>
    <row r="698" spans="3:13" customFormat="1" x14ac:dyDescent="0.25">
      <c r="C698" s="9" t="s">
        <v>685</v>
      </c>
      <c r="D698" t="s">
        <v>52</v>
      </c>
      <c r="E698" s="10"/>
      <c r="F698" s="6">
        <v>85</v>
      </c>
      <c r="G698" s="6">
        <f t="shared" si="32"/>
        <v>85</v>
      </c>
      <c r="H698" s="6">
        <f>30+55</f>
        <v>85</v>
      </c>
      <c r="I698" s="6">
        <f t="shared" si="30"/>
        <v>0</v>
      </c>
      <c r="J698" s="7" t="str">
        <f t="shared" si="31"/>
        <v>PAGADO</v>
      </c>
      <c r="M698" s="8"/>
    </row>
    <row r="699" spans="3:13" customFormat="1" x14ac:dyDescent="0.25">
      <c r="C699" t="s">
        <v>686</v>
      </c>
      <c r="D699" t="s">
        <v>171</v>
      </c>
      <c r="E699" s="10"/>
      <c r="F699" s="6">
        <v>90</v>
      </c>
      <c r="G699" s="6">
        <f t="shared" si="32"/>
        <v>90</v>
      </c>
      <c r="H699" s="6">
        <v>90</v>
      </c>
      <c r="I699" s="6">
        <f t="shared" si="30"/>
        <v>0</v>
      </c>
      <c r="J699" s="7" t="str">
        <f t="shared" si="31"/>
        <v>PAGADO</v>
      </c>
      <c r="M699" s="8"/>
    </row>
    <row r="700" spans="3:13" customFormat="1" x14ac:dyDescent="0.25">
      <c r="C700" s="9" t="s">
        <v>687</v>
      </c>
      <c r="D700" t="s">
        <v>632</v>
      </c>
      <c r="E700" s="10"/>
      <c r="F700" s="6">
        <v>70</v>
      </c>
      <c r="G700" s="6">
        <f t="shared" si="32"/>
        <v>70</v>
      </c>
      <c r="H700" s="6">
        <v>70</v>
      </c>
      <c r="I700" s="6">
        <f t="shared" si="30"/>
        <v>0</v>
      </c>
      <c r="J700" s="7" t="str">
        <f t="shared" si="31"/>
        <v>PAGADO</v>
      </c>
      <c r="M700" s="8"/>
    </row>
    <row r="701" spans="3:13" customFormat="1" x14ac:dyDescent="0.25">
      <c r="C701" s="9" t="s">
        <v>688</v>
      </c>
      <c r="D701" s="9" t="s">
        <v>523</v>
      </c>
      <c r="E701" s="10"/>
      <c r="F701" s="6">
        <v>75</v>
      </c>
      <c r="G701" s="6">
        <f t="shared" si="32"/>
        <v>75</v>
      </c>
      <c r="H701" s="6">
        <v>75</v>
      </c>
      <c r="I701" s="6">
        <f t="shared" si="30"/>
        <v>0</v>
      </c>
      <c r="J701" s="7" t="str">
        <f t="shared" si="31"/>
        <v>PAGADO</v>
      </c>
      <c r="M701" s="8"/>
    </row>
    <row r="702" spans="3:13" customFormat="1" x14ac:dyDescent="0.25">
      <c r="C702" s="9" t="s">
        <v>689</v>
      </c>
      <c r="D702" s="9" t="s">
        <v>690</v>
      </c>
      <c r="E702" s="10"/>
      <c r="F702" s="6">
        <v>75</v>
      </c>
      <c r="G702" s="6">
        <f t="shared" si="32"/>
        <v>75</v>
      </c>
      <c r="H702" s="6">
        <v>75</v>
      </c>
      <c r="I702" s="6">
        <f t="shared" ref="I702:I765" si="33">F702-H702</f>
        <v>0</v>
      </c>
      <c r="J702" s="7" t="str">
        <f t="shared" ref="J702:J765" si="34">IF(I702&gt;0,"DEBE","PAGADO")</f>
        <v>PAGADO</v>
      </c>
      <c r="M702" s="8"/>
    </row>
    <row r="703" spans="3:13" customFormat="1" x14ac:dyDescent="0.25">
      <c r="C703" t="s">
        <v>589</v>
      </c>
      <c r="D703" s="9" t="s">
        <v>690</v>
      </c>
      <c r="E703" s="10"/>
      <c r="F703" s="6">
        <v>25</v>
      </c>
      <c r="G703" s="6">
        <f t="shared" si="32"/>
        <v>25</v>
      </c>
      <c r="H703" s="6">
        <v>25</v>
      </c>
      <c r="I703" s="6">
        <f t="shared" si="33"/>
        <v>0</v>
      </c>
      <c r="J703" s="7" t="str">
        <f t="shared" si="34"/>
        <v>PAGADO</v>
      </c>
      <c r="M703" s="8"/>
    </row>
    <row r="704" spans="3:13" customFormat="1" x14ac:dyDescent="0.25">
      <c r="C704" t="s">
        <v>691</v>
      </c>
      <c r="D704" s="9" t="s">
        <v>692</v>
      </c>
      <c r="E704" s="10"/>
      <c r="F704" s="6">
        <v>50</v>
      </c>
      <c r="G704" s="6">
        <f t="shared" si="32"/>
        <v>50</v>
      </c>
      <c r="H704" s="6">
        <v>50</v>
      </c>
      <c r="I704" s="6">
        <f t="shared" si="33"/>
        <v>0</v>
      </c>
      <c r="J704" s="7" t="str">
        <f t="shared" si="34"/>
        <v>PAGADO</v>
      </c>
      <c r="K704" s="35" t="s">
        <v>693</v>
      </c>
      <c r="M704" s="8"/>
    </row>
    <row r="705" spans="3:13" customFormat="1" x14ac:dyDescent="0.25">
      <c r="C705" t="s">
        <v>694</v>
      </c>
      <c r="D705" s="9" t="s">
        <v>692</v>
      </c>
      <c r="E705" s="10"/>
      <c r="F705" s="6">
        <v>58</v>
      </c>
      <c r="G705" s="6">
        <f t="shared" si="32"/>
        <v>58</v>
      </c>
      <c r="H705" s="6">
        <v>58</v>
      </c>
      <c r="I705" s="6">
        <f t="shared" si="33"/>
        <v>0</v>
      </c>
      <c r="J705" s="7" t="str">
        <f t="shared" si="34"/>
        <v>PAGADO</v>
      </c>
      <c r="K705" s="35" t="s">
        <v>693</v>
      </c>
      <c r="M705" s="8"/>
    </row>
    <row r="706" spans="3:13" customFormat="1" x14ac:dyDescent="0.25">
      <c r="C706" t="s">
        <v>695</v>
      </c>
      <c r="D706" s="9" t="s">
        <v>692</v>
      </c>
      <c r="E706" s="10"/>
      <c r="F706" s="6">
        <v>67</v>
      </c>
      <c r="G706" s="6">
        <f t="shared" ref="G706:G769" si="35">F706-E706</f>
        <v>67</v>
      </c>
      <c r="H706" s="24">
        <f>37+30</f>
        <v>67</v>
      </c>
      <c r="I706" s="6">
        <f t="shared" si="33"/>
        <v>0</v>
      </c>
      <c r="J706" s="7" t="str">
        <f t="shared" si="34"/>
        <v>PAGADO</v>
      </c>
      <c r="K706" s="35" t="s">
        <v>693</v>
      </c>
      <c r="M706" s="8"/>
    </row>
    <row r="707" spans="3:13" customFormat="1" x14ac:dyDescent="0.25">
      <c r="C707" t="s">
        <v>696</v>
      </c>
      <c r="D707" s="9" t="s">
        <v>692</v>
      </c>
      <c r="E707" s="10"/>
      <c r="F707" s="6">
        <v>67</v>
      </c>
      <c r="G707" s="6">
        <f t="shared" si="35"/>
        <v>67</v>
      </c>
      <c r="H707" s="24">
        <v>67</v>
      </c>
      <c r="I707" s="6">
        <f t="shared" si="33"/>
        <v>0</v>
      </c>
      <c r="J707" s="7" t="str">
        <f t="shared" si="34"/>
        <v>PAGADO</v>
      </c>
      <c r="K707" s="35" t="s">
        <v>693</v>
      </c>
      <c r="M707" s="8"/>
    </row>
    <row r="708" spans="3:13" customFormat="1" x14ac:dyDescent="0.25">
      <c r="C708" t="s">
        <v>697</v>
      </c>
      <c r="D708" s="9" t="s">
        <v>692</v>
      </c>
      <c r="E708" s="10"/>
      <c r="F708" s="6">
        <v>90</v>
      </c>
      <c r="G708" s="6">
        <f t="shared" si="35"/>
        <v>90</v>
      </c>
      <c r="H708" s="24">
        <v>90</v>
      </c>
      <c r="I708" s="6">
        <f t="shared" si="33"/>
        <v>0</v>
      </c>
      <c r="J708" s="7" t="str">
        <f t="shared" si="34"/>
        <v>PAGADO</v>
      </c>
      <c r="K708" s="35" t="s">
        <v>693</v>
      </c>
      <c r="M708" s="8"/>
    </row>
    <row r="709" spans="3:13" customFormat="1" x14ac:dyDescent="0.25">
      <c r="C709" t="s">
        <v>698</v>
      </c>
      <c r="D709" s="9" t="s">
        <v>692</v>
      </c>
      <c r="E709" s="10"/>
      <c r="F709" s="6">
        <v>66</v>
      </c>
      <c r="G709" s="6">
        <f t="shared" si="35"/>
        <v>66</v>
      </c>
      <c r="H709" s="24">
        <v>66</v>
      </c>
      <c r="I709" s="6">
        <f t="shared" si="33"/>
        <v>0</v>
      </c>
      <c r="J709" s="7" t="str">
        <f t="shared" si="34"/>
        <v>PAGADO</v>
      </c>
      <c r="K709" s="35" t="s">
        <v>693</v>
      </c>
      <c r="M709" s="8"/>
    </row>
    <row r="710" spans="3:13" customFormat="1" x14ac:dyDescent="0.25">
      <c r="C710" t="s">
        <v>699</v>
      </c>
      <c r="D710" s="9" t="s">
        <v>700</v>
      </c>
      <c r="E710" s="10"/>
      <c r="F710" s="6">
        <v>80</v>
      </c>
      <c r="G710" s="6">
        <f t="shared" si="35"/>
        <v>80</v>
      </c>
      <c r="H710" s="6">
        <v>80</v>
      </c>
      <c r="I710" s="6">
        <f t="shared" si="33"/>
        <v>0</v>
      </c>
      <c r="J710" s="7" t="str">
        <f t="shared" si="34"/>
        <v>PAGADO</v>
      </c>
      <c r="M710" s="8"/>
    </row>
    <row r="711" spans="3:13" customFormat="1" x14ac:dyDescent="0.25">
      <c r="C711" t="s">
        <v>701</v>
      </c>
      <c r="D711" s="9" t="s">
        <v>692</v>
      </c>
      <c r="E711" s="10"/>
      <c r="F711" s="6">
        <v>70</v>
      </c>
      <c r="G711" s="6">
        <f t="shared" si="35"/>
        <v>70</v>
      </c>
      <c r="H711" s="6">
        <v>70</v>
      </c>
      <c r="I711" s="6">
        <f t="shared" si="33"/>
        <v>0</v>
      </c>
      <c r="J711" s="7" t="str">
        <f t="shared" si="34"/>
        <v>PAGADO</v>
      </c>
      <c r="K711" s="35" t="s">
        <v>693</v>
      </c>
      <c r="M711" s="8"/>
    </row>
    <row r="712" spans="3:13" customFormat="1" x14ac:dyDescent="0.25">
      <c r="C712" t="s">
        <v>702</v>
      </c>
      <c r="D712" s="9" t="s">
        <v>692</v>
      </c>
      <c r="E712" s="10"/>
      <c r="F712" s="6">
        <v>120</v>
      </c>
      <c r="G712" s="6">
        <f t="shared" si="35"/>
        <v>120</v>
      </c>
      <c r="H712" s="6">
        <f>60+60</f>
        <v>120</v>
      </c>
      <c r="I712" s="6">
        <f t="shared" si="33"/>
        <v>0</v>
      </c>
      <c r="J712" s="7" t="str">
        <f t="shared" si="34"/>
        <v>PAGADO</v>
      </c>
      <c r="K712" s="35" t="s">
        <v>693</v>
      </c>
      <c r="M712" s="8"/>
    </row>
    <row r="713" spans="3:13" customFormat="1" x14ac:dyDescent="0.25">
      <c r="C713" s="9" t="s">
        <v>703</v>
      </c>
      <c r="D713" s="9" t="s">
        <v>488</v>
      </c>
      <c r="E713" s="10"/>
      <c r="F713" s="6">
        <v>50</v>
      </c>
      <c r="G713" s="6">
        <f t="shared" si="35"/>
        <v>50</v>
      </c>
      <c r="H713" s="6">
        <v>50</v>
      </c>
      <c r="I713" s="6">
        <f t="shared" si="33"/>
        <v>0</v>
      </c>
      <c r="J713" s="7" t="str">
        <f t="shared" si="34"/>
        <v>PAGADO</v>
      </c>
      <c r="M713" s="8"/>
    </row>
    <row r="714" spans="3:13" customFormat="1" x14ac:dyDescent="0.25">
      <c r="C714" s="9" t="s">
        <v>704</v>
      </c>
      <c r="D714" s="9" t="s">
        <v>705</v>
      </c>
      <c r="E714" s="10"/>
      <c r="F714" s="6">
        <v>15</v>
      </c>
      <c r="G714" s="6">
        <f t="shared" si="35"/>
        <v>15</v>
      </c>
      <c r="H714" s="6">
        <v>15</v>
      </c>
      <c r="I714" s="6">
        <f t="shared" si="33"/>
        <v>0</v>
      </c>
      <c r="J714" s="7" t="str">
        <f t="shared" si="34"/>
        <v>PAGADO</v>
      </c>
      <c r="M714" s="8"/>
    </row>
    <row r="715" spans="3:13" customFormat="1" x14ac:dyDescent="0.25">
      <c r="C715" s="9" t="s">
        <v>706</v>
      </c>
      <c r="D715" s="9" t="s">
        <v>377</v>
      </c>
      <c r="E715" s="10"/>
      <c r="F715" s="6">
        <f>22*4</f>
        <v>88</v>
      </c>
      <c r="G715" s="6">
        <f t="shared" si="35"/>
        <v>88</v>
      </c>
      <c r="H715" s="6">
        <v>88</v>
      </c>
      <c r="I715" s="6">
        <f t="shared" si="33"/>
        <v>0</v>
      </c>
      <c r="J715" s="7" t="str">
        <f t="shared" si="34"/>
        <v>PAGADO</v>
      </c>
      <c r="M715" s="8"/>
    </row>
    <row r="716" spans="3:13" customFormat="1" x14ac:dyDescent="0.25">
      <c r="C716" s="9" t="s">
        <v>707</v>
      </c>
      <c r="D716" t="s">
        <v>466</v>
      </c>
      <c r="E716" s="10"/>
      <c r="F716" s="6">
        <v>70</v>
      </c>
      <c r="G716" s="6">
        <f t="shared" si="35"/>
        <v>70</v>
      </c>
      <c r="H716" s="6">
        <v>70</v>
      </c>
      <c r="I716" s="6">
        <f t="shared" si="33"/>
        <v>0</v>
      </c>
      <c r="J716" s="7" t="str">
        <f t="shared" si="34"/>
        <v>PAGADO</v>
      </c>
      <c r="M716" s="8"/>
    </row>
    <row r="717" spans="3:13" customFormat="1" x14ac:dyDescent="0.25">
      <c r="C717" s="9" t="s">
        <v>708</v>
      </c>
      <c r="D717" s="9" t="s">
        <v>488</v>
      </c>
      <c r="E717" s="10"/>
      <c r="F717" s="6">
        <v>15</v>
      </c>
      <c r="G717" s="6">
        <f t="shared" si="35"/>
        <v>15</v>
      </c>
      <c r="H717" s="6">
        <f>7.5+7.5</f>
        <v>15</v>
      </c>
      <c r="I717" s="6">
        <f t="shared" si="33"/>
        <v>0</v>
      </c>
      <c r="J717" s="7" t="str">
        <f t="shared" si="34"/>
        <v>PAGADO</v>
      </c>
      <c r="M717" s="8"/>
    </row>
    <row r="718" spans="3:13" customFormat="1" x14ac:dyDescent="0.25">
      <c r="C718" s="9" t="s">
        <v>709</v>
      </c>
      <c r="D718" s="9" t="s">
        <v>431</v>
      </c>
      <c r="E718" s="10"/>
      <c r="F718" s="6">
        <v>15</v>
      </c>
      <c r="G718" s="6">
        <f t="shared" si="35"/>
        <v>15</v>
      </c>
      <c r="H718" s="6">
        <f>9.5+0.5+5</f>
        <v>15</v>
      </c>
      <c r="I718" s="6">
        <f t="shared" si="33"/>
        <v>0</v>
      </c>
      <c r="J718" s="7" t="str">
        <f t="shared" si="34"/>
        <v>PAGADO</v>
      </c>
      <c r="M718" s="8"/>
    </row>
    <row r="719" spans="3:13" customFormat="1" x14ac:dyDescent="0.25">
      <c r="C719" s="9" t="s">
        <v>710</v>
      </c>
      <c r="D719" s="9" t="s">
        <v>711</v>
      </c>
      <c r="E719" s="10"/>
      <c r="F719" s="6">
        <v>55</v>
      </c>
      <c r="G719" s="6">
        <f t="shared" si="35"/>
        <v>55</v>
      </c>
      <c r="H719" s="6">
        <v>55</v>
      </c>
      <c r="I719" s="6">
        <f t="shared" si="33"/>
        <v>0</v>
      </c>
      <c r="J719" s="7" t="str">
        <f t="shared" si="34"/>
        <v>PAGADO</v>
      </c>
      <c r="M719" s="8"/>
    </row>
    <row r="720" spans="3:13" customFormat="1" x14ac:dyDescent="0.25">
      <c r="C720" s="9" t="s">
        <v>712</v>
      </c>
      <c r="D720" s="9" t="s">
        <v>597</v>
      </c>
      <c r="E720" s="10"/>
      <c r="F720" s="6">
        <v>10</v>
      </c>
      <c r="G720" s="6">
        <f t="shared" si="35"/>
        <v>10</v>
      </c>
      <c r="H720" s="6">
        <v>10</v>
      </c>
      <c r="I720" s="6">
        <f t="shared" si="33"/>
        <v>0</v>
      </c>
      <c r="J720" s="7" t="str">
        <f t="shared" si="34"/>
        <v>PAGADO</v>
      </c>
      <c r="M720" s="8"/>
    </row>
    <row r="721" spans="3:13" customFormat="1" x14ac:dyDescent="0.25">
      <c r="C721" s="9" t="s">
        <v>713</v>
      </c>
      <c r="D721" s="9" t="s">
        <v>597</v>
      </c>
      <c r="E721" s="10"/>
      <c r="F721" s="6">
        <v>20</v>
      </c>
      <c r="G721" s="6">
        <f t="shared" si="35"/>
        <v>20</v>
      </c>
      <c r="H721" s="6">
        <v>20</v>
      </c>
      <c r="I721" s="6">
        <f t="shared" si="33"/>
        <v>0</v>
      </c>
      <c r="J721" s="7" t="str">
        <f t="shared" si="34"/>
        <v>PAGADO</v>
      </c>
      <c r="M721" s="8"/>
    </row>
    <row r="722" spans="3:13" customFormat="1" x14ac:dyDescent="0.25">
      <c r="C722" s="9" t="s">
        <v>714</v>
      </c>
      <c r="D722" s="9" t="s">
        <v>45</v>
      </c>
      <c r="E722" s="10"/>
      <c r="F722" s="6">
        <v>140</v>
      </c>
      <c r="G722" s="6">
        <f t="shared" si="35"/>
        <v>140</v>
      </c>
      <c r="H722" s="6">
        <v>140</v>
      </c>
      <c r="I722" s="6">
        <f t="shared" si="33"/>
        <v>0</v>
      </c>
      <c r="J722" s="7" t="str">
        <f t="shared" si="34"/>
        <v>PAGADO</v>
      </c>
      <c r="M722" s="8"/>
    </row>
    <row r="723" spans="3:13" customFormat="1" x14ac:dyDescent="0.25">
      <c r="C723" t="s">
        <v>233</v>
      </c>
      <c r="D723" t="s">
        <v>67</v>
      </c>
      <c r="E723" s="10"/>
      <c r="F723" s="6">
        <v>90</v>
      </c>
      <c r="G723" s="6">
        <f t="shared" si="35"/>
        <v>90</v>
      </c>
      <c r="H723" s="6">
        <f>40+50</f>
        <v>90</v>
      </c>
      <c r="I723" s="6">
        <f t="shared" si="33"/>
        <v>0</v>
      </c>
      <c r="J723" s="17" t="str">
        <f t="shared" si="34"/>
        <v>PAGADO</v>
      </c>
      <c r="M723" s="8"/>
    </row>
    <row r="724" spans="3:13" customFormat="1" x14ac:dyDescent="0.25">
      <c r="C724" s="9" t="s">
        <v>715</v>
      </c>
      <c r="D724" s="9" t="s">
        <v>202</v>
      </c>
      <c r="E724" s="10"/>
      <c r="F724" s="6">
        <v>70</v>
      </c>
      <c r="G724" s="6">
        <f t="shared" si="35"/>
        <v>70</v>
      </c>
      <c r="H724" s="6">
        <v>70</v>
      </c>
      <c r="I724" s="6">
        <f t="shared" si="33"/>
        <v>0</v>
      </c>
      <c r="J724" s="7" t="str">
        <f t="shared" si="34"/>
        <v>PAGADO</v>
      </c>
      <c r="M724" s="8"/>
    </row>
    <row r="725" spans="3:13" customFormat="1" x14ac:dyDescent="0.25">
      <c r="C725" s="9" t="s">
        <v>716</v>
      </c>
      <c r="D725" s="9" t="s">
        <v>238</v>
      </c>
      <c r="E725" s="10"/>
      <c r="F725" s="6">
        <v>90</v>
      </c>
      <c r="G725" s="6">
        <f t="shared" si="35"/>
        <v>90</v>
      </c>
      <c r="H725" s="6">
        <f>45+45</f>
        <v>90</v>
      </c>
      <c r="I725" s="6">
        <f t="shared" si="33"/>
        <v>0</v>
      </c>
      <c r="J725" s="7" t="str">
        <f t="shared" si="34"/>
        <v>PAGADO</v>
      </c>
      <c r="M725" s="8"/>
    </row>
    <row r="726" spans="3:13" customFormat="1" x14ac:dyDescent="0.25">
      <c r="C726" s="9" t="s">
        <v>717</v>
      </c>
      <c r="D726" s="9" t="s">
        <v>74</v>
      </c>
      <c r="E726" s="10"/>
      <c r="F726" s="6">
        <v>150</v>
      </c>
      <c r="G726" s="6">
        <f t="shared" si="35"/>
        <v>150</v>
      </c>
      <c r="H726" s="6">
        <v>150</v>
      </c>
      <c r="I726" s="26">
        <f t="shared" si="33"/>
        <v>0</v>
      </c>
      <c r="J726" s="7" t="str">
        <f t="shared" si="34"/>
        <v>PAGADO</v>
      </c>
      <c r="M726" s="8"/>
    </row>
    <row r="727" spans="3:13" customFormat="1" x14ac:dyDescent="0.25">
      <c r="C727" s="9" t="s">
        <v>718</v>
      </c>
      <c r="D727" s="9" t="s">
        <v>661</v>
      </c>
      <c r="E727" s="10"/>
      <c r="F727" s="6">
        <v>140</v>
      </c>
      <c r="G727" s="6">
        <f t="shared" si="35"/>
        <v>140</v>
      </c>
      <c r="H727" s="6">
        <f>50+90</f>
        <v>140</v>
      </c>
      <c r="I727" s="6">
        <f t="shared" si="33"/>
        <v>0</v>
      </c>
      <c r="J727" s="7" t="str">
        <f t="shared" si="34"/>
        <v>PAGADO</v>
      </c>
      <c r="K727" s="9"/>
      <c r="M727" s="8"/>
    </row>
    <row r="728" spans="3:13" customFormat="1" x14ac:dyDescent="0.25">
      <c r="C728" s="9" t="s">
        <v>719</v>
      </c>
      <c r="D728" t="s">
        <v>67</v>
      </c>
      <c r="E728" s="10"/>
      <c r="F728" s="6">
        <v>240</v>
      </c>
      <c r="G728" s="6">
        <f t="shared" si="35"/>
        <v>240</v>
      </c>
      <c r="H728" s="36">
        <f>100+100+40</f>
        <v>240</v>
      </c>
      <c r="I728" s="6">
        <f t="shared" si="33"/>
        <v>0</v>
      </c>
      <c r="J728" s="7" t="str">
        <f t="shared" si="34"/>
        <v>PAGADO</v>
      </c>
      <c r="M728" s="8"/>
    </row>
    <row r="729" spans="3:13" customFormat="1" x14ac:dyDescent="0.25">
      <c r="C729" s="9" t="s">
        <v>720</v>
      </c>
      <c r="D729" s="9" t="s">
        <v>89</v>
      </c>
      <c r="E729" s="10"/>
      <c r="F729" s="6">
        <v>130</v>
      </c>
      <c r="G729" s="6">
        <f t="shared" si="35"/>
        <v>130</v>
      </c>
      <c r="H729" s="26">
        <v>130</v>
      </c>
      <c r="I729" s="6">
        <f t="shared" si="33"/>
        <v>0</v>
      </c>
      <c r="J729" s="7" t="str">
        <f t="shared" si="34"/>
        <v>PAGADO</v>
      </c>
      <c r="M729" s="8"/>
    </row>
    <row r="730" spans="3:13" customFormat="1" x14ac:dyDescent="0.25">
      <c r="C730" s="9" t="s">
        <v>721</v>
      </c>
      <c r="D730" s="9" t="s">
        <v>202</v>
      </c>
      <c r="E730" s="10"/>
      <c r="F730" s="6">
        <v>180</v>
      </c>
      <c r="G730" s="6">
        <f t="shared" si="35"/>
        <v>180</v>
      </c>
      <c r="H730" s="6">
        <f>90+90</f>
        <v>180</v>
      </c>
      <c r="I730" s="6">
        <f t="shared" si="33"/>
        <v>0</v>
      </c>
      <c r="J730" s="7" t="str">
        <f t="shared" si="34"/>
        <v>PAGADO</v>
      </c>
      <c r="M730" s="8"/>
    </row>
    <row r="731" spans="3:13" customFormat="1" x14ac:dyDescent="0.25">
      <c r="C731" s="9" t="s">
        <v>334</v>
      </c>
      <c r="D731" s="9" t="s">
        <v>722</v>
      </c>
      <c r="E731" s="10"/>
      <c r="F731" s="6">
        <v>110</v>
      </c>
      <c r="G731" s="6">
        <f t="shared" si="35"/>
        <v>110</v>
      </c>
      <c r="H731" s="6">
        <f>55+55</f>
        <v>110</v>
      </c>
      <c r="I731" s="6">
        <f t="shared" si="33"/>
        <v>0</v>
      </c>
      <c r="J731" s="7" t="str">
        <f t="shared" si="34"/>
        <v>PAGADO</v>
      </c>
      <c r="M731" s="8"/>
    </row>
    <row r="732" spans="3:13" customFormat="1" x14ac:dyDescent="0.25">
      <c r="C732" s="9" t="s">
        <v>723</v>
      </c>
      <c r="D732" s="9" t="s">
        <v>722</v>
      </c>
      <c r="E732" s="10"/>
      <c r="F732" s="6">
        <v>60</v>
      </c>
      <c r="G732" s="6">
        <f t="shared" si="35"/>
        <v>60</v>
      </c>
      <c r="H732" s="6">
        <v>60</v>
      </c>
      <c r="I732" s="6">
        <f t="shared" si="33"/>
        <v>0</v>
      </c>
      <c r="J732" s="7" t="str">
        <f t="shared" si="34"/>
        <v>PAGADO</v>
      </c>
      <c r="M732" s="8"/>
    </row>
    <row r="733" spans="3:13" customFormat="1" x14ac:dyDescent="0.25">
      <c r="C733" s="9" t="s">
        <v>724</v>
      </c>
      <c r="D733" s="9" t="s">
        <v>680</v>
      </c>
      <c r="E733" s="10"/>
      <c r="F733" s="6">
        <v>70</v>
      </c>
      <c r="G733" s="6">
        <f t="shared" si="35"/>
        <v>70</v>
      </c>
      <c r="H733" s="6">
        <v>70</v>
      </c>
      <c r="I733" s="6">
        <f t="shared" si="33"/>
        <v>0</v>
      </c>
      <c r="J733" s="7" t="str">
        <f t="shared" si="34"/>
        <v>PAGADO</v>
      </c>
      <c r="M733" s="8"/>
    </row>
    <row r="734" spans="3:13" customFormat="1" x14ac:dyDescent="0.25">
      <c r="C734" s="9" t="s">
        <v>725</v>
      </c>
      <c r="D734" s="9" t="s">
        <v>67</v>
      </c>
      <c r="E734" s="10"/>
      <c r="F734" s="6">
        <v>25</v>
      </c>
      <c r="G734" s="6">
        <f t="shared" si="35"/>
        <v>25</v>
      </c>
      <c r="H734" s="36">
        <v>25</v>
      </c>
      <c r="I734" s="6">
        <f t="shared" si="33"/>
        <v>0</v>
      </c>
      <c r="J734" s="7" t="str">
        <f t="shared" si="34"/>
        <v>PAGADO</v>
      </c>
      <c r="M734" s="8"/>
    </row>
    <row r="735" spans="3:13" customFormat="1" x14ac:dyDescent="0.25">
      <c r="C735" s="9" t="s">
        <v>726</v>
      </c>
      <c r="D735" s="9" t="s">
        <v>67</v>
      </c>
      <c r="E735" s="10"/>
      <c r="F735" s="6">
        <v>18</v>
      </c>
      <c r="G735" s="6">
        <f t="shared" si="35"/>
        <v>18</v>
      </c>
      <c r="H735" s="36">
        <v>18</v>
      </c>
      <c r="I735" s="6">
        <f t="shared" si="33"/>
        <v>0</v>
      </c>
      <c r="J735" s="7" t="str">
        <f t="shared" si="34"/>
        <v>PAGADO</v>
      </c>
      <c r="M735" s="8"/>
    </row>
    <row r="736" spans="3:13" customFormat="1" x14ac:dyDescent="0.25">
      <c r="C736" s="9" t="s">
        <v>727</v>
      </c>
      <c r="D736" s="9" t="s">
        <v>70</v>
      </c>
      <c r="E736" s="10"/>
      <c r="F736" s="6">
        <v>65</v>
      </c>
      <c r="G736" s="6">
        <f t="shared" si="35"/>
        <v>65</v>
      </c>
      <c r="H736" s="37">
        <v>65</v>
      </c>
      <c r="I736" s="6">
        <f t="shared" si="33"/>
        <v>0</v>
      </c>
      <c r="J736" s="7" t="str">
        <f t="shared" si="34"/>
        <v>PAGADO</v>
      </c>
      <c r="M736" s="8"/>
    </row>
    <row r="737" spans="3:13" customFormat="1" x14ac:dyDescent="0.25">
      <c r="C737" s="9" t="s">
        <v>727</v>
      </c>
      <c r="D737" s="9" t="s">
        <v>67</v>
      </c>
      <c r="E737" s="10"/>
      <c r="F737" s="6">
        <v>60</v>
      </c>
      <c r="G737" s="6">
        <f t="shared" si="35"/>
        <v>60</v>
      </c>
      <c r="H737" s="25">
        <f>20+40</f>
        <v>60</v>
      </c>
      <c r="I737" s="6">
        <f t="shared" si="33"/>
        <v>0</v>
      </c>
      <c r="J737" s="7" t="str">
        <f t="shared" si="34"/>
        <v>PAGADO</v>
      </c>
      <c r="M737" s="8"/>
    </row>
    <row r="738" spans="3:13" customFormat="1" x14ac:dyDescent="0.25">
      <c r="C738" s="9" t="s">
        <v>728</v>
      </c>
      <c r="D738" s="9" t="s">
        <v>238</v>
      </c>
      <c r="E738" s="10"/>
      <c r="F738" s="6">
        <v>90</v>
      </c>
      <c r="G738" s="6">
        <f t="shared" si="35"/>
        <v>90</v>
      </c>
      <c r="H738" s="6">
        <v>90</v>
      </c>
      <c r="I738" s="6">
        <f t="shared" si="33"/>
        <v>0</v>
      </c>
      <c r="J738" s="7" t="str">
        <f t="shared" si="34"/>
        <v>PAGADO</v>
      </c>
      <c r="M738" s="8"/>
    </row>
    <row r="739" spans="3:13" customFormat="1" x14ac:dyDescent="0.25">
      <c r="C739" s="9" t="s">
        <v>729</v>
      </c>
      <c r="D739" s="9" t="s">
        <v>238</v>
      </c>
      <c r="E739" s="10"/>
      <c r="F739" s="6">
        <v>70</v>
      </c>
      <c r="G739" s="6">
        <f t="shared" si="35"/>
        <v>70</v>
      </c>
      <c r="H739" s="6">
        <v>70</v>
      </c>
      <c r="I739" s="6">
        <f t="shared" si="33"/>
        <v>0</v>
      </c>
      <c r="J739" s="7" t="str">
        <f t="shared" si="34"/>
        <v>PAGADO</v>
      </c>
      <c r="M739" s="8"/>
    </row>
    <row r="740" spans="3:13" customFormat="1" x14ac:dyDescent="0.25">
      <c r="C740" s="9" t="s">
        <v>730</v>
      </c>
      <c r="D740" s="9" t="s">
        <v>731</v>
      </c>
      <c r="E740" s="10"/>
      <c r="F740" s="6">
        <v>75</v>
      </c>
      <c r="G740" s="6">
        <f t="shared" si="35"/>
        <v>75</v>
      </c>
      <c r="H740" s="6">
        <v>75</v>
      </c>
      <c r="I740" s="6">
        <f t="shared" si="33"/>
        <v>0</v>
      </c>
      <c r="J740" s="7" t="str">
        <f t="shared" si="34"/>
        <v>PAGADO</v>
      </c>
      <c r="M740" s="8"/>
    </row>
    <row r="741" spans="3:13" customFormat="1" x14ac:dyDescent="0.25">
      <c r="C741" s="9" t="s">
        <v>732</v>
      </c>
      <c r="D741" s="9" t="s">
        <v>731</v>
      </c>
      <c r="E741" s="10"/>
      <c r="F741" s="6">
        <v>50</v>
      </c>
      <c r="G741" s="6">
        <f t="shared" si="35"/>
        <v>50</v>
      </c>
      <c r="H741" s="6">
        <v>50</v>
      </c>
      <c r="I741" s="6">
        <f t="shared" si="33"/>
        <v>0</v>
      </c>
      <c r="J741" s="7" t="str">
        <f t="shared" si="34"/>
        <v>PAGADO</v>
      </c>
      <c r="M741" s="8"/>
    </row>
    <row r="742" spans="3:13" customFormat="1" x14ac:dyDescent="0.25">
      <c r="C742" s="33" t="s">
        <v>733</v>
      </c>
      <c r="D742" s="9" t="s">
        <v>74</v>
      </c>
      <c r="E742" s="10"/>
      <c r="F742" s="6">
        <v>160</v>
      </c>
      <c r="G742" s="6">
        <f t="shared" si="35"/>
        <v>160</v>
      </c>
      <c r="H742" s="6">
        <v>160</v>
      </c>
      <c r="I742" s="16">
        <f t="shared" si="33"/>
        <v>0</v>
      </c>
      <c r="J742" s="7" t="str">
        <f t="shared" si="34"/>
        <v>PAGADO</v>
      </c>
      <c r="M742" s="8"/>
    </row>
    <row r="743" spans="3:13" customFormat="1" x14ac:dyDescent="0.25">
      <c r="C743" s="9" t="s">
        <v>734</v>
      </c>
      <c r="D743" s="9" t="s">
        <v>735</v>
      </c>
      <c r="E743" s="10"/>
      <c r="F743" s="6">
        <v>90</v>
      </c>
      <c r="G743" s="6">
        <f t="shared" si="35"/>
        <v>90</v>
      </c>
      <c r="H743" s="6">
        <f>45+45</f>
        <v>90</v>
      </c>
      <c r="I743" s="6">
        <f t="shared" si="33"/>
        <v>0</v>
      </c>
      <c r="J743" s="7" t="str">
        <f t="shared" si="34"/>
        <v>PAGADO</v>
      </c>
      <c r="M743" s="8"/>
    </row>
    <row r="744" spans="3:13" customFormat="1" x14ac:dyDescent="0.25">
      <c r="C744" s="9" t="s">
        <v>736</v>
      </c>
      <c r="D744" s="9" t="s">
        <v>737</v>
      </c>
      <c r="E744" s="10"/>
      <c r="F744" s="6">
        <v>65</v>
      </c>
      <c r="G744" s="6">
        <f t="shared" si="35"/>
        <v>65</v>
      </c>
      <c r="H744" s="6">
        <v>65</v>
      </c>
      <c r="I744" s="6">
        <f t="shared" si="33"/>
        <v>0</v>
      </c>
      <c r="J744" s="7" t="str">
        <f t="shared" si="34"/>
        <v>PAGADO</v>
      </c>
      <c r="M744" s="8"/>
    </row>
    <row r="745" spans="3:13" customFormat="1" x14ac:dyDescent="0.25">
      <c r="C745" s="9" t="s">
        <v>738</v>
      </c>
      <c r="D745" s="9" t="s">
        <v>737</v>
      </c>
      <c r="E745" s="10"/>
      <c r="F745" s="6">
        <v>65</v>
      </c>
      <c r="G745" s="6">
        <f t="shared" si="35"/>
        <v>65</v>
      </c>
      <c r="H745" s="6">
        <v>65</v>
      </c>
      <c r="I745" s="6">
        <f t="shared" si="33"/>
        <v>0</v>
      </c>
      <c r="J745" s="7" t="str">
        <f t="shared" si="34"/>
        <v>PAGADO</v>
      </c>
      <c r="M745" s="8"/>
    </row>
    <row r="746" spans="3:13" customFormat="1" x14ac:dyDescent="0.25">
      <c r="C746" s="9" t="s">
        <v>739</v>
      </c>
      <c r="D746" s="9" t="s">
        <v>740</v>
      </c>
      <c r="E746" s="10"/>
      <c r="F746" s="6">
        <v>80</v>
      </c>
      <c r="G746" s="6">
        <f t="shared" si="35"/>
        <v>80</v>
      </c>
      <c r="H746" s="6">
        <f>35+45</f>
        <v>80</v>
      </c>
      <c r="I746" s="6">
        <f t="shared" si="33"/>
        <v>0</v>
      </c>
      <c r="J746" s="7" t="str">
        <f t="shared" si="34"/>
        <v>PAGADO</v>
      </c>
      <c r="M746" s="8"/>
    </row>
    <row r="747" spans="3:13" customFormat="1" x14ac:dyDescent="0.25">
      <c r="C747" s="9" t="s">
        <v>741</v>
      </c>
      <c r="D747" s="9" t="s">
        <v>431</v>
      </c>
      <c r="E747" s="10"/>
      <c r="F747" s="6">
        <v>50</v>
      </c>
      <c r="G747" s="6">
        <f t="shared" si="35"/>
        <v>50</v>
      </c>
      <c r="H747" s="6">
        <f>10+20+10+10</f>
        <v>50</v>
      </c>
      <c r="I747" s="6">
        <f t="shared" si="33"/>
        <v>0</v>
      </c>
      <c r="J747" s="7" t="str">
        <f t="shared" si="34"/>
        <v>PAGADO</v>
      </c>
      <c r="M747" s="8"/>
    </row>
    <row r="748" spans="3:13" customFormat="1" x14ac:dyDescent="0.25">
      <c r="C748" s="9" t="s">
        <v>742</v>
      </c>
      <c r="D748" s="9" t="s">
        <v>431</v>
      </c>
      <c r="E748" s="10"/>
      <c r="F748" s="6">
        <v>15</v>
      </c>
      <c r="G748" s="6">
        <f t="shared" si="35"/>
        <v>15</v>
      </c>
      <c r="H748" s="6">
        <v>15</v>
      </c>
      <c r="I748" s="6">
        <f t="shared" si="33"/>
        <v>0</v>
      </c>
      <c r="J748" s="7" t="str">
        <f t="shared" si="34"/>
        <v>PAGADO</v>
      </c>
      <c r="M748" s="8"/>
    </row>
    <row r="749" spans="3:13" customFormat="1" x14ac:dyDescent="0.25">
      <c r="C749" s="9" t="s">
        <v>743</v>
      </c>
      <c r="D749" s="9" t="s">
        <v>431</v>
      </c>
      <c r="E749" s="10"/>
      <c r="F749" s="6">
        <v>10</v>
      </c>
      <c r="G749" s="6">
        <f t="shared" si="35"/>
        <v>10</v>
      </c>
      <c r="H749" s="6">
        <v>10</v>
      </c>
      <c r="I749" s="6">
        <f t="shared" si="33"/>
        <v>0</v>
      </c>
      <c r="J749" s="7" t="str">
        <f t="shared" si="34"/>
        <v>PAGADO</v>
      </c>
      <c r="M749" s="8"/>
    </row>
    <row r="750" spans="3:13" customFormat="1" x14ac:dyDescent="0.25">
      <c r="C750" s="9" t="s">
        <v>744</v>
      </c>
      <c r="D750" s="9" t="s">
        <v>431</v>
      </c>
      <c r="E750" s="10"/>
      <c r="F750" s="6">
        <v>12</v>
      </c>
      <c r="G750" s="6">
        <f t="shared" si="35"/>
        <v>12</v>
      </c>
      <c r="H750" s="6">
        <f>10+2</f>
        <v>12</v>
      </c>
      <c r="I750" s="6">
        <f t="shared" si="33"/>
        <v>0</v>
      </c>
      <c r="J750" s="7" t="str">
        <f t="shared" si="34"/>
        <v>PAGADO</v>
      </c>
      <c r="M750" s="8"/>
    </row>
    <row r="751" spans="3:13" customFormat="1" x14ac:dyDescent="0.25">
      <c r="C751" s="9" t="s">
        <v>424</v>
      </c>
      <c r="D751" s="9" t="s">
        <v>236</v>
      </c>
      <c r="E751" s="10"/>
      <c r="F751" s="6">
        <v>15</v>
      </c>
      <c r="G751" s="6">
        <f t="shared" si="35"/>
        <v>15</v>
      </c>
      <c r="H751" s="24">
        <v>15</v>
      </c>
      <c r="I751" s="6">
        <f t="shared" si="33"/>
        <v>0</v>
      </c>
      <c r="J751" s="7" t="str">
        <f t="shared" si="34"/>
        <v>PAGADO</v>
      </c>
      <c r="M751" s="8"/>
    </row>
    <row r="752" spans="3:13" customFormat="1" x14ac:dyDescent="0.25">
      <c r="C752" s="9" t="s">
        <v>745</v>
      </c>
      <c r="D752" s="9" t="s">
        <v>488</v>
      </c>
      <c r="E752" s="10"/>
      <c r="F752" s="6">
        <v>120</v>
      </c>
      <c r="G752" s="6">
        <f t="shared" si="35"/>
        <v>120</v>
      </c>
      <c r="H752" s="6">
        <v>120</v>
      </c>
      <c r="I752" s="6">
        <f t="shared" si="33"/>
        <v>0</v>
      </c>
      <c r="J752" s="7" t="str">
        <f t="shared" si="34"/>
        <v>PAGADO</v>
      </c>
      <c r="M752" s="8"/>
    </row>
    <row r="753" spans="3:13" customFormat="1" x14ac:dyDescent="0.25">
      <c r="C753" s="9" t="s">
        <v>746</v>
      </c>
      <c r="D753" t="s">
        <v>171</v>
      </c>
      <c r="E753" s="10"/>
      <c r="F753" s="6">
        <v>40</v>
      </c>
      <c r="G753" s="6">
        <f t="shared" si="35"/>
        <v>40</v>
      </c>
      <c r="H753" s="6">
        <v>40</v>
      </c>
      <c r="I753" s="6">
        <f t="shared" si="33"/>
        <v>0</v>
      </c>
      <c r="J753" s="7" t="str">
        <f t="shared" si="34"/>
        <v>PAGADO</v>
      </c>
      <c r="M753" s="8"/>
    </row>
    <row r="754" spans="3:13" customFormat="1" x14ac:dyDescent="0.25">
      <c r="C754" s="9" t="s">
        <v>747</v>
      </c>
      <c r="D754" t="s">
        <v>16</v>
      </c>
      <c r="E754" s="10"/>
      <c r="F754" s="11">
        <v>30</v>
      </c>
      <c r="G754" s="6">
        <f t="shared" si="35"/>
        <v>30</v>
      </c>
      <c r="H754" s="6">
        <v>30</v>
      </c>
      <c r="I754" s="6">
        <f t="shared" si="33"/>
        <v>0</v>
      </c>
      <c r="J754" s="7" t="str">
        <f t="shared" si="34"/>
        <v>PAGADO</v>
      </c>
      <c r="M754" s="8"/>
    </row>
    <row r="755" spans="3:13" customFormat="1" x14ac:dyDescent="0.25">
      <c r="C755" s="9" t="s">
        <v>748</v>
      </c>
      <c r="D755" t="s">
        <v>16</v>
      </c>
      <c r="E755" s="10"/>
      <c r="F755" s="6">
        <v>30</v>
      </c>
      <c r="G755" s="6">
        <f t="shared" si="35"/>
        <v>30</v>
      </c>
      <c r="H755" s="6">
        <v>30</v>
      </c>
      <c r="I755" s="6">
        <f t="shared" si="33"/>
        <v>0</v>
      </c>
      <c r="J755" s="7" t="str">
        <f t="shared" si="34"/>
        <v>PAGADO</v>
      </c>
      <c r="M755" s="8"/>
    </row>
    <row r="756" spans="3:13" customFormat="1" x14ac:dyDescent="0.25">
      <c r="C756" s="9" t="s">
        <v>749</v>
      </c>
      <c r="D756" t="s">
        <v>16</v>
      </c>
      <c r="E756" s="10"/>
      <c r="F756" s="6">
        <v>45</v>
      </c>
      <c r="G756" s="6">
        <f t="shared" si="35"/>
        <v>45</v>
      </c>
      <c r="H756" s="6">
        <v>45</v>
      </c>
      <c r="I756" s="6">
        <f t="shared" si="33"/>
        <v>0</v>
      </c>
      <c r="J756" s="7" t="str">
        <f t="shared" si="34"/>
        <v>PAGADO</v>
      </c>
      <c r="M756" s="8"/>
    </row>
    <row r="757" spans="3:13" customFormat="1" x14ac:dyDescent="0.25">
      <c r="C757" s="9" t="s">
        <v>750</v>
      </c>
      <c r="D757" t="s">
        <v>481</v>
      </c>
      <c r="E757" s="10"/>
      <c r="F757" s="6">
        <v>90</v>
      </c>
      <c r="G757" s="6">
        <f t="shared" si="35"/>
        <v>90</v>
      </c>
      <c r="H757" s="6">
        <f>45+45</f>
        <v>90</v>
      </c>
      <c r="I757" s="6">
        <f t="shared" si="33"/>
        <v>0</v>
      </c>
      <c r="J757" s="7" t="str">
        <f t="shared" si="34"/>
        <v>PAGADO</v>
      </c>
      <c r="K757" s="9"/>
      <c r="M757" s="8"/>
    </row>
    <row r="758" spans="3:13" customFormat="1" x14ac:dyDescent="0.25">
      <c r="C758" s="9" t="s">
        <v>751</v>
      </c>
      <c r="D758" s="9" t="s">
        <v>236</v>
      </c>
      <c r="E758" s="10"/>
      <c r="F758" s="6">
        <v>18</v>
      </c>
      <c r="G758" s="6">
        <f t="shared" si="35"/>
        <v>18</v>
      </c>
      <c r="H758" s="6">
        <v>18</v>
      </c>
      <c r="I758" s="6">
        <f t="shared" si="33"/>
        <v>0</v>
      </c>
      <c r="J758" s="7" t="str">
        <f t="shared" si="34"/>
        <v>PAGADO</v>
      </c>
      <c r="K758" s="9"/>
      <c r="M758" s="8"/>
    </row>
    <row r="759" spans="3:13" customFormat="1" x14ac:dyDescent="0.25">
      <c r="C759" s="9" t="s">
        <v>752</v>
      </c>
      <c r="D759" s="9" t="s">
        <v>238</v>
      </c>
      <c r="E759" s="10"/>
      <c r="F759" s="26">
        <v>90</v>
      </c>
      <c r="G759" s="26">
        <f t="shared" si="35"/>
        <v>90</v>
      </c>
      <c r="H759" s="26">
        <f>45+45</f>
        <v>90</v>
      </c>
      <c r="I759" s="26">
        <f t="shared" si="33"/>
        <v>0</v>
      </c>
      <c r="J759" s="7" t="str">
        <f t="shared" si="34"/>
        <v>PAGADO</v>
      </c>
      <c r="M759" s="8"/>
    </row>
    <row r="760" spans="3:13" customFormat="1" x14ac:dyDescent="0.25">
      <c r="C760" s="9" t="s">
        <v>753</v>
      </c>
      <c r="D760" t="s">
        <v>16</v>
      </c>
      <c r="E760" s="10"/>
      <c r="F760" s="6">
        <v>80</v>
      </c>
      <c r="G760" s="6">
        <f t="shared" si="35"/>
        <v>80</v>
      </c>
      <c r="H760" s="6">
        <v>80</v>
      </c>
      <c r="I760" s="6">
        <f t="shared" si="33"/>
        <v>0</v>
      </c>
      <c r="J760" s="7" t="str">
        <f t="shared" si="34"/>
        <v>PAGADO</v>
      </c>
      <c r="M760" s="8"/>
    </row>
    <row r="761" spans="3:13" customFormat="1" x14ac:dyDescent="0.25">
      <c r="C761" s="9" t="s">
        <v>754</v>
      </c>
      <c r="D761" s="9" t="s">
        <v>597</v>
      </c>
      <c r="E761" s="10"/>
      <c r="F761" s="6">
        <v>30</v>
      </c>
      <c r="G761" s="6">
        <f t="shared" si="35"/>
        <v>30</v>
      </c>
      <c r="H761" s="6">
        <v>30</v>
      </c>
      <c r="I761" s="6">
        <f t="shared" si="33"/>
        <v>0</v>
      </c>
      <c r="J761" s="7" t="str">
        <f t="shared" si="34"/>
        <v>PAGADO</v>
      </c>
      <c r="M761" s="8"/>
    </row>
    <row r="762" spans="3:13" customFormat="1" x14ac:dyDescent="0.25">
      <c r="C762" s="9" t="s">
        <v>755</v>
      </c>
      <c r="D762" s="9" t="s">
        <v>67</v>
      </c>
      <c r="E762" s="10"/>
      <c r="F762" s="6">
        <v>220</v>
      </c>
      <c r="G762" s="6">
        <f t="shared" si="35"/>
        <v>220</v>
      </c>
      <c r="H762" s="38">
        <f>100+100+20</f>
        <v>220</v>
      </c>
      <c r="I762" s="6">
        <f t="shared" si="33"/>
        <v>0</v>
      </c>
      <c r="J762" s="17" t="str">
        <f t="shared" si="34"/>
        <v>PAGADO</v>
      </c>
      <c r="M762" s="8"/>
    </row>
    <row r="763" spans="3:13" customFormat="1" x14ac:dyDescent="0.25">
      <c r="C763" s="9" t="s">
        <v>756</v>
      </c>
      <c r="D763" s="9" t="s">
        <v>80</v>
      </c>
      <c r="E763" s="10"/>
      <c r="F763" s="6">
        <v>155</v>
      </c>
      <c r="G763" s="6">
        <f t="shared" si="35"/>
        <v>155</v>
      </c>
      <c r="H763" s="6">
        <f>50+105</f>
        <v>155</v>
      </c>
      <c r="I763" s="6">
        <f t="shared" si="33"/>
        <v>0</v>
      </c>
      <c r="J763" s="7" t="str">
        <f t="shared" si="34"/>
        <v>PAGADO</v>
      </c>
      <c r="M763" s="8"/>
    </row>
    <row r="764" spans="3:13" customFormat="1" x14ac:dyDescent="0.25">
      <c r="C764" s="9" t="s">
        <v>757</v>
      </c>
      <c r="D764" s="9" t="s">
        <v>238</v>
      </c>
      <c r="E764" s="10"/>
      <c r="F764" s="26">
        <v>90</v>
      </c>
      <c r="G764" s="26">
        <f t="shared" si="35"/>
        <v>90</v>
      </c>
      <c r="H764" s="26">
        <f>45+45</f>
        <v>90</v>
      </c>
      <c r="I764" s="26">
        <f t="shared" si="33"/>
        <v>0</v>
      </c>
      <c r="J764" s="7" t="str">
        <f t="shared" si="34"/>
        <v>PAGADO</v>
      </c>
      <c r="M764" s="8"/>
    </row>
    <row r="765" spans="3:13" customFormat="1" x14ac:dyDescent="0.25">
      <c r="C765" s="9" t="s">
        <v>758</v>
      </c>
      <c r="D765" s="9" t="s">
        <v>488</v>
      </c>
      <c r="E765" s="10"/>
      <c r="F765" s="6">
        <v>250</v>
      </c>
      <c r="G765" s="6">
        <f t="shared" si="35"/>
        <v>250</v>
      </c>
      <c r="H765" s="6">
        <f>125+125</f>
        <v>250</v>
      </c>
      <c r="I765" s="6">
        <f t="shared" si="33"/>
        <v>0</v>
      </c>
      <c r="J765" s="7" t="str">
        <f t="shared" si="34"/>
        <v>PAGADO</v>
      </c>
      <c r="M765" s="8"/>
    </row>
    <row r="766" spans="3:13" customFormat="1" x14ac:dyDescent="0.25">
      <c r="C766" s="9" t="s">
        <v>759</v>
      </c>
      <c r="D766" s="9" t="s">
        <v>238</v>
      </c>
      <c r="E766" s="10"/>
      <c r="F766" s="26">
        <v>15</v>
      </c>
      <c r="G766" s="26">
        <f t="shared" si="35"/>
        <v>15</v>
      </c>
      <c r="H766" s="26">
        <v>15</v>
      </c>
      <c r="I766" s="26">
        <f t="shared" ref="I766:I829" si="36">F766-H766</f>
        <v>0</v>
      </c>
      <c r="J766" s="7" t="str">
        <f t="shared" ref="J766:J829" si="37">IF(I766&gt;0,"DEBE","PAGADO")</f>
        <v>PAGADO</v>
      </c>
      <c r="M766" s="8"/>
    </row>
    <row r="767" spans="3:13" customFormat="1" x14ac:dyDescent="0.25">
      <c r="C767" s="9" t="s">
        <v>760</v>
      </c>
      <c r="D767" s="9" t="s">
        <v>488</v>
      </c>
      <c r="E767" s="10"/>
      <c r="F767" s="6">
        <v>15</v>
      </c>
      <c r="G767" s="6">
        <f t="shared" si="35"/>
        <v>15</v>
      </c>
      <c r="H767" s="6">
        <f>7.5+7.5</f>
        <v>15</v>
      </c>
      <c r="I767" s="6">
        <f t="shared" si="36"/>
        <v>0</v>
      </c>
      <c r="J767" s="7" t="str">
        <f t="shared" si="37"/>
        <v>PAGADO</v>
      </c>
      <c r="M767" s="8"/>
    </row>
    <row r="768" spans="3:13" customFormat="1" x14ac:dyDescent="0.25">
      <c r="C768" s="9" t="s">
        <v>761</v>
      </c>
      <c r="D768" s="9" t="s">
        <v>481</v>
      </c>
      <c r="E768" s="10"/>
      <c r="F768" s="6">
        <v>155</v>
      </c>
      <c r="G768" s="6">
        <f t="shared" si="35"/>
        <v>155</v>
      </c>
      <c r="H768" s="6">
        <f>78+77</f>
        <v>155</v>
      </c>
      <c r="I768" s="6">
        <f t="shared" si="36"/>
        <v>0</v>
      </c>
      <c r="J768" s="7" t="str">
        <f t="shared" si="37"/>
        <v>PAGADO</v>
      </c>
      <c r="M768" s="8"/>
    </row>
    <row r="769" spans="3:13" customFormat="1" x14ac:dyDescent="0.25">
      <c r="C769" s="9" t="s">
        <v>762</v>
      </c>
      <c r="D769" s="9" t="s">
        <v>238</v>
      </c>
      <c r="E769" s="10"/>
      <c r="F769" s="26">
        <v>115</v>
      </c>
      <c r="G769" s="26">
        <f t="shared" si="35"/>
        <v>115</v>
      </c>
      <c r="H769" s="26">
        <v>115</v>
      </c>
      <c r="I769" s="26">
        <f t="shared" si="36"/>
        <v>0</v>
      </c>
      <c r="J769" s="7" t="str">
        <f t="shared" si="37"/>
        <v>PAGADO</v>
      </c>
      <c r="M769" s="8"/>
    </row>
    <row r="770" spans="3:13" customFormat="1" x14ac:dyDescent="0.25">
      <c r="C770" s="9" t="s">
        <v>763</v>
      </c>
      <c r="D770" s="9" t="s">
        <v>684</v>
      </c>
      <c r="E770" s="10"/>
      <c r="F770" s="6">
        <v>80</v>
      </c>
      <c r="G770" s="6">
        <f t="shared" ref="G770:G833" si="38">F770-E770</f>
        <v>80</v>
      </c>
      <c r="H770" s="6">
        <f>25+25+30</f>
        <v>80</v>
      </c>
      <c r="I770" s="6">
        <f t="shared" si="36"/>
        <v>0</v>
      </c>
      <c r="J770" s="7" t="str">
        <f t="shared" si="37"/>
        <v>PAGADO</v>
      </c>
      <c r="M770" s="8"/>
    </row>
    <row r="771" spans="3:13" customFormat="1" x14ac:dyDescent="0.25">
      <c r="C771" s="9" t="s">
        <v>764</v>
      </c>
      <c r="D771" s="9" t="s">
        <v>684</v>
      </c>
      <c r="E771" s="10"/>
      <c r="F771" s="6">
        <v>75</v>
      </c>
      <c r="G771" s="6">
        <f t="shared" si="38"/>
        <v>75</v>
      </c>
      <c r="H771" s="6">
        <f>25+25+25</f>
        <v>75</v>
      </c>
      <c r="I771" s="6">
        <f t="shared" si="36"/>
        <v>0</v>
      </c>
      <c r="J771" s="7" t="str">
        <f t="shared" si="37"/>
        <v>PAGADO</v>
      </c>
      <c r="M771" s="8"/>
    </row>
    <row r="772" spans="3:13" customFormat="1" x14ac:dyDescent="0.25">
      <c r="C772" s="9" t="s">
        <v>765</v>
      </c>
      <c r="D772" s="9" t="s">
        <v>236</v>
      </c>
      <c r="E772" s="10"/>
      <c r="F772" s="6">
        <v>200</v>
      </c>
      <c r="G772" s="6">
        <f t="shared" si="38"/>
        <v>200</v>
      </c>
      <c r="H772" s="6">
        <v>200</v>
      </c>
      <c r="I772" s="6">
        <f t="shared" si="36"/>
        <v>0</v>
      </c>
      <c r="J772" s="7" t="str">
        <f t="shared" si="37"/>
        <v>PAGADO</v>
      </c>
      <c r="M772" s="8"/>
    </row>
    <row r="773" spans="3:13" customFormat="1" x14ac:dyDescent="0.25">
      <c r="C773" t="s">
        <v>766</v>
      </c>
      <c r="D773" s="9" t="s">
        <v>690</v>
      </c>
      <c r="E773" s="10"/>
      <c r="F773" s="6">
        <v>120</v>
      </c>
      <c r="G773" s="6">
        <f t="shared" si="38"/>
        <v>120</v>
      </c>
      <c r="H773" s="6">
        <f>50+70</f>
        <v>120</v>
      </c>
      <c r="I773" s="6">
        <f t="shared" si="36"/>
        <v>0</v>
      </c>
      <c r="J773" s="7" t="str">
        <f t="shared" si="37"/>
        <v>PAGADO</v>
      </c>
      <c r="M773" s="8"/>
    </row>
    <row r="774" spans="3:13" customFormat="1" x14ac:dyDescent="0.25">
      <c r="C774" t="s">
        <v>766</v>
      </c>
      <c r="D774" s="9" t="s">
        <v>767</v>
      </c>
      <c r="E774" s="10"/>
      <c r="F774" s="6">
        <v>120</v>
      </c>
      <c r="G774" s="6">
        <f t="shared" si="38"/>
        <v>120</v>
      </c>
      <c r="H774" s="6">
        <f>60+60</f>
        <v>120</v>
      </c>
      <c r="I774" s="6">
        <f t="shared" si="36"/>
        <v>0</v>
      </c>
      <c r="J774" s="7" t="str">
        <f t="shared" si="37"/>
        <v>PAGADO</v>
      </c>
      <c r="M774" s="8"/>
    </row>
    <row r="775" spans="3:13" customFormat="1" x14ac:dyDescent="0.25">
      <c r="C775" t="s">
        <v>766</v>
      </c>
      <c r="D775" s="9" t="s">
        <v>313</v>
      </c>
      <c r="E775" s="10"/>
      <c r="F775" s="6">
        <v>120</v>
      </c>
      <c r="G775" s="6">
        <f t="shared" si="38"/>
        <v>120</v>
      </c>
      <c r="H775" s="6">
        <v>120</v>
      </c>
      <c r="I775" s="6">
        <f t="shared" si="36"/>
        <v>0</v>
      </c>
      <c r="J775" s="7" t="str">
        <f t="shared" si="37"/>
        <v>PAGADO</v>
      </c>
      <c r="M775" s="8"/>
    </row>
    <row r="776" spans="3:13" customFormat="1" x14ac:dyDescent="0.25">
      <c r="C776" t="s">
        <v>768</v>
      </c>
      <c r="D776" s="9" t="s">
        <v>313</v>
      </c>
      <c r="E776" s="10"/>
      <c r="F776" s="6">
        <v>60</v>
      </c>
      <c r="G776" s="6">
        <f t="shared" si="38"/>
        <v>60</v>
      </c>
      <c r="H776" s="6">
        <v>60</v>
      </c>
      <c r="I776" s="6">
        <f t="shared" si="36"/>
        <v>0</v>
      </c>
      <c r="J776" s="7" t="str">
        <f t="shared" si="37"/>
        <v>PAGADO</v>
      </c>
      <c r="M776" s="8"/>
    </row>
    <row r="777" spans="3:13" customFormat="1" x14ac:dyDescent="0.25">
      <c r="C777" t="s">
        <v>769</v>
      </c>
      <c r="D777" s="9" t="s">
        <v>770</v>
      </c>
      <c r="E777" s="10"/>
      <c r="F777" s="6">
        <v>15</v>
      </c>
      <c r="G777" s="6">
        <f t="shared" si="38"/>
        <v>15</v>
      </c>
      <c r="H777" s="6">
        <v>15</v>
      </c>
      <c r="I777" s="6">
        <f t="shared" si="36"/>
        <v>0</v>
      </c>
      <c r="J777" s="7" t="str">
        <f t="shared" si="37"/>
        <v>PAGADO</v>
      </c>
      <c r="M777" s="8"/>
    </row>
    <row r="778" spans="3:13" customFormat="1" x14ac:dyDescent="0.25">
      <c r="C778" s="9" t="s">
        <v>771</v>
      </c>
      <c r="D778" s="9" t="s">
        <v>74</v>
      </c>
      <c r="E778" s="10"/>
      <c r="F778" s="6">
        <v>30</v>
      </c>
      <c r="G778" s="6">
        <f t="shared" si="38"/>
        <v>30</v>
      </c>
      <c r="H778" s="6">
        <v>30</v>
      </c>
      <c r="I778" s="26">
        <f t="shared" si="36"/>
        <v>0</v>
      </c>
      <c r="J778" s="7" t="str">
        <f t="shared" si="37"/>
        <v>PAGADO</v>
      </c>
      <c r="M778" s="8"/>
    </row>
    <row r="779" spans="3:13" customFormat="1" x14ac:dyDescent="0.25">
      <c r="C779" s="9" t="s">
        <v>772</v>
      </c>
      <c r="D779" s="9" t="s">
        <v>692</v>
      </c>
      <c r="E779" s="10"/>
      <c r="F779" s="6">
        <v>50</v>
      </c>
      <c r="G779" s="6">
        <f t="shared" si="38"/>
        <v>50</v>
      </c>
      <c r="H779" s="30">
        <v>50</v>
      </c>
      <c r="I779" s="6">
        <f t="shared" si="36"/>
        <v>0</v>
      </c>
      <c r="J779" s="7" t="str">
        <f t="shared" si="37"/>
        <v>PAGADO</v>
      </c>
      <c r="K779" s="35" t="s">
        <v>693</v>
      </c>
      <c r="M779" s="8"/>
    </row>
    <row r="780" spans="3:13" customFormat="1" x14ac:dyDescent="0.25">
      <c r="C780" s="9" t="s">
        <v>773</v>
      </c>
      <c r="D780" s="9" t="s">
        <v>33</v>
      </c>
      <c r="E780" s="10"/>
      <c r="F780" s="6">
        <v>110</v>
      </c>
      <c r="G780" s="6">
        <f t="shared" si="38"/>
        <v>110</v>
      </c>
      <c r="H780" s="6">
        <f>55+55</f>
        <v>110</v>
      </c>
      <c r="I780" s="6">
        <f t="shared" si="36"/>
        <v>0</v>
      </c>
      <c r="J780" s="7" t="str">
        <f t="shared" si="37"/>
        <v>PAGADO</v>
      </c>
      <c r="M780" s="8"/>
    </row>
    <row r="781" spans="3:13" customFormat="1" x14ac:dyDescent="0.25">
      <c r="C781" s="9" t="s">
        <v>774</v>
      </c>
      <c r="D781" s="9" t="s">
        <v>33</v>
      </c>
      <c r="E781" s="10"/>
      <c r="F781" s="6">
        <v>110</v>
      </c>
      <c r="G781" s="6">
        <f t="shared" si="38"/>
        <v>110</v>
      </c>
      <c r="H781" s="6">
        <f>55+55</f>
        <v>110</v>
      </c>
      <c r="I781" s="6">
        <f t="shared" si="36"/>
        <v>0</v>
      </c>
      <c r="J781" s="7" t="str">
        <f t="shared" si="37"/>
        <v>PAGADO</v>
      </c>
      <c r="M781" s="8"/>
    </row>
    <row r="782" spans="3:13" customFormat="1" x14ac:dyDescent="0.25">
      <c r="C782" s="9" t="s">
        <v>775</v>
      </c>
      <c r="D782" s="9" t="s">
        <v>33</v>
      </c>
      <c r="E782" s="10"/>
      <c r="F782" s="6">
        <v>50</v>
      </c>
      <c r="G782" s="6">
        <f t="shared" si="38"/>
        <v>50</v>
      </c>
      <c r="H782" s="6">
        <v>50</v>
      </c>
      <c r="I782" s="6">
        <f t="shared" si="36"/>
        <v>0</v>
      </c>
      <c r="J782" s="7" t="str">
        <f t="shared" si="37"/>
        <v>PAGADO</v>
      </c>
      <c r="K782" s="9"/>
      <c r="M782" s="8"/>
    </row>
    <row r="783" spans="3:13" customFormat="1" x14ac:dyDescent="0.25">
      <c r="C783" s="9" t="s">
        <v>776</v>
      </c>
      <c r="D783" s="9" t="s">
        <v>33</v>
      </c>
      <c r="E783" s="10"/>
      <c r="F783" s="6">
        <v>50</v>
      </c>
      <c r="G783" s="6">
        <f t="shared" si="38"/>
        <v>50</v>
      </c>
      <c r="H783" s="6">
        <v>50</v>
      </c>
      <c r="I783" s="6">
        <f t="shared" si="36"/>
        <v>0</v>
      </c>
      <c r="J783" s="7" t="str">
        <f t="shared" si="37"/>
        <v>PAGADO</v>
      </c>
      <c r="K783" s="9"/>
      <c r="M783" s="8"/>
    </row>
    <row r="784" spans="3:13" customFormat="1" x14ac:dyDescent="0.25">
      <c r="C784" s="9" t="s">
        <v>777</v>
      </c>
      <c r="D784" s="9" t="s">
        <v>377</v>
      </c>
      <c r="E784" s="10"/>
      <c r="F784" s="6">
        <v>40</v>
      </c>
      <c r="G784" s="6">
        <f t="shared" si="38"/>
        <v>40</v>
      </c>
      <c r="H784" s="6">
        <v>40</v>
      </c>
      <c r="I784" s="6">
        <f t="shared" si="36"/>
        <v>0</v>
      </c>
      <c r="J784" s="7" t="str">
        <f t="shared" si="37"/>
        <v>PAGADO</v>
      </c>
      <c r="M784" s="8"/>
    </row>
    <row r="785" spans="3:13" customFormat="1" x14ac:dyDescent="0.25">
      <c r="C785" s="9" t="s">
        <v>778</v>
      </c>
      <c r="D785" t="s">
        <v>171</v>
      </c>
      <c r="E785" s="10"/>
      <c r="F785" s="6">
        <v>200</v>
      </c>
      <c r="G785" s="6">
        <f t="shared" si="38"/>
        <v>200</v>
      </c>
      <c r="H785" s="6">
        <v>200</v>
      </c>
      <c r="I785" s="6">
        <f t="shared" si="36"/>
        <v>0</v>
      </c>
      <c r="J785" s="7" t="str">
        <f t="shared" si="37"/>
        <v>PAGADO</v>
      </c>
      <c r="K785" t="s">
        <v>779</v>
      </c>
      <c r="M785" s="8"/>
    </row>
    <row r="786" spans="3:13" customFormat="1" x14ac:dyDescent="0.25">
      <c r="C786" s="9" t="s">
        <v>780</v>
      </c>
      <c r="D786" t="s">
        <v>781</v>
      </c>
      <c r="E786" s="10"/>
      <c r="F786" s="6">
        <v>80</v>
      </c>
      <c r="G786" s="6">
        <f t="shared" si="38"/>
        <v>80</v>
      </c>
      <c r="H786" s="6">
        <v>80</v>
      </c>
      <c r="I786" s="6">
        <f t="shared" si="36"/>
        <v>0</v>
      </c>
      <c r="J786" s="7" t="str">
        <f t="shared" si="37"/>
        <v>PAGADO</v>
      </c>
      <c r="M786" s="8"/>
    </row>
    <row r="787" spans="3:13" customFormat="1" x14ac:dyDescent="0.25">
      <c r="C787" s="9" t="s">
        <v>782</v>
      </c>
      <c r="D787" t="s">
        <v>783</v>
      </c>
      <c r="E787" s="10"/>
      <c r="F787" s="6">
        <v>70</v>
      </c>
      <c r="G787" s="6">
        <f t="shared" si="38"/>
        <v>70</v>
      </c>
      <c r="H787" s="6">
        <v>70</v>
      </c>
      <c r="I787" s="6">
        <f t="shared" si="36"/>
        <v>0</v>
      </c>
      <c r="J787" s="7" t="str">
        <f t="shared" si="37"/>
        <v>PAGADO</v>
      </c>
      <c r="M787" s="8"/>
    </row>
    <row r="788" spans="3:13" customFormat="1" x14ac:dyDescent="0.25">
      <c r="C788" s="9" t="s">
        <v>784</v>
      </c>
      <c r="D788" t="s">
        <v>783</v>
      </c>
      <c r="E788" s="10"/>
      <c r="F788" s="6">
        <v>75</v>
      </c>
      <c r="G788" s="6">
        <f t="shared" si="38"/>
        <v>75</v>
      </c>
      <c r="H788" s="6">
        <v>75</v>
      </c>
      <c r="I788" s="6">
        <f t="shared" si="36"/>
        <v>0</v>
      </c>
      <c r="J788" s="7" t="str">
        <f t="shared" si="37"/>
        <v>PAGADO</v>
      </c>
      <c r="M788" s="8"/>
    </row>
    <row r="789" spans="3:13" customFormat="1" x14ac:dyDescent="0.25">
      <c r="C789" s="9" t="s">
        <v>785</v>
      </c>
      <c r="D789" t="s">
        <v>783</v>
      </c>
      <c r="E789" s="10"/>
      <c r="F789" s="6">
        <v>75</v>
      </c>
      <c r="G789" s="6">
        <f t="shared" si="38"/>
        <v>75</v>
      </c>
      <c r="H789" s="6">
        <v>75</v>
      </c>
      <c r="I789" s="6">
        <f t="shared" si="36"/>
        <v>0</v>
      </c>
      <c r="J789" s="7" t="str">
        <f t="shared" si="37"/>
        <v>PAGADO</v>
      </c>
      <c r="M789" s="8"/>
    </row>
    <row r="790" spans="3:13" customFormat="1" x14ac:dyDescent="0.25">
      <c r="C790" s="9" t="s">
        <v>786</v>
      </c>
      <c r="D790" t="s">
        <v>783</v>
      </c>
      <c r="E790" s="10"/>
      <c r="F790" s="6">
        <v>75</v>
      </c>
      <c r="G790" s="6">
        <f t="shared" si="38"/>
        <v>75</v>
      </c>
      <c r="H790" s="6">
        <v>75</v>
      </c>
      <c r="I790" s="6">
        <f t="shared" si="36"/>
        <v>0</v>
      </c>
      <c r="J790" s="7" t="str">
        <f t="shared" si="37"/>
        <v>PAGADO</v>
      </c>
      <c r="M790" s="8"/>
    </row>
    <row r="791" spans="3:13" customFormat="1" x14ac:dyDescent="0.25">
      <c r="C791" s="9" t="s">
        <v>787</v>
      </c>
      <c r="D791" t="s">
        <v>783</v>
      </c>
      <c r="E791" s="10"/>
      <c r="F791" s="6">
        <v>75</v>
      </c>
      <c r="G791" s="6">
        <f t="shared" si="38"/>
        <v>75</v>
      </c>
      <c r="H791" s="6">
        <v>75</v>
      </c>
      <c r="I791" s="6">
        <f t="shared" si="36"/>
        <v>0</v>
      </c>
      <c r="J791" s="7" t="str">
        <f t="shared" si="37"/>
        <v>PAGADO</v>
      </c>
      <c r="M791" s="8"/>
    </row>
    <row r="792" spans="3:13" customFormat="1" x14ac:dyDescent="0.25">
      <c r="C792" s="9" t="s">
        <v>788</v>
      </c>
      <c r="D792" t="s">
        <v>18</v>
      </c>
      <c r="E792" s="10"/>
      <c r="F792" s="6">
        <v>45</v>
      </c>
      <c r="G792" s="6">
        <f t="shared" si="38"/>
        <v>45</v>
      </c>
      <c r="H792" s="6">
        <v>45</v>
      </c>
      <c r="I792" s="6">
        <f t="shared" si="36"/>
        <v>0</v>
      </c>
      <c r="J792" s="7" t="str">
        <f t="shared" si="37"/>
        <v>PAGADO</v>
      </c>
      <c r="M792" s="8"/>
    </row>
    <row r="793" spans="3:13" customFormat="1" x14ac:dyDescent="0.25">
      <c r="C793" s="9" t="s">
        <v>789</v>
      </c>
      <c r="D793" t="s">
        <v>488</v>
      </c>
      <c r="E793" s="10"/>
      <c r="F793" s="6">
        <v>100</v>
      </c>
      <c r="G793" s="6">
        <f t="shared" si="38"/>
        <v>100</v>
      </c>
      <c r="H793" s="6">
        <v>100</v>
      </c>
      <c r="I793" s="6">
        <f t="shared" si="36"/>
        <v>0</v>
      </c>
      <c r="J793" s="7" t="str">
        <f t="shared" si="37"/>
        <v>PAGADO</v>
      </c>
      <c r="M793" s="8"/>
    </row>
    <row r="794" spans="3:13" customFormat="1" x14ac:dyDescent="0.25">
      <c r="C794" s="9" t="s">
        <v>790</v>
      </c>
      <c r="D794" t="s">
        <v>791</v>
      </c>
      <c r="E794" s="10"/>
      <c r="F794" s="6">
        <v>110</v>
      </c>
      <c r="G794" s="6">
        <f t="shared" si="38"/>
        <v>110</v>
      </c>
      <c r="H794" s="6">
        <f>50+60</f>
        <v>110</v>
      </c>
      <c r="I794" s="6">
        <f t="shared" si="36"/>
        <v>0</v>
      </c>
      <c r="J794" s="7" t="str">
        <f t="shared" si="37"/>
        <v>PAGADO</v>
      </c>
      <c r="M794" s="8"/>
    </row>
    <row r="795" spans="3:13" customFormat="1" x14ac:dyDescent="0.25">
      <c r="C795" s="9" t="s">
        <v>792</v>
      </c>
      <c r="D795" s="9" t="s">
        <v>740</v>
      </c>
      <c r="E795" s="10"/>
      <c r="F795" s="6">
        <v>75</v>
      </c>
      <c r="G795" s="6">
        <f t="shared" si="38"/>
        <v>75</v>
      </c>
      <c r="H795" s="6">
        <f>35+40</f>
        <v>75</v>
      </c>
      <c r="I795" s="6">
        <f t="shared" si="36"/>
        <v>0</v>
      </c>
      <c r="J795" s="7" t="str">
        <f t="shared" si="37"/>
        <v>PAGADO</v>
      </c>
      <c r="M795" s="8"/>
    </row>
    <row r="796" spans="3:13" customFormat="1" x14ac:dyDescent="0.25">
      <c r="C796" s="9" t="s">
        <v>555</v>
      </c>
      <c r="D796" s="9" t="s">
        <v>793</v>
      </c>
      <c r="E796" s="10"/>
      <c r="F796" s="6">
        <v>50</v>
      </c>
      <c r="G796" s="6">
        <f t="shared" si="38"/>
        <v>50</v>
      </c>
      <c r="H796" s="6">
        <v>50</v>
      </c>
      <c r="I796" s="6">
        <f t="shared" si="36"/>
        <v>0</v>
      </c>
      <c r="J796" s="7" t="str">
        <f t="shared" si="37"/>
        <v>PAGADO</v>
      </c>
      <c r="M796" s="8"/>
    </row>
    <row r="797" spans="3:13" customFormat="1" x14ac:dyDescent="0.25">
      <c r="C797" s="9" t="s">
        <v>794</v>
      </c>
      <c r="D797" s="9" t="s">
        <v>80</v>
      </c>
      <c r="E797" s="10"/>
      <c r="F797" s="6">
        <v>165</v>
      </c>
      <c r="G797" s="6">
        <f t="shared" si="38"/>
        <v>165</v>
      </c>
      <c r="H797" s="6">
        <f>50+115</f>
        <v>165</v>
      </c>
      <c r="I797" s="6">
        <f t="shared" si="36"/>
        <v>0</v>
      </c>
      <c r="J797" s="7" t="str">
        <f t="shared" si="37"/>
        <v>PAGADO</v>
      </c>
      <c r="M797" s="8"/>
    </row>
    <row r="798" spans="3:13" customFormat="1" x14ac:dyDescent="0.25">
      <c r="C798" s="9" t="s">
        <v>795</v>
      </c>
      <c r="D798" s="9" t="s">
        <v>74</v>
      </c>
      <c r="E798" s="10"/>
      <c r="F798" s="6">
        <v>30</v>
      </c>
      <c r="G798" s="6">
        <f t="shared" si="38"/>
        <v>30</v>
      </c>
      <c r="H798" s="6">
        <v>30</v>
      </c>
      <c r="I798" s="16">
        <f t="shared" si="36"/>
        <v>0</v>
      </c>
      <c r="J798" s="7" t="str">
        <f t="shared" si="37"/>
        <v>PAGADO</v>
      </c>
      <c r="M798" s="8"/>
    </row>
    <row r="799" spans="3:13" customFormat="1" x14ac:dyDescent="0.25">
      <c r="C799" s="9" t="s">
        <v>796</v>
      </c>
      <c r="D799" s="9" t="s">
        <v>74</v>
      </c>
      <c r="E799" s="10"/>
      <c r="F799" s="6">
        <v>30</v>
      </c>
      <c r="G799" s="6">
        <f t="shared" si="38"/>
        <v>30</v>
      </c>
      <c r="H799" s="6">
        <v>30</v>
      </c>
      <c r="I799" s="16">
        <f t="shared" si="36"/>
        <v>0</v>
      </c>
      <c r="J799" s="7" t="str">
        <f t="shared" si="37"/>
        <v>PAGADO</v>
      </c>
      <c r="M799" s="8"/>
    </row>
    <row r="800" spans="3:13" customFormat="1" x14ac:dyDescent="0.25">
      <c r="C800" s="9" t="s">
        <v>113</v>
      </c>
      <c r="D800" s="9" t="s">
        <v>127</v>
      </c>
      <c r="E800" s="10"/>
      <c r="F800" s="6">
        <v>27.5</v>
      </c>
      <c r="G800" s="6">
        <f t="shared" si="38"/>
        <v>27.5</v>
      </c>
      <c r="H800" s="6">
        <v>27.5</v>
      </c>
      <c r="I800" s="6">
        <f t="shared" si="36"/>
        <v>0</v>
      </c>
      <c r="J800" s="7" t="str">
        <f t="shared" si="37"/>
        <v>PAGADO</v>
      </c>
      <c r="M800" s="8"/>
    </row>
    <row r="801" spans="3:13" customFormat="1" x14ac:dyDescent="0.25">
      <c r="C801" s="9" t="s">
        <v>797</v>
      </c>
      <c r="D801" s="9" t="s">
        <v>127</v>
      </c>
      <c r="E801" s="10"/>
      <c r="F801" s="6">
        <v>27.5</v>
      </c>
      <c r="G801" s="6">
        <f t="shared" si="38"/>
        <v>27.5</v>
      </c>
      <c r="H801" s="6">
        <v>27.5</v>
      </c>
      <c r="I801" s="6">
        <f t="shared" si="36"/>
        <v>0</v>
      </c>
      <c r="J801" s="7" t="str">
        <f t="shared" si="37"/>
        <v>PAGADO</v>
      </c>
      <c r="M801" s="8"/>
    </row>
    <row r="802" spans="3:13" customFormat="1" x14ac:dyDescent="0.25">
      <c r="C802" s="9" t="s">
        <v>798</v>
      </c>
      <c r="D802" s="9" t="s">
        <v>711</v>
      </c>
      <c r="E802" s="10"/>
      <c r="F802" s="6">
        <v>90</v>
      </c>
      <c r="G802" s="6">
        <f t="shared" si="38"/>
        <v>90</v>
      </c>
      <c r="H802" s="24">
        <v>90</v>
      </c>
      <c r="I802" s="6">
        <f t="shared" si="36"/>
        <v>0</v>
      </c>
      <c r="J802" s="7" t="str">
        <f t="shared" si="37"/>
        <v>PAGADO</v>
      </c>
      <c r="M802" s="8"/>
    </row>
    <row r="803" spans="3:13" customFormat="1" x14ac:dyDescent="0.25">
      <c r="C803" s="9" t="s">
        <v>799</v>
      </c>
      <c r="D803" s="9" t="s">
        <v>711</v>
      </c>
      <c r="E803" s="10"/>
      <c r="F803" s="6">
        <v>60</v>
      </c>
      <c r="G803" s="6">
        <f t="shared" si="38"/>
        <v>60</v>
      </c>
      <c r="H803" s="24">
        <f>10+50</f>
        <v>60</v>
      </c>
      <c r="I803" s="6">
        <f t="shared" si="36"/>
        <v>0</v>
      </c>
      <c r="J803" s="7" t="str">
        <f t="shared" si="37"/>
        <v>PAGADO</v>
      </c>
      <c r="M803" s="8"/>
    </row>
    <row r="804" spans="3:13" customFormat="1" x14ac:dyDescent="0.25">
      <c r="C804" s="9" t="s">
        <v>800</v>
      </c>
      <c r="D804" s="9" t="s">
        <v>711</v>
      </c>
      <c r="E804" s="10"/>
      <c r="F804" s="6">
        <v>55</v>
      </c>
      <c r="G804" s="6">
        <f t="shared" si="38"/>
        <v>55</v>
      </c>
      <c r="H804" s="25">
        <v>55</v>
      </c>
      <c r="I804" s="6">
        <f t="shared" si="36"/>
        <v>0</v>
      </c>
      <c r="J804" s="7" t="str">
        <f t="shared" si="37"/>
        <v>PAGADO</v>
      </c>
      <c r="M804" s="8"/>
    </row>
    <row r="805" spans="3:13" customFormat="1" x14ac:dyDescent="0.25">
      <c r="C805" s="9" t="s">
        <v>801</v>
      </c>
      <c r="D805" s="9" t="s">
        <v>711</v>
      </c>
      <c r="E805" s="10"/>
      <c r="F805" s="6">
        <v>55</v>
      </c>
      <c r="G805" s="6">
        <f t="shared" si="38"/>
        <v>55</v>
      </c>
      <c r="H805" s="25">
        <f>45+10</f>
        <v>55</v>
      </c>
      <c r="I805" s="6">
        <f t="shared" si="36"/>
        <v>0</v>
      </c>
      <c r="J805" s="7" t="str">
        <f t="shared" si="37"/>
        <v>PAGADO</v>
      </c>
      <c r="M805" s="8"/>
    </row>
    <row r="806" spans="3:13" customFormat="1" x14ac:dyDescent="0.25">
      <c r="C806" s="9" t="s">
        <v>598</v>
      </c>
      <c r="D806" s="9" t="s">
        <v>711</v>
      </c>
      <c r="E806" s="10"/>
      <c r="F806" s="6">
        <v>55</v>
      </c>
      <c r="G806" s="6">
        <f t="shared" si="38"/>
        <v>55</v>
      </c>
      <c r="H806" s="6">
        <f>35+20</f>
        <v>55</v>
      </c>
      <c r="I806" s="6">
        <f t="shared" si="36"/>
        <v>0</v>
      </c>
      <c r="J806" s="7" t="str">
        <f t="shared" si="37"/>
        <v>PAGADO</v>
      </c>
      <c r="M806" s="8"/>
    </row>
    <row r="807" spans="3:13" customFormat="1" x14ac:dyDescent="0.25">
      <c r="C807" s="9" t="s">
        <v>802</v>
      </c>
      <c r="D807" s="9" t="s">
        <v>711</v>
      </c>
      <c r="E807" s="10"/>
      <c r="F807" s="6">
        <v>50</v>
      </c>
      <c r="G807" s="6">
        <f t="shared" si="38"/>
        <v>50</v>
      </c>
      <c r="H807" s="6">
        <v>50</v>
      </c>
      <c r="I807" s="6">
        <f t="shared" si="36"/>
        <v>0</v>
      </c>
      <c r="J807" s="7" t="str">
        <f t="shared" si="37"/>
        <v>PAGADO</v>
      </c>
      <c r="M807" s="8"/>
    </row>
    <row r="808" spans="3:13" customFormat="1" x14ac:dyDescent="0.25">
      <c r="C808" s="9" t="s">
        <v>695</v>
      </c>
      <c r="D808" s="9" t="s">
        <v>711</v>
      </c>
      <c r="E808" s="10"/>
      <c r="F808" s="6">
        <v>60</v>
      </c>
      <c r="G808" s="6">
        <f t="shared" si="38"/>
        <v>60</v>
      </c>
      <c r="H808" s="6">
        <v>60</v>
      </c>
      <c r="I808" s="6">
        <f t="shared" si="36"/>
        <v>0</v>
      </c>
      <c r="J808" s="7" t="str">
        <f t="shared" si="37"/>
        <v>PAGADO</v>
      </c>
      <c r="M808" s="8"/>
    </row>
    <row r="809" spans="3:13" customFormat="1" x14ac:dyDescent="0.25">
      <c r="C809" t="s">
        <v>803</v>
      </c>
      <c r="D809" t="s">
        <v>481</v>
      </c>
      <c r="E809" s="10"/>
      <c r="F809" s="6">
        <v>15</v>
      </c>
      <c r="G809" s="6">
        <f t="shared" si="38"/>
        <v>15</v>
      </c>
      <c r="H809" s="6">
        <v>15</v>
      </c>
      <c r="I809" s="6">
        <f t="shared" si="36"/>
        <v>0</v>
      </c>
      <c r="J809" s="7" t="str">
        <f t="shared" si="37"/>
        <v>PAGADO</v>
      </c>
      <c r="M809" s="8"/>
    </row>
    <row r="810" spans="3:13" customFormat="1" x14ac:dyDescent="0.25">
      <c r="C810" t="s">
        <v>804</v>
      </c>
      <c r="D810" t="s">
        <v>74</v>
      </c>
      <c r="E810" s="10"/>
      <c r="F810" s="6">
        <v>25</v>
      </c>
      <c r="G810" s="6">
        <f t="shared" si="38"/>
        <v>25</v>
      </c>
      <c r="H810" s="6">
        <v>25</v>
      </c>
      <c r="I810" s="16">
        <f t="shared" si="36"/>
        <v>0</v>
      </c>
      <c r="J810" s="7" t="str">
        <f t="shared" si="37"/>
        <v>PAGADO</v>
      </c>
      <c r="M810" s="8"/>
    </row>
    <row r="811" spans="3:13" customFormat="1" x14ac:dyDescent="0.25">
      <c r="C811" s="9" t="s">
        <v>805</v>
      </c>
      <c r="D811" s="9" t="s">
        <v>722</v>
      </c>
      <c r="E811" s="10"/>
      <c r="F811" s="6">
        <v>80</v>
      </c>
      <c r="G811" s="6">
        <f t="shared" si="38"/>
        <v>80</v>
      </c>
      <c r="H811" s="6">
        <v>80</v>
      </c>
      <c r="I811" s="6">
        <f t="shared" si="36"/>
        <v>0</v>
      </c>
      <c r="J811" s="7" t="str">
        <f t="shared" si="37"/>
        <v>PAGADO</v>
      </c>
      <c r="M811" s="8"/>
    </row>
    <row r="812" spans="3:13" customFormat="1" x14ac:dyDescent="0.25">
      <c r="C812" s="9" t="s">
        <v>806</v>
      </c>
      <c r="D812" s="9" t="s">
        <v>807</v>
      </c>
      <c r="E812" s="10"/>
      <c r="F812" s="6">
        <v>60</v>
      </c>
      <c r="G812" s="6">
        <f t="shared" si="38"/>
        <v>60</v>
      </c>
      <c r="H812" s="6">
        <f>40+20</f>
        <v>60</v>
      </c>
      <c r="I812" s="6">
        <f t="shared" si="36"/>
        <v>0</v>
      </c>
      <c r="J812" s="7" t="str">
        <f t="shared" si="37"/>
        <v>PAGADO</v>
      </c>
      <c r="M812" s="8"/>
    </row>
    <row r="813" spans="3:13" customFormat="1" x14ac:dyDescent="0.25">
      <c r="C813" s="9" t="s">
        <v>808</v>
      </c>
      <c r="D813" s="9" t="s">
        <v>809</v>
      </c>
      <c r="E813" s="10"/>
      <c r="F813" s="6">
        <v>55</v>
      </c>
      <c r="G813" s="6">
        <f t="shared" si="38"/>
        <v>55</v>
      </c>
      <c r="H813" s="6">
        <v>55</v>
      </c>
      <c r="I813" s="6">
        <f t="shared" si="36"/>
        <v>0</v>
      </c>
      <c r="J813" s="7" t="str">
        <f t="shared" si="37"/>
        <v>PAGADO</v>
      </c>
      <c r="M813" s="8"/>
    </row>
    <row r="814" spans="3:13" customFormat="1" x14ac:dyDescent="0.25">
      <c r="C814" s="9" t="s">
        <v>810</v>
      </c>
      <c r="D814" s="9" t="s">
        <v>811</v>
      </c>
      <c r="E814" s="10"/>
      <c r="F814" s="6">
        <v>70</v>
      </c>
      <c r="G814" s="6">
        <f t="shared" si="38"/>
        <v>70</v>
      </c>
      <c r="H814" s="6">
        <v>70</v>
      </c>
      <c r="I814" s="6">
        <f t="shared" si="36"/>
        <v>0</v>
      </c>
      <c r="J814" s="7" t="str">
        <f t="shared" si="37"/>
        <v>PAGADO</v>
      </c>
      <c r="M814" s="8"/>
    </row>
    <row r="815" spans="3:13" customFormat="1" x14ac:dyDescent="0.25">
      <c r="C815" s="9" t="s">
        <v>812</v>
      </c>
      <c r="D815" s="9" t="s">
        <v>813</v>
      </c>
      <c r="E815" s="10"/>
      <c r="F815" s="6">
        <v>65</v>
      </c>
      <c r="G815" s="6">
        <f t="shared" si="38"/>
        <v>65</v>
      </c>
      <c r="H815" s="6">
        <v>65</v>
      </c>
      <c r="I815" s="6">
        <f t="shared" si="36"/>
        <v>0</v>
      </c>
      <c r="J815" s="7" t="str">
        <f t="shared" si="37"/>
        <v>PAGADO</v>
      </c>
      <c r="M815" s="8"/>
    </row>
    <row r="816" spans="3:13" customFormat="1" x14ac:dyDescent="0.25">
      <c r="C816" s="9" t="s">
        <v>419</v>
      </c>
      <c r="D816" s="9" t="s">
        <v>814</v>
      </c>
      <c r="E816" s="10"/>
      <c r="F816" s="6">
        <v>80</v>
      </c>
      <c r="G816" s="6">
        <f t="shared" si="38"/>
        <v>80</v>
      </c>
      <c r="H816" s="6">
        <v>80</v>
      </c>
      <c r="I816" s="6">
        <f t="shared" si="36"/>
        <v>0</v>
      </c>
      <c r="J816" s="7" t="str">
        <f t="shared" si="37"/>
        <v>PAGADO</v>
      </c>
      <c r="M816" s="8"/>
    </row>
    <row r="817" spans="3:13" customFormat="1" x14ac:dyDescent="0.25">
      <c r="C817" s="9" t="s">
        <v>815</v>
      </c>
      <c r="D817" s="9" t="s">
        <v>816</v>
      </c>
      <c r="E817" s="10"/>
      <c r="F817" s="6">
        <v>720</v>
      </c>
      <c r="G817" s="6">
        <f t="shared" si="38"/>
        <v>720</v>
      </c>
      <c r="H817" s="6">
        <f>420+300</f>
        <v>720</v>
      </c>
      <c r="I817" s="26">
        <f t="shared" si="36"/>
        <v>0</v>
      </c>
      <c r="J817" s="7" t="str">
        <f t="shared" si="37"/>
        <v>PAGADO</v>
      </c>
      <c r="M817" s="8"/>
    </row>
    <row r="818" spans="3:13" customFormat="1" x14ac:dyDescent="0.25">
      <c r="C818" s="9" t="s">
        <v>155</v>
      </c>
      <c r="D818" s="9" t="s">
        <v>807</v>
      </c>
      <c r="E818" s="10"/>
      <c r="F818" s="6">
        <v>10</v>
      </c>
      <c r="G818" s="6">
        <f t="shared" si="38"/>
        <v>10</v>
      </c>
      <c r="H818" s="6">
        <v>10</v>
      </c>
      <c r="I818" s="6">
        <f t="shared" si="36"/>
        <v>0</v>
      </c>
      <c r="J818" s="7" t="str">
        <f t="shared" si="37"/>
        <v>PAGADO</v>
      </c>
      <c r="M818" s="8"/>
    </row>
    <row r="819" spans="3:13" customFormat="1" x14ac:dyDescent="0.25">
      <c r="C819" s="9" t="s">
        <v>817</v>
      </c>
      <c r="D819" s="9" t="s">
        <v>807</v>
      </c>
      <c r="E819" s="10"/>
      <c r="F819" s="6">
        <v>90</v>
      </c>
      <c r="G819" s="6">
        <f t="shared" si="38"/>
        <v>90</v>
      </c>
      <c r="H819" s="6">
        <f>40+30+20</f>
        <v>90</v>
      </c>
      <c r="I819" s="39">
        <f t="shared" si="36"/>
        <v>0</v>
      </c>
      <c r="J819" s="7" t="str">
        <f t="shared" si="37"/>
        <v>PAGADO</v>
      </c>
      <c r="M819" s="8"/>
    </row>
    <row r="820" spans="3:13" customFormat="1" x14ac:dyDescent="0.25">
      <c r="C820" s="9" t="s">
        <v>818</v>
      </c>
      <c r="D820" s="9" t="s">
        <v>692</v>
      </c>
      <c r="E820" s="10"/>
      <c r="F820" s="6">
        <v>220</v>
      </c>
      <c r="G820" s="6">
        <f t="shared" si="38"/>
        <v>220</v>
      </c>
      <c r="H820" s="40">
        <v>220</v>
      </c>
      <c r="I820" s="6">
        <f t="shared" si="36"/>
        <v>0</v>
      </c>
      <c r="J820" s="7" t="str">
        <f t="shared" si="37"/>
        <v>PAGADO</v>
      </c>
      <c r="K820" s="35" t="s">
        <v>693</v>
      </c>
      <c r="M820" s="8"/>
    </row>
    <row r="821" spans="3:13" customFormat="1" x14ac:dyDescent="0.25">
      <c r="C821" s="9" t="s">
        <v>819</v>
      </c>
      <c r="D821" s="9" t="s">
        <v>692</v>
      </c>
      <c r="E821" s="10"/>
      <c r="F821" s="6">
        <v>15</v>
      </c>
      <c r="G821" s="6">
        <f t="shared" si="38"/>
        <v>15</v>
      </c>
      <c r="H821" s="30">
        <v>15</v>
      </c>
      <c r="I821" s="6">
        <f t="shared" si="36"/>
        <v>0</v>
      </c>
      <c r="J821" s="7" t="str">
        <f t="shared" si="37"/>
        <v>PAGADO</v>
      </c>
      <c r="K821" s="35" t="s">
        <v>693</v>
      </c>
      <c r="M821" s="8"/>
    </row>
    <row r="822" spans="3:13" customFormat="1" x14ac:dyDescent="0.25">
      <c r="C822" s="9" t="s">
        <v>820</v>
      </c>
      <c r="D822" t="s">
        <v>488</v>
      </c>
      <c r="E822" s="10"/>
      <c r="F822" s="6">
        <v>65</v>
      </c>
      <c r="G822" s="6">
        <f t="shared" si="38"/>
        <v>65</v>
      </c>
      <c r="H822" s="6">
        <f>32.5+32.5</f>
        <v>65</v>
      </c>
      <c r="I822" s="6">
        <f t="shared" si="36"/>
        <v>0</v>
      </c>
      <c r="J822" s="7" t="str">
        <f t="shared" si="37"/>
        <v>PAGADO</v>
      </c>
      <c r="M822" s="8"/>
    </row>
    <row r="823" spans="3:13" customFormat="1" x14ac:dyDescent="0.25">
      <c r="C823" s="9" t="s">
        <v>821</v>
      </c>
      <c r="D823" s="9" t="s">
        <v>816</v>
      </c>
      <c r="E823" s="10"/>
      <c r="F823" s="6">
        <v>75</v>
      </c>
      <c r="G823" s="6">
        <f t="shared" si="38"/>
        <v>75</v>
      </c>
      <c r="H823" s="6">
        <f>60+15</f>
        <v>75</v>
      </c>
      <c r="I823" s="27">
        <f t="shared" si="36"/>
        <v>0</v>
      </c>
      <c r="J823" s="7" t="str">
        <f t="shared" si="37"/>
        <v>PAGADO</v>
      </c>
      <c r="K823" s="9"/>
      <c r="M823" s="8"/>
    </row>
    <row r="824" spans="3:13" customFormat="1" x14ac:dyDescent="0.25">
      <c r="C824" s="9" t="s">
        <v>822</v>
      </c>
      <c r="D824" s="9" t="s">
        <v>816</v>
      </c>
      <c r="E824" s="10"/>
      <c r="F824" s="6">
        <v>85</v>
      </c>
      <c r="G824" s="6">
        <f t="shared" si="38"/>
        <v>85</v>
      </c>
      <c r="H824" s="6">
        <f>43+37+5</f>
        <v>85</v>
      </c>
      <c r="I824" s="31">
        <f t="shared" si="36"/>
        <v>0</v>
      </c>
      <c r="J824" s="7" t="str">
        <f t="shared" si="37"/>
        <v>PAGADO</v>
      </c>
      <c r="K824" s="9"/>
      <c r="M824" s="8"/>
    </row>
    <row r="825" spans="3:13" customFormat="1" x14ac:dyDescent="0.25">
      <c r="C825" s="9" t="s">
        <v>823</v>
      </c>
      <c r="D825" s="9" t="s">
        <v>816</v>
      </c>
      <c r="E825" s="10"/>
      <c r="F825" s="6">
        <v>160</v>
      </c>
      <c r="G825" s="6">
        <f t="shared" si="38"/>
        <v>160</v>
      </c>
      <c r="H825" s="6">
        <f>150+10</f>
        <v>160</v>
      </c>
      <c r="I825" s="26">
        <f t="shared" si="36"/>
        <v>0</v>
      </c>
      <c r="J825" s="7" t="str">
        <f t="shared" si="37"/>
        <v>PAGADO</v>
      </c>
      <c r="K825" s="9"/>
      <c r="M825" s="8"/>
    </row>
    <row r="826" spans="3:13" customFormat="1" x14ac:dyDescent="0.25">
      <c r="C826" s="9" t="s">
        <v>824</v>
      </c>
      <c r="D826" s="9" t="s">
        <v>816</v>
      </c>
      <c r="E826" s="10"/>
      <c r="F826" s="6">
        <v>450</v>
      </c>
      <c r="G826" s="6">
        <f t="shared" si="38"/>
        <v>450</v>
      </c>
      <c r="H826" s="6">
        <f>200+250</f>
        <v>450</v>
      </c>
      <c r="I826" s="26">
        <f t="shared" si="36"/>
        <v>0</v>
      </c>
      <c r="J826" s="7" t="str">
        <f t="shared" si="37"/>
        <v>PAGADO</v>
      </c>
      <c r="M826" s="8"/>
    </row>
    <row r="827" spans="3:13" customFormat="1" x14ac:dyDescent="0.25">
      <c r="C827" s="9" t="s">
        <v>825</v>
      </c>
      <c r="D827" s="9" t="s">
        <v>816</v>
      </c>
      <c r="E827" s="10"/>
      <c r="F827" s="6">
        <v>250</v>
      </c>
      <c r="G827" s="6">
        <f t="shared" si="38"/>
        <v>250</v>
      </c>
      <c r="H827" s="6">
        <v>250</v>
      </c>
      <c r="I827" s="26">
        <f t="shared" si="36"/>
        <v>0</v>
      </c>
      <c r="J827" s="7" t="str">
        <f t="shared" si="37"/>
        <v>PAGADO</v>
      </c>
      <c r="M827" s="8"/>
    </row>
    <row r="828" spans="3:13" customFormat="1" x14ac:dyDescent="0.25">
      <c r="C828" s="9" t="s">
        <v>826</v>
      </c>
      <c r="D828" t="s">
        <v>153</v>
      </c>
      <c r="E828" s="10"/>
      <c r="F828" s="6">
        <v>95</v>
      </c>
      <c r="G828" s="6">
        <f t="shared" si="38"/>
        <v>95</v>
      </c>
      <c r="H828" s="6">
        <v>95</v>
      </c>
      <c r="I828" s="6">
        <f t="shared" si="36"/>
        <v>0</v>
      </c>
      <c r="J828" s="7" t="str">
        <f t="shared" si="37"/>
        <v>PAGADO</v>
      </c>
      <c r="K828" s="9"/>
      <c r="M828" s="8"/>
    </row>
    <row r="829" spans="3:13" customFormat="1" x14ac:dyDescent="0.25">
      <c r="C829" s="9" t="s">
        <v>827</v>
      </c>
      <c r="D829" s="9" t="s">
        <v>807</v>
      </c>
      <c r="E829" s="10"/>
      <c r="F829" s="6">
        <v>65</v>
      </c>
      <c r="G829" s="6">
        <f t="shared" si="38"/>
        <v>65</v>
      </c>
      <c r="H829" s="6">
        <v>65</v>
      </c>
      <c r="I829" s="39">
        <f t="shared" si="36"/>
        <v>0</v>
      </c>
      <c r="J829" s="7" t="str">
        <f t="shared" si="37"/>
        <v>PAGADO</v>
      </c>
      <c r="K829" s="9"/>
      <c r="M829" s="8"/>
    </row>
    <row r="830" spans="3:13" customFormat="1" x14ac:dyDescent="0.25">
      <c r="C830" s="41" t="s">
        <v>828</v>
      </c>
      <c r="D830" s="9" t="s">
        <v>807</v>
      </c>
      <c r="E830" s="10"/>
      <c r="F830" s="6">
        <v>40</v>
      </c>
      <c r="G830" s="6">
        <f t="shared" si="38"/>
        <v>40</v>
      </c>
      <c r="H830" s="6">
        <v>40</v>
      </c>
      <c r="I830" s="39">
        <f t="shared" ref="I830:I893" si="39">F830-H830</f>
        <v>0</v>
      </c>
      <c r="J830" s="7" t="str">
        <f t="shared" ref="J830:J893" si="40">IF(I830&gt;0,"DEBE","PAGADO")</f>
        <v>PAGADO</v>
      </c>
      <c r="M830" s="8"/>
    </row>
    <row r="831" spans="3:13" customFormat="1" x14ac:dyDescent="0.25">
      <c r="C831" s="9" t="s">
        <v>829</v>
      </c>
      <c r="D831" t="s">
        <v>680</v>
      </c>
      <c r="E831" s="10"/>
      <c r="F831" s="6">
        <v>60</v>
      </c>
      <c r="G831" s="6">
        <f t="shared" si="38"/>
        <v>60</v>
      </c>
      <c r="H831" s="6">
        <v>60</v>
      </c>
      <c r="I831" s="6">
        <f t="shared" si="39"/>
        <v>0</v>
      </c>
      <c r="J831" s="7" t="str">
        <f t="shared" si="40"/>
        <v>PAGADO</v>
      </c>
      <c r="M831" s="8"/>
    </row>
    <row r="832" spans="3:13" customFormat="1" x14ac:dyDescent="0.25">
      <c r="C832" s="9" t="s">
        <v>830</v>
      </c>
      <c r="D832" s="9" t="s">
        <v>33</v>
      </c>
      <c r="E832" s="10"/>
      <c r="F832" s="6">
        <v>190</v>
      </c>
      <c r="G832" s="6">
        <f t="shared" si="38"/>
        <v>190</v>
      </c>
      <c r="H832" s="6">
        <v>190</v>
      </c>
      <c r="I832" s="6">
        <f t="shared" si="39"/>
        <v>0</v>
      </c>
      <c r="J832" s="7" t="str">
        <f t="shared" si="40"/>
        <v>PAGADO</v>
      </c>
      <c r="K832" s="9"/>
      <c r="M832" s="8"/>
    </row>
    <row r="833" spans="3:13" customFormat="1" x14ac:dyDescent="0.25">
      <c r="C833" s="9" t="s">
        <v>830</v>
      </c>
      <c r="D833" s="9" t="s">
        <v>33</v>
      </c>
      <c r="E833" s="10"/>
      <c r="F833" s="6">
        <v>190</v>
      </c>
      <c r="G833" s="6">
        <f t="shared" si="38"/>
        <v>190</v>
      </c>
      <c r="H833" s="6">
        <v>190</v>
      </c>
      <c r="I833" s="6">
        <f t="shared" si="39"/>
        <v>0</v>
      </c>
      <c r="J833" s="7" t="str">
        <f t="shared" si="40"/>
        <v>PAGADO</v>
      </c>
      <c r="K833" s="9"/>
      <c r="M833" s="8"/>
    </row>
    <row r="834" spans="3:13" customFormat="1" x14ac:dyDescent="0.25">
      <c r="C834" s="9" t="s">
        <v>830</v>
      </c>
      <c r="D834" s="9" t="s">
        <v>238</v>
      </c>
      <c r="E834" s="10"/>
      <c r="F834" s="26">
        <v>185</v>
      </c>
      <c r="G834" s="26">
        <f t="shared" ref="G834:G897" si="41">F834-E834</f>
        <v>185</v>
      </c>
      <c r="H834" s="26">
        <v>185</v>
      </c>
      <c r="I834" s="6">
        <f t="shared" si="39"/>
        <v>0</v>
      </c>
      <c r="J834" s="7" t="str">
        <f t="shared" si="40"/>
        <v>PAGADO</v>
      </c>
      <c r="M834" s="8"/>
    </row>
    <row r="835" spans="3:13" customFormat="1" x14ac:dyDescent="0.25">
      <c r="C835" s="9" t="s">
        <v>831</v>
      </c>
      <c r="D835" s="9" t="s">
        <v>377</v>
      </c>
      <c r="E835" s="10"/>
      <c r="F835" s="6">
        <v>55</v>
      </c>
      <c r="G835" s="6">
        <f t="shared" si="41"/>
        <v>55</v>
      </c>
      <c r="H835" s="6">
        <v>55</v>
      </c>
      <c r="I835" s="6">
        <f t="shared" si="39"/>
        <v>0</v>
      </c>
      <c r="J835" s="7" t="str">
        <f t="shared" si="40"/>
        <v>PAGADO</v>
      </c>
      <c r="M835" s="8"/>
    </row>
    <row r="836" spans="3:13" customFormat="1" x14ac:dyDescent="0.25">
      <c r="C836" t="s">
        <v>832</v>
      </c>
      <c r="D836" s="9" t="s">
        <v>313</v>
      </c>
      <c r="E836" s="10"/>
      <c r="F836" s="6">
        <v>125</v>
      </c>
      <c r="G836" s="6">
        <f t="shared" si="41"/>
        <v>125</v>
      </c>
      <c r="H836" s="6">
        <v>125</v>
      </c>
      <c r="I836" s="6">
        <f t="shared" si="39"/>
        <v>0</v>
      </c>
      <c r="J836" s="7" t="str">
        <f t="shared" si="40"/>
        <v>PAGADO</v>
      </c>
      <c r="K836" s="9"/>
      <c r="M836" s="8"/>
    </row>
    <row r="837" spans="3:13" customFormat="1" x14ac:dyDescent="0.25">
      <c r="C837" t="s">
        <v>832</v>
      </c>
      <c r="D837" s="9" t="s">
        <v>67</v>
      </c>
      <c r="E837" s="10"/>
      <c r="F837" s="6">
        <v>125</v>
      </c>
      <c r="G837" s="6">
        <f t="shared" si="41"/>
        <v>125</v>
      </c>
      <c r="H837" s="6">
        <f>100+25</f>
        <v>125</v>
      </c>
      <c r="I837" s="26">
        <f t="shared" si="39"/>
        <v>0</v>
      </c>
      <c r="J837" s="7" t="str">
        <f t="shared" si="40"/>
        <v>PAGADO</v>
      </c>
      <c r="K837" s="9"/>
      <c r="M837" s="8"/>
    </row>
    <row r="838" spans="3:13" customFormat="1" x14ac:dyDescent="0.25">
      <c r="C838" t="s">
        <v>833</v>
      </c>
      <c r="D838" t="s">
        <v>74</v>
      </c>
      <c r="E838" s="10"/>
      <c r="F838" s="6">
        <v>220</v>
      </c>
      <c r="G838" s="6">
        <f t="shared" si="41"/>
        <v>220</v>
      </c>
      <c r="H838" s="25">
        <v>220</v>
      </c>
      <c r="I838" s="6">
        <f t="shared" si="39"/>
        <v>0</v>
      </c>
      <c r="J838" s="7" t="str">
        <f t="shared" si="40"/>
        <v>PAGADO</v>
      </c>
      <c r="M838" s="8"/>
    </row>
    <row r="839" spans="3:13" customFormat="1" x14ac:dyDescent="0.25">
      <c r="C839" s="9" t="s">
        <v>834</v>
      </c>
      <c r="D839" t="s">
        <v>781</v>
      </c>
      <c r="E839" s="10"/>
      <c r="F839" s="6">
        <v>150</v>
      </c>
      <c r="G839" s="6">
        <f t="shared" si="41"/>
        <v>150</v>
      </c>
      <c r="H839" s="6">
        <f>20+100+30</f>
        <v>150</v>
      </c>
      <c r="I839" s="6">
        <f t="shared" si="39"/>
        <v>0</v>
      </c>
      <c r="J839" s="7" t="str">
        <f t="shared" si="40"/>
        <v>PAGADO</v>
      </c>
      <c r="M839" s="8"/>
    </row>
    <row r="840" spans="3:13" customFormat="1" x14ac:dyDescent="0.25">
      <c r="C840" t="s">
        <v>835</v>
      </c>
      <c r="D840" t="s">
        <v>39</v>
      </c>
      <c r="E840" s="10"/>
      <c r="F840" s="6">
        <v>370</v>
      </c>
      <c r="G840" s="6">
        <f t="shared" si="41"/>
        <v>370</v>
      </c>
      <c r="H840" s="6">
        <f>20+140+210</f>
        <v>370</v>
      </c>
      <c r="I840" s="6">
        <f t="shared" si="39"/>
        <v>0</v>
      </c>
      <c r="J840" s="7" t="str">
        <f t="shared" si="40"/>
        <v>PAGADO</v>
      </c>
      <c r="M840" s="8"/>
    </row>
    <row r="841" spans="3:13" customFormat="1" x14ac:dyDescent="0.25">
      <c r="C841" s="9" t="s">
        <v>836</v>
      </c>
      <c r="D841" s="9" t="s">
        <v>816</v>
      </c>
      <c r="E841" s="10"/>
      <c r="F841" s="6">
        <v>75</v>
      </c>
      <c r="G841" s="6">
        <f t="shared" si="41"/>
        <v>75</v>
      </c>
      <c r="H841" s="6">
        <f>40+35</f>
        <v>75</v>
      </c>
      <c r="I841" s="31">
        <f t="shared" si="39"/>
        <v>0</v>
      </c>
      <c r="J841" s="7" t="str">
        <f t="shared" si="40"/>
        <v>PAGADO</v>
      </c>
      <c r="M841" s="8"/>
    </row>
    <row r="842" spans="3:13" customFormat="1" x14ac:dyDescent="0.25">
      <c r="C842" s="9" t="s">
        <v>837</v>
      </c>
      <c r="D842" s="9" t="s">
        <v>33</v>
      </c>
      <c r="E842" s="10"/>
      <c r="F842" s="6">
        <v>140</v>
      </c>
      <c r="G842" s="6">
        <f t="shared" si="41"/>
        <v>140</v>
      </c>
      <c r="H842" s="6">
        <v>140</v>
      </c>
      <c r="I842" s="6">
        <f t="shared" si="39"/>
        <v>0</v>
      </c>
      <c r="J842" s="7" t="str">
        <f t="shared" si="40"/>
        <v>PAGADO</v>
      </c>
      <c r="K842" s="9"/>
      <c r="M842" s="8"/>
    </row>
    <row r="843" spans="3:13" customFormat="1" x14ac:dyDescent="0.25">
      <c r="C843" s="9" t="s">
        <v>838</v>
      </c>
      <c r="D843" s="9" t="s">
        <v>33</v>
      </c>
      <c r="E843" s="10"/>
      <c r="F843" s="6">
        <v>130</v>
      </c>
      <c r="G843" s="6">
        <f t="shared" si="41"/>
        <v>130</v>
      </c>
      <c r="H843" s="6">
        <v>130</v>
      </c>
      <c r="I843" s="6">
        <f t="shared" si="39"/>
        <v>0</v>
      </c>
      <c r="J843" s="7" t="str">
        <f t="shared" si="40"/>
        <v>PAGADO</v>
      </c>
      <c r="K843" s="9"/>
      <c r="M843" s="8"/>
    </row>
    <row r="844" spans="3:13" customFormat="1" x14ac:dyDescent="0.25">
      <c r="C844" s="9" t="s">
        <v>839</v>
      </c>
      <c r="D844" s="9" t="s">
        <v>33</v>
      </c>
      <c r="E844" s="10"/>
      <c r="F844" s="6">
        <v>130</v>
      </c>
      <c r="G844" s="6">
        <f t="shared" si="41"/>
        <v>130</v>
      </c>
      <c r="H844" s="6">
        <v>130</v>
      </c>
      <c r="I844" s="6">
        <f t="shared" si="39"/>
        <v>0</v>
      </c>
      <c r="J844" s="7" t="str">
        <f t="shared" si="40"/>
        <v>PAGADO</v>
      </c>
      <c r="K844" s="9"/>
      <c r="M844" s="8"/>
    </row>
    <row r="845" spans="3:13" customFormat="1" x14ac:dyDescent="0.25">
      <c r="C845" s="9" t="s">
        <v>840</v>
      </c>
      <c r="D845" s="9" t="s">
        <v>33</v>
      </c>
      <c r="E845" s="10"/>
      <c r="F845" s="6">
        <v>130</v>
      </c>
      <c r="G845" s="6">
        <f t="shared" si="41"/>
        <v>130</v>
      </c>
      <c r="H845" s="6">
        <v>130</v>
      </c>
      <c r="I845" s="6">
        <f t="shared" si="39"/>
        <v>0</v>
      </c>
      <c r="J845" s="7" t="str">
        <f t="shared" si="40"/>
        <v>PAGADO</v>
      </c>
      <c r="K845" s="9"/>
      <c r="M845" s="8"/>
    </row>
    <row r="846" spans="3:13" customFormat="1" x14ac:dyDescent="0.25">
      <c r="C846" s="9" t="s">
        <v>492</v>
      </c>
      <c r="D846" s="9" t="s">
        <v>33</v>
      </c>
      <c r="E846" s="10"/>
      <c r="F846" s="6">
        <v>90</v>
      </c>
      <c r="G846" s="6">
        <f t="shared" si="41"/>
        <v>90</v>
      </c>
      <c r="H846" s="6">
        <v>90</v>
      </c>
      <c r="I846" s="6">
        <f t="shared" si="39"/>
        <v>0</v>
      </c>
      <c r="J846" s="7" t="str">
        <f t="shared" si="40"/>
        <v>PAGADO</v>
      </c>
      <c r="M846" s="8"/>
    </row>
    <row r="847" spans="3:13" customFormat="1" x14ac:dyDescent="0.25">
      <c r="C847" s="9" t="s">
        <v>841</v>
      </c>
      <c r="D847" s="9" t="s">
        <v>33</v>
      </c>
      <c r="E847" s="10"/>
      <c r="F847" s="6">
        <v>70</v>
      </c>
      <c r="G847" s="6">
        <f t="shared" si="41"/>
        <v>70</v>
      </c>
      <c r="H847" s="6">
        <v>70</v>
      </c>
      <c r="I847" s="6">
        <f t="shared" si="39"/>
        <v>0</v>
      </c>
      <c r="J847" s="7" t="str">
        <f t="shared" si="40"/>
        <v>PAGADO</v>
      </c>
      <c r="M847" s="8"/>
    </row>
    <row r="848" spans="3:13" customFormat="1" x14ac:dyDescent="0.25">
      <c r="C848" s="9" t="s">
        <v>842</v>
      </c>
      <c r="D848" s="9" t="s">
        <v>816</v>
      </c>
      <c r="E848" s="10"/>
      <c r="F848" s="6">
        <f>9*55</f>
        <v>495</v>
      </c>
      <c r="G848" s="6">
        <f t="shared" si="41"/>
        <v>495</v>
      </c>
      <c r="H848" s="6">
        <v>495</v>
      </c>
      <c r="I848" s="26">
        <f t="shared" si="39"/>
        <v>0</v>
      </c>
      <c r="J848" s="7" t="str">
        <f t="shared" si="40"/>
        <v>PAGADO</v>
      </c>
      <c r="M848" s="8"/>
    </row>
    <row r="849" spans="3:13" customFormat="1" x14ac:dyDescent="0.25">
      <c r="C849" s="9" t="s">
        <v>843</v>
      </c>
      <c r="D849" s="9" t="s">
        <v>816</v>
      </c>
      <c r="E849" s="10"/>
      <c r="F849" s="6">
        <v>140</v>
      </c>
      <c r="G849" s="6">
        <f t="shared" si="41"/>
        <v>140</v>
      </c>
      <c r="H849" s="6">
        <f>105+35</f>
        <v>140</v>
      </c>
      <c r="I849" s="27">
        <f t="shared" si="39"/>
        <v>0</v>
      </c>
      <c r="J849" s="7" t="str">
        <f t="shared" si="40"/>
        <v>PAGADO</v>
      </c>
      <c r="M849" s="8"/>
    </row>
    <row r="850" spans="3:13" customFormat="1" x14ac:dyDescent="0.25">
      <c r="C850" s="9" t="s">
        <v>844</v>
      </c>
      <c r="D850" s="9" t="s">
        <v>816</v>
      </c>
      <c r="E850" s="10"/>
      <c r="F850" s="6">
        <v>30</v>
      </c>
      <c r="G850" s="6">
        <f t="shared" si="41"/>
        <v>30</v>
      </c>
      <c r="H850" s="6">
        <v>30</v>
      </c>
      <c r="I850" s="31">
        <f t="shared" si="39"/>
        <v>0</v>
      </c>
      <c r="J850" s="7" t="str">
        <f t="shared" si="40"/>
        <v>PAGADO</v>
      </c>
      <c r="M850" s="8"/>
    </row>
    <row r="851" spans="3:13" customFormat="1" x14ac:dyDescent="0.25">
      <c r="C851" s="9" t="s">
        <v>845</v>
      </c>
      <c r="D851" s="9" t="s">
        <v>816</v>
      </c>
      <c r="E851" s="10"/>
      <c r="F851" s="6">
        <f>55*5</f>
        <v>275</v>
      </c>
      <c r="G851" s="6">
        <f t="shared" si="41"/>
        <v>275</v>
      </c>
      <c r="H851" s="6">
        <v>275</v>
      </c>
      <c r="I851" s="27">
        <f t="shared" si="39"/>
        <v>0</v>
      </c>
      <c r="J851" s="7" t="str">
        <f t="shared" si="40"/>
        <v>PAGADO</v>
      </c>
      <c r="M851" s="8"/>
    </row>
    <row r="852" spans="3:13" customFormat="1" x14ac:dyDescent="0.25">
      <c r="C852" s="9" t="s">
        <v>846</v>
      </c>
      <c r="D852" s="9" t="s">
        <v>816</v>
      </c>
      <c r="E852" s="10"/>
      <c r="F852" s="6">
        <v>75</v>
      </c>
      <c r="G852" s="6">
        <f t="shared" si="41"/>
        <v>75</v>
      </c>
      <c r="H852" s="6">
        <v>75</v>
      </c>
      <c r="I852" s="27">
        <f t="shared" si="39"/>
        <v>0</v>
      </c>
      <c r="J852" s="7" t="str">
        <f t="shared" si="40"/>
        <v>PAGADO</v>
      </c>
      <c r="M852" s="8"/>
    </row>
    <row r="853" spans="3:13" customFormat="1" x14ac:dyDescent="0.25">
      <c r="C853" s="9" t="s">
        <v>847</v>
      </c>
      <c r="D853" s="9" t="s">
        <v>816</v>
      </c>
      <c r="E853" s="10"/>
      <c r="F853" s="6">
        <v>90</v>
      </c>
      <c r="G853" s="6">
        <f t="shared" si="41"/>
        <v>90</v>
      </c>
      <c r="H853" s="6">
        <v>90</v>
      </c>
      <c r="I853" s="31">
        <f t="shared" si="39"/>
        <v>0</v>
      </c>
      <c r="J853" s="7" t="str">
        <f t="shared" si="40"/>
        <v>PAGADO</v>
      </c>
      <c r="M853" s="8"/>
    </row>
    <row r="854" spans="3:13" customFormat="1" x14ac:dyDescent="0.25">
      <c r="C854" s="9" t="s">
        <v>848</v>
      </c>
      <c r="D854" s="9" t="s">
        <v>816</v>
      </c>
      <c r="E854" s="10"/>
      <c r="F854" s="6">
        <v>100</v>
      </c>
      <c r="G854" s="6">
        <f t="shared" si="41"/>
        <v>100</v>
      </c>
      <c r="H854" s="6">
        <v>100</v>
      </c>
      <c r="I854" s="26">
        <f t="shared" si="39"/>
        <v>0</v>
      </c>
      <c r="J854" s="7" t="str">
        <f t="shared" si="40"/>
        <v>PAGADO</v>
      </c>
      <c r="M854" s="8"/>
    </row>
    <row r="855" spans="3:13" customFormat="1" x14ac:dyDescent="0.25">
      <c r="C855" s="9" t="s">
        <v>849</v>
      </c>
      <c r="D855" s="9" t="s">
        <v>33</v>
      </c>
      <c r="E855" s="10"/>
      <c r="F855" s="6">
        <v>55</v>
      </c>
      <c r="G855" s="6">
        <f t="shared" si="41"/>
        <v>55</v>
      </c>
      <c r="H855" s="6">
        <v>55</v>
      </c>
      <c r="I855" s="6">
        <f t="shared" si="39"/>
        <v>0</v>
      </c>
      <c r="J855" s="7" t="str">
        <f t="shared" si="40"/>
        <v>PAGADO</v>
      </c>
      <c r="K855" s="33" t="s">
        <v>850</v>
      </c>
      <c r="M855" s="8"/>
    </row>
    <row r="856" spans="3:13" customFormat="1" x14ac:dyDescent="0.25">
      <c r="C856" s="9" t="s">
        <v>851</v>
      </c>
      <c r="D856" s="9" t="s">
        <v>692</v>
      </c>
      <c r="E856" s="10"/>
      <c r="F856" s="6">
        <v>130</v>
      </c>
      <c r="G856" s="6">
        <f t="shared" si="41"/>
        <v>130</v>
      </c>
      <c r="H856" s="40">
        <v>130</v>
      </c>
      <c r="I856" s="6">
        <f t="shared" si="39"/>
        <v>0</v>
      </c>
      <c r="J856" s="7" t="str">
        <f t="shared" si="40"/>
        <v>PAGADO</v>
      </c>
      <c r="K856" s="35" t="s">
        <v>693</v>
      </c>
      <c r="M856" s="8"/>
    </row>
    <row r="857" spans="3:13" customFormat="1" x14ac:dyDescent="0.25">
      <c r="C857" s="9" t="s">
        <v>852</v>
      </c>
      <c r="D857" t="s">
        <v>74</v>
      </c>
      <c r="E857" s="10"/>
      <c r="F857" s="6">
        <v>120</v>
      </c>
      <c r="G857" s="6">
        <f t="shared" si="41"/>
        <v>120</v>
      </c>
      <c r="H857" s="25">
        <v>120</v>
      </c>
      <c r="I857" s="6">
        <f t="shared" si="39"/>
        <v>0</v>
      </c>
      <c r="J857" s="7" t="str">
        <f t="shared" si="40"/>
        <v>PAGADO</v>
      </c>
      <c r="M857" s="8"/>
    </row>
    <row r="858" spans="3:13" customFormat="1" x14ac:dyDescent="0.25">
      <c r="C858" s="9" t="s">
        <v>853</v>
      </c>
      <c r="D858" t="s">
        <v>74</v>
      </c>
      <c r="E858" s="10"/>
      <c r="F858" s="6">
        <v>65</v>
      </c>
      <c r="G858" s="6">
        <f t="shared" si="41"/>
        <v>65</v>
      </c>
      <c r="H858" s="6">
        <v>65</v>
      </c>
      <c r="I858" s="16">
        <f t="shared" si="39"/>
        <v>0</v>
      </c>
      <c r="J858" s="7" t="str">
        <f t="shared" si="40"/>
        <v>PAGADO</v>
      </c>
      <c r="M858" s="8"/>
    </row>
    <row r="859" spans="3:13" customFormat="1" x14ac:dyDescent="0.25">
      <c r="C859" s="9" t="s">
        <v>854</v>
      </c>
      <c r="D859" s="9" t="s">
        <v>809</v>
      </c>
      <c r="E859" s="10"/>
      <c r="F859" s="6">
        <v>40</v>
      </c>
      <c r="G859" s="6">
        <f t="shared" si="41"/>
        <v>40</v>
      </c>
      <c r="H859" s="6">
        <v>40</v>
      </c>
      <c r="I859" s="6">
        <f t="shared" si="39"/>
        <v>0</v>
      </c>
      <c r="J859" s="7" t="str">
        <f t="shared" si="40"/>
        <v>PAGADO</v>
      </c>
      <c r="M859" s="8"/>
    </row>
    <row r="860" spans="3:13" customFormat="1" x14ac:dyDescent="0.25">
      <c r="C860" s="9" t="s">
        <v>855</v>
      </c>
      <c r="D860" s="9" t="s">
        <v>809</v>
      </c>
      <c r="E860" s="10"/>
      <c r="F860" s="6">
        <v>30</v>
      </c>
      <c r="G860" s="6">
        <f t="shared" si="41"/>
        <v>30</v>
      </c>
      <c r="H860" s="6">
        <v>30</v>
      </c>
      <c r="I860" s="6">
        <f t="shared" si="39"/>
        <v>0</v>
      </c>
      <c r="J860" s="7" t="str">
        <f t="shared" si="40"/>
        <v>PAGADO</v>
      </c>
      <c r="M860" s="8"/>
    </row>
    <row r="861" spans="3:13" customFormat="1" x14ac:dyDescent="0.25">
      <c r="C861" s="9" t="s">
        <v>856</v>
      </c>
      <c r="D861" s="9" t="s">
        <v>809</v>
      </c>
      <c r="E861" s="10"/>
      <c r="F861" s="6">
        <v>25</v>
      </c>
      <c r="G861" s="6">
        <f t="shared" si="41"/>
        <v>25</v>
      </c>
      <c r="H861" s="6">
        <v>25</v>
      </c>
      <c r="I861" s="6">
        <f t="shared" si="39"/>
        <v>0</v>
      </c>
      <c r="J861" s="7" t="str">
        <f t="shared" si="40"/>
        <v>PAGADO</v>
      </c>
      <c r="M861" s="8"/>
    </row>
    <row r="862" spans="3:13" customFormat="1" x14ac:dyDescent="0.25">
      <c r="C862" s="9" t="s">
        <v>857</v>
      </c>
      <c r="D862" s="9" t="s">
        <v>809</v>
      </c>
      <c r="E862" s="10"/>
      <c r="F862" s="6">
        <v>60</v>
      </c>
      <c r="G862" s="6">
        <f t="shared" si="41"/>
        <v>60</v>
      </c>
      <c r="H862" s="6">
        <v>60</v>
      </c>
      <c r="I862" s="6">
        <f t="shared" si="39"/>
        <v>0</v>
      </c>
      <c r="J862" s="7" t="str">
        <f t="shared" si="40"/>
        <v>PAGADO</v>
      </c>
      <c r="M862" s="8"/>
    </row>
    <row r="863" spans="3:13" customFormat="1" x14ac:dyDescent="0.25">
      <c r="C863" s="9" t="s">
        <v>858</v>
      </c>
      <c r="D863" s="9" t="s">
        <v>809</v>
      </c>
      <c r="E863" s="10"/>
      <c r="F863" s="6">
        <v>60</v>
      </c>
      <c r="G863" s="6">
        <f t="shared" si="41"/>
        <v>60</v>
      </c>
      <c r="H863" s="6">
        <v>60</v>
      </c>
      <c r="I863" s="6">
        <f t="shared" si="39"/>
        <v>0</v>
      </c>
      <c r="J863" s="7" t="str">
        <f t="shared" si="40"/>
        <v>PAGADO</v>
      </c>
      <c r="M863" s="8"/>
    </row>
    <row r="864" spans="3:13" customFormat="1" x14ac:dyDescent="0.25">
      <c r="C864" s="9" t="s">
        <v>859</v>
      </c>
      <c r="D864" s="9" t="s">
        <v>809</v>
      </c>
      <c r="E864" s="10"/>
      <c r="F864" s="6">
        <v>60</v>
      </c>
      <c r="G864" s="6">
        <f t="shared" si="41"/>
        <v>60</v>
      </c>
      <c r="H864" s="6">
        <v>60</v>
      </c>
      <c r="I864" s="6">
        <f t="shared" si="39"/>
        <v>0</v>
      </c>
      <c r="J864" s="7" t="str">
        <f t="shared" si="40"/>
        <v>PAGADO</v>
      </c>
      <c r="M864" s="8"/>
    </row>
    <row r="865" spans="3:13" customFormat="1" x14ac:dyDescent="0.25">
      <c r="C865" s="9" t="s">
        <v>860</v>
      </c>
      <c r="D865" s="9" t="s">
        <v>809</v>
      </c>
      <c r="E865" s="10"/>
      <c r="F865" s="6">
        <v>20</v>
      </c>
      <c r="G865" s="6">
        <f t="shared" si="41"/>
        <v>20</v>
      </c>
      <c r="H865" s="6">
        <v>20</v>
      </c>
      <c r="I865" s="6">
        <f t="shared" si="39"/>
        <v>0</v>
      </c>
      <c r="J865" s="7" t="str">
        <f t="shared" si="40"/>
        <v>PAGADO</v>
      </c>
      <c r="M865" s="8"/>
    </row>
    <row r="866" spans="3:13" customFormat="1" x14ac:dyDescent="0.25">
      <c r="C866" s="9" t="s">
        <v>861</v>
      </c>
      <c r="D866" s="9" t="s">
        <v>816</v>
      </c>
      <c r="E866" s="10"/>
      <c r="F866" s="6">
        <v>65</v>
      </c>
      <c r="G866" s="6">
        <f t="shared" si="41"/>
        <v>65</v>
      </c>
      <c r="H866" s="6">
        <v>65</v>
      </c>
      <c r="I866" s="31">
        <f t="shared" si="39"/>
        <v>0</v>
      </c>
      <c r="J866" s="7" t="str">
        <f t="shared" si="40"/>
        <v>PAGADO</v>
      </c>
      <c r="M866" s="8"/>
    </row>
    <row r="867" spans="3:13" customFormat="1" x14ac:dyDescent="0.25">
      <c r="C867" s="9" t="s">
        <v>862</v>
      </c>
      <c r="D867" s="9" t="s">
        <v>70</v>
      </c>
      <c r="E867" s="10"/>
      <c r="F867" s="6">
        <v>65</v>
      </c>
      <c r="G867" s="6">
        <f t="shared" si="41"/>
        <v>65</v>
      </c>
      <c r="H867" s="37">
        <f>35+30</f>
        <v>65</v>
      </c>
      <c r="I867" s="6">
        <f t="shared" si="39"/>
        <v>0</v>
      </c>
      <c r="J867" s="7" t="str">
        <f t="shared" si="40"/>
        <v>PAGADO</v>
      </c>
      <c r="M867" s="8"/>
    </row>
    <row r="868" spans="3:13" customFormat="1" x14ac:dyDescent="0.25">
      <c r="C868" s="9" t="s">
        <v>863</v>
      </c>
      <c r="D868" t="s">
        <v>18</v>
      </c>
      <c r="E868" s="10"/>
      <c r="F868" s="6">
        <v>90</v>
      </c>
      <c r="G868" s="6">
        <f t="shared" si="41"/>
        <v>90</v>
      </c>
      <c r="H868" s="6">
        <v>90</v>
      </c>
      <c r="I868" s="6">
        <f t="shared" si="39"/>
        <v>0</v>
      </c>
      <c r="J868" s="7" t="str">
        <f t="shared" si="40"/>
        <v>PAGADO</v>
      </c>
      <c r="M868" s="8"/>
    </row>
    <row r="869" spans="3:13" customFormat="1" x14ac:dyDescent="0.25">
      <c r="C869" s="9" t="s">
        <v>864</v>
      </c>
      <c r="D869" s="9" t="s">
        <v>70</v>
      </c>
      <c r="E869" s="10"/>
      <c r="F869" s="6">
        <v>70</v>
      </c>
      <c r="G869" s="6">
        <f t="shared" si="41"/>
        <v>70</v>
      </c>
      <c r="H869" s="6">
        <v>70</v>
      </c>
      <c r="I869" s="6">
        <f t="shared" si="39"/>
        <v>0</v>
      </c>
      <c r="J869" s="7" t="str">
        <f t="shared" si="40"/>
        <v>PAGADO</v>
      </c>
      <c r="M869" s="8"/>
    </row>
    <row r="870" spans="3:13" customFormat="1" x14ac:dyDescent="0.25">
      <c r="C870" s="9" t="s">
        <v>430</v>
      </c>
      <c r="D870" s="9" t="s">
        <v>431</v>
      </c>
      <c r="E870" s="10"/>
      <c r="F870" s="6">
        <v>60</v>
      </c>
      <c r="G870" s="6">
        <f t="shared" si="41"/>
        <v>60</v>
      </c>
      <c r="H870" s="6">
        <f>10+40+10</f>
        <v>60</v>
      </c>
      <c r="I870" s="6">
        <f t="shared" si="39"/>
        <v>0</v>
      </c>
      <c r="J870" s="7" t="str">
        <f t="shared" si="40"/>
        <v>PAGADO</v>
      </c>
      <c r="M870" s="8"/>
    </row>
    <row r="871" spans="3:13" customFormat="1" x14ac:dyDescent="0.25">
      <c r="C871" s="9" t="s">
        <v>865</v>
      </c>
      <c r="D871" t="s">
        <v>18</v>
      </c>
      <c r="E871" s="10"/>
      <c r="F871" s="6">
        <v>60</v>
      </c>
      <c r="G871" s="6">
        <f t="shared" si="41"/>
        <v>60</v>
      </c>
      <c r="H871" s="6">
        <v>60</v>
      </c>
      <c r="I871" s="6">
        <f t="shared" si="39"/>
        <v>0</v>
      </c>
      <c r="J871" s="7" t="str">
        <f t="shared" si="40"/>
        <v>PAGADO</v>
      </c>
      <c r="M871" s="8"/>
    </row>
    <row r="872" spans="3:13" customFormat="1" x14ac:dyDescent="0.25">
      <c r="C872" t="s">
        <v>866</v>
      </c>
      <c r="D872" s="9" t="s">
        <v>807</v>
      </c>
      <c r="E872" s="10"/>
      <c r="F872" s="6">
        <v>5</v>
      </c>
      <c r="G872" s="6">
        <f t="shared" si="41"/>
        <v>5</v>
      </c>
      <c r="H872" s="6">
        <v>5</v>
      </c>
      <c r="I872" s="6">
        <f t="shared" si="39"/>
        <v>0</v>
      </c>
      <c r="J872" s="7" t="str">
        <f t="shared" si="40"/>
        <v>PAGADO</v>
      </c>
      <c r="M872" s="8"/>
    </row>
    <row r="873" spans="3:13" customFormat="1" x14ac:dyDescent="0.25">
      <c r="C873" s="9" t="s">
        <v>867</v>
      </c>
      <c r="D873" s="9" t="s">
        <v>816</v>
      </c>
      <c r="E873" s="10"/>
      <c r="F873" s="6">
        <v>200</v>
      </c>
      <c r="G873" s="6">
        <f t="shared" si="41"/>
        <v>200</v>
      </c>
      <c r="H873" s="6">
        <v>200</v>
      </c>
      <c r="I873" s="31">
        <f t="shared" si="39"/>
        <v>0</v>
      </c>
      <c r="J873" s="7" t="str">
        <f t="shared" si="40"/>
        <v>PAGADO</v>
      </c>
      <c r="M873" s="8"/>
    </row>
    <row r="874" spans="3:13" customFormat="1" x14ac:dyDescent="0.25">
      <c r="C874" t="s">
        <v>868</v>
      </c>
      <c r="D874" s="9" t="s">
        <v>770</v>
      </c>
      <c r="E874" s="10"/>
      <c r="F874" s="6">
        <v>20</v>
      </c>
      <c r="G874" s="6">
        <f t="shared" si="41"/>
        <v>20</v>
      </c>
      <c r="H874" s="6">
        <v>20</v>
      </c>
      <c r="I874" s="6">
        <f t="shared" si="39"/>
        <v>0</v>
      </c>
      <c r="J874" s="7" t="str">
        <f t="shared" si="40"/>
        <v>PAGADO</v>
      </c>
      <c r="M874" s="8"/>
    </row>
    <row r="875" spans="3:13" customFormat="1" x14ac:dyDescent="0.25">
      <c r="C875" s="9" t="s">
        <v>869</v>
      </c>
      <c r="D875" t="s">
        <v>74</v>
      </c>
      <c r="E875" s="10"/>
      <c r="F875" s="6">
        <v>10</v>
      </c>
      <c r="G875" s="6">
        <f t="shared" si="41"/>
        <v>10</v>
      </c>
      <c r="H875" s="25">
        <v>10</v>
      </c>
      <c r="I875" s="6">
        <f t="shared" si="39"/>
        <v>0</v>
      </c>
      <c r="J875" s="7" t="str">
        <f t="shared" si="40"/>
        <v>PAGADO</v>
      </c>
      <c r="M875" s="8"/>
    </row>
    <row r="876" spans="3:13" customFormat="1" x14ac:dyDescent="0.25">
      <c r="C876" t="s">
        <v>870</v>
      </c>
      <c r="D876" s="9" t="s">
        <v>807</v>
      </c>
      <c r="E876" s="10"/>
      <c r="F876" s="6">
        <v>100</v>
      </c>
      <c r="G876" s="6">
        <f t="shared" si="41"/>
        <v>100</v>
      </c>
      <c r="H876" s="6">
        <v>100</v>
      </c>
      <c r="I876" s="6">
        <f t="shared" si="39"/>
        <v>0</v>
      </c>
      <c r="J876" s="7" t="str">
        <f t="shared" si="40"/>
        <v>PAGADO</v>
      </c>
      <c r="M876" s="8"/>
    </row>
    <row r="877" spans="3:13" customFormat="1" x14ac:dyDescent="0.25">
      <c r="C877" t="s">
        <v>871</v>
      </c>
      <c r="D877" s="9" t="s">
        <v>807</v>
      </c>
      <c r="E877" s="10"/>
      <c r="F877" s="6">
        <v>75</v>
      </c>
      <c r="G877" s="6">
        <f t="shared" si="41"/>
        <v>75</v>
      </c>
      <c r="H877" s="6">
        <v>75</v>
      </c>
      <c r="I877" s="6">
        <f t="shared" si="39"/>
        <v>0</v>
      </c>
      <c r="J877" s="7" t="str">
        <f t="shared" si="40"/>
        <v>PAGADO</v>
      </c>
      <c r="M877" s="8"/>
    </row>
    <row r="878" spans="3:13" customFormat="1" x14ac:dyDescent="0.25">
      <c r="C878" s="9" t="s">
        <v>872</v>
      </c>
      <c r="D878" s="9" t="s">
        <v>325</v>
      </c>
      <c r="E878" s="10"/>
      <c r="F878" s="6">
        <v>20</v>
      </c>
      <c r="G878" s="6">
        <f t="shared" si="41"/>
        <v>20</v>
      </c>
      <c r="H878" s="6">
        <v>20</v>
      </c>
      <c r="I878" s="6">
        <f t="shared" si="39"/>
        <v>0</v>
      </c>
      <c r="J878" s="7" t="str">
        <f t="shared" si="40"/>
        <v>PAGADO</v>
      </c>
      <c r="M878" s="8"/>
    </row>
    <row r="879" spans="3:13" customFormat="1" x14ac:dyDescent="0.25">
      <c r="C879" s="9" t="s">
        <v>873</v>
      </c>
      <c r="D879" s="9" t="s">
        <v>325</v>
      </c>
      <c r="E879" s="10"/>
      <c r="F879" s="6">
        <v>20</v>
      </c>
      <c r="G879" s="6">
        <f t="shared" si="41"/>
        <v>20</v>
      </c>
      <c r="H879" s="6">
        <v>20</v>
      </c>
      <c r="I879" s="6">
        <f t="shared" si="39"/>
        <v>0</v>
      </c>
      <c r="J879" s="7" t="str">
        <f t="shared" si="40"/>
        <v>PAGADO</v>
      </c>
      <c r="M879" s="8"/>
    </row>
    <row r="880" spans="3:13" customFormat="1" x14ac:dyDescent="0.25">
      <c r="C880" s="9" t="s">
        <v>874</v>
      </c>
      <c r="D880" s="9" t="s">
        <v>325</v>
      </c>
      <c r="E880" s="10"/>
      <c r="F880" s="6">
        <v>50</v>
      </c>
      <c r="G880" s="6">
        <f t="shared" si="41"/>
        <v>50</v>
      </c>
      <c r="H880" s="6">
        <v>50</v>
      </c>
      <c r="I880" s="6">
        <f t="shared" si="39"/>
        <v>0</v>
      </c>
      <c r="J880" s="7" t="str">
        <f t="shared" si="40"/>
        <v>PAGADO</v>
      </c>
      <c r="M880" s="8"/>
    </row>
    <row r="881" spans="3:13" customFormat="1" x14ac:dyDescent="0.25">
      <c r="C881" s="9" t="s">
        <v>875</v>
      </c>
      <c r="D881" s="9" t="s">
        <v>325</v>
      </c>
      <c r="E881" s="10"/>
      <c r="F881" s="6">
        <v>30</v>
      </c>
      <c r="G881" s="6">
        <f t="shared" si="41"/>
        <v>30</v>
      </c>
      <c r="H881" s="6">
        <v>30</v>
      </c>
      <c r="I881" s="6">
        <f t="shared" si="39"/>
        <v>0</v>
      </c>
      <c r="J881" s="7" t="str">
        <f t="shared" si="40"/>
        <v>PAGADO</v>
      </c>
      <c r="M881" s="8"/>
    </row>
    <row r="882" spans="3:13" customFormat="1" x14ac:dyDescent="0.25">
      <c r="C882" s="9" t="s">
        <v>876</v>
      </c>
      <c r="D882" s="9" t="s">
        <v>325</v>
      </c>
      <c r="E882" s="10"/>
      <c r="F882" s="6">
        <v>30</v>
      </c>
      <c r="G882" s="6">
        <f t="shared" si="41"/>
        <v>30</v>
      </c>
      <c r="H882" s="6">
        <v>30</v>
      </c>
      <c r="I882" s="6">
        <f t="shared" si="39"/>
        <v>0</v>
      </c>
      <c r="J882" s="7" t="str">
        <f t="shared" si="40"/>
        <v>PAGADO</v>
      </c>
      <c r="M882" s="8"/>
    </row>
    <row r="883" spans="3:13" customFormat="1" x14ac:dyDescent="0.25">
      <c r="C883" s="9" t="s">
        <v>877</v>
      </c>
      <c r="D883" s="9" t="s">
        <v>325</v>
      </c>
      <c r="E883" s="10"/>
      <c r="F883" s="6">
        <v>30</v>
      </c>
      <c r="G883" s="6">
        <f t="shared" si="41"/>
        <v>30</v>
      </c>
      <c r="H883" s="6">
        <v>30</v>
      </c>
      <c r="I883" s="6">
        <f t="shared" si="39"/>
        <v>0</v>
      </c>
      <c r="J883" s="7" t="str">
        <f t="shared" si="40"/>
        <v>PAGADO</v>
      </c>
      <c r="M883" s="8"/>
    </row>
    <row r="884" spans="3:13" customFormat="1" x14ac:dyDescent="0.25">
      <c r="C884" s="9" t="s">
        <v>878</v>
      </c>
      <c r="D884" s="9" t="s">
        <v>325</v>
      </c>
      <c r="E884" s="10"/>
      <c r="F884" s="6">
        <v>20</v>
      </c>
      <c r="G884" s="6">
        <f t="shared" si="41"/>
        <v>20</v>
      </c>
      <c r="H884" s="6">
        <v>20</v>
      </c>
      <c r="I884" s="6">
        <f t="shared" si="39"/>
        <v>0</v>
      </c>
      <c r="J884" s="7" t="str">
        <f t="shared" si="40"/>
        <v>PAGADO</v>
      </c>
      <c r="M884" s="8"/>
    </row>
    <row r="885" spans="3:13" customFormat="1" x14ac:dyDescent="0.25">
      <c r="C885" s="9" t="s">
        <v>879</v>
      </c>
      <c r="D885" s="9" t="s">
        <v>45</v>
      </c>
      <c r="E885" s="10"/>
      <c r="F885" s="6">
        <v>20</v>
      </c>
      <c r="G885" s="6">
        <f t="shared" si="41"/>
        <v>20</v>
      </c>
      <c r="H885" s="6">
        <v>20</v>
      </c>
      <c r="I885" s="6">
        <f t="shared" si="39"/>
        <v>0</v>
      </c>
      <c r="J885" s="7" t="str">
        <f t="shared" si="40"/>
        <v>PAGADO</v>
      </c>
      <c r="M885" s="8"/>
    </row>
    <row r="886" spans="3:13" customFormat="1" x14ac:dyDescent="0.25">
      <c r="C886" t="s">
        <v>880</v>
      </c>
      <c r="D886" s="9" t="s">
        <v>807</v>
      </c>
      <c r="E886" s="10"/>
      <c r="F886" s="6">
        <v>60</v>
      </c>
      <c r="G886" s="6">
        <f t="shared" si="41"/>
        <v>60</v>
      </c>
      <c r="H886" s="6">
        <v>60</v>
      </c>
      <c r="I886" s="6">
        <f t="shared" si="39"/>
        <v>0</v>
      </c>
      <c r="J886" s="7" t="str">
        <f t="shared" si="40"/>
        <v>PAGADO</v>
      </c>
      <c r="M886" s="8"/>
    </row>
    <row r="887" spans="3:13" customFormat="1" x14ac:dyDescent="0.25">
      <c r="C887" s="9" t="s">
        <v>881</v>
      </c>
      <c r="D887" s="9" t="s">
        <v>882</v>
      </c>
      <c r="E887" s="10"/>
      <c r="F887" s="6">
        <v>75</v>
      </c>
      <c r="G887" s="6">
        <f t="shared" si="41"/>
        <v>75</v>
      </c>
      <c r="H887" s="6">
        <v>75</v>
      </c>
      <c r="I887" s="6">
        <f t="shared" si="39"/>
        <v>0</v>
      </c>
      <c r="J887" s="7" t="str">
        <f t="shared" si="40"/>
        <v>PAGADO</v>
      </c>
      <c r="M887" s="8"/>
    </row>
    <row r="888" spans="3:13" customFormat="1" x14ac:dyDescent="0.25">
      <c r="C888" s="9" t="s">
        <v>883</v>
      </c>
      <c r="D888" s="9" t="s">
        <v>882</v>
      </c>
      <c r="E888" s="10"/>
      <c r="F888" s="6">
        <v>85</v>
      </c>
      <c r="G888" s="6">
        <f t="shared" si="41"/>
        <v>85</v>
      </c>
      <c r="H888" s="6">
        <f>40+20+25</f>
        <v>85</v>
      </c>
      <c r="I888" s="6">
        <f t="shared" si="39"/>
        <v>0</v>
      </c>
      <c r="J888" s="7" t="str">
        <f t="shared" si="40"/>
        <v>PAGADO</v>
      </c>
      <c r="M888" s="8"/>
    </row>
    <row r="889" spans="3:13" customFormat="1" x14ac:dyDescent="0.25">
      <c r="C889" s="9" t="s">
        <v>884</v>
      </c>
      <c r="D889" s="9" t="s">
        <v>793</v>
      </c>
      <c r="E889" s="10"/>
      <c r="F889" s="6">
        <v>50</v>
      </c>
      <c r="G889" s="6">
        <f t="shared" si="41"/>
        <v>50</v>
      </c>
      <c r="H889" s="6">
        <v>50</v>
      </c>
      <c r="I889" s="6">
        <f t="shared" si="39"/>
        <v>0</v>
      </c>
      <c r="J889" s="7" t="str">
        <f t="shared" si="40"/>
        <v>PAGADO</v>
      </c>
      <c r="M889" s="8"/>
    </row>
    <row r="890" spans="3:13" customFormat="1" x14ac:dyDescent="0.25">
      <c r="C890" s="9" t="s">
        <v>433</v>
      </c>
      <c r="D890" s="9" t="s">
        <v>33</v>
      </c>
      <c r="E890" s="10"/>
      <c r="F890" s="6">
        <v>75</v>
      </c>
      <c r="G890" s="6">
        <f t="shared" si="41"/>
        <v>75</v>
      </c>
      <c r="H890" s="6">
        <v>75</v>
      </c>
      <c r="I890" s="6">
        <f t="shared" si="39"/>
        <v>0</v>
      </c>
      <c r="J890" s="7" t="str">
        <f t="shared" si="40"/>
        <v>PAGADO</v>
      </c>
      <c r="M890" s="8"/>
    </row>
    <row r="891" spans="3:13" customFormat="1" x14ac:dyDescent="0.25">
      <c r="C891" s="9" t="s">
        <v>885</v>
      </c>
      <c r="D891" s="9" t="s">
        <v>33</v>
      </c>
      <c r="E891" s="10"/>
      <c r="F891" s="6">
        <v>110</v>
      </c>
      <c r="G891" s="6">
        <f t="shared" si="41"/>
        <v>110</v>
      </c>
      <c r="H891" s="6">
        <v>110</v>
      </c>
      <c r="I891" s="6">
        <f t="shared" si="39"/>
        <v>0</v>
      </c>
      <c r="J891" s="7" t="str">
        <f t="shared" si="40"/>
        <v>PAGADO</v>
      </c>
      <c r="M891" s="8"/>
    </row>
    <row r="892" spans="3:13" customFormat="1" x14ac:dyDescent="0.25">
      <c r="C892" s="9" t="s">
        <v>520</v>
      </c>
      <c r="D892" s="9" t="s">
        <v>692</v>
      </c>
      <c r="E892" s="10"/>
      <c r="F892" s="6">
        <v>65</v>
      </c>
      <c r="G892" s="6">
        <f t="shared" si="41"/>
        <v>65</v>
      </c>
      <c r="H892" s="30">
        <v>65</v>
      </c>
      <c r="I892" s="6">
        <f t="shared" si="39"/>
        <v>0</v>
      </c>
      <c r="J892" s="7" t="str">
        <f t="shared" si="40"/>
        <v>PAGADO</v>
      </c>
      <c r="K892" s="35" t="s">
        <v>693</v>
      </c>
      <c r="M892" s="8"/>
    </row>
    <row r="893" spans="3:13" customFormat="1" x14ac:dyDescent="0.25">
      <c r="C893" s="9" t="s">
        <v>886</v>
      </c>
      <c r="D893" s="9" t="s">
        <v>33</v>
      </c>
      <c r="E893" s="10"/>
      <c r="F893" s="6">
        <v>110</v>
      </c>
      <c r="G893" s="6">
        <f t="shared" si="41"/>
        <v>110</v>
      </c>
      <c r="H893" s="6">
        <v>110</v>
      </c>
      <c r="I893" s="6">
        <f t="shared" si="39"/>
        <v>0</v>
      </c>
      <c r="J893" s="7" t="str">
        <f t="shared" si="40"/>
        <v>PAGADO</v>
      </c>
      <c r="M893" s="8"/>
    </row>
    <row r="894" spans="3:13" customFormat="1" x14ac:dyDescent="0.25">
      <c r="C894" s="9" t="s">
        <v>887</v>
      </c>
      <c r="D894" s="9" t="s">
        <v>33</v>
      </c>
      <c r="E894" s="10"/>
      <c r="F894" s="6">
        <v>110</v>
      </c>
      <c r="G894" s="6">
        <f t="shared" si="41"/>
        <v>110</v>
      </c>
      <c r="H894" s="6">
        <v>110</v>
      </c>
      <c r="I894" s="6">
        <f t="shared" ref="I894:I957" si="42">F894-H894</f>
        <v>0</v>
      </c>
      <c r="J894" s="7" t="str">
        <f t="shared" ref="J894:J912" si="43">IF(I894&gt;0,"DEBE","PAGADO")</f>
        <v>PAGADO</v>
      </c>
      <c r="M894" s="8"/>
    </row>
    <row r="895" spans="3:13" customFormat="1" x14ac:dyDescent="0.25">
      <c r="C895" t="s">
        <v>888</v>
      </c>
      <c r="D895" s="9" t="s">
        <v>807</v>
      </c>
      <c r="E895" s="10"/>
      <c r="F895" s="6">
        <v>10</v>
      </c>
      <c r="G895" s="6">
        <f t="shared" si="41"/>
        <v>10</v>
      </c>
      <c r="H895" s="6">
        <v>10</v>
      </c>
      <c r="I895" s="6">
        <f t="shared" si="42"/>
        <v>0</v>
      </c>
      <c r="J895" s="7" t="str">
        <f t="shared" si="43"/>
        <v>PAGADO</v>
      </c>
      <c r="M895" s="8"/>
    </row>
    <row r="896" spans="3:13" customFormat="1" x14ac:dyDescent="0.25">
      <c r="C896" t="s">
        <v>889</v>
      </c>
      <c r="D896" s="9" t="s">
        <v>597</v>
      </c>
      <c r="E896" s="10"/>
      <c r="F896" s="6">
        <v>30</v>
      </c>
      <c r="G896" s="6">
        <f t="shared" si="41"/>
        <v>30</v>
      </c>
      <c r="H896" s="6">
        <v>30</v>
      </c>
      <c r="I896" s="6">
        <f t="shared" si="42"/>
        <v>0</v>
      </c>
      <c r="J896" s="7" t="str">
        <f t="shared" si="43"/>
        <v>PAGADO</v>
      </c>
      <c r="K896" s="9"/>
      <c r="M896" s="8"/>
    </row>
    <row r="897" spans="3:13" customFormat="1" x14ac:dyDescent="0.25">
      <c r="C897" t="s">
        <v>890</v>
      </c>
      <c r="D897" s="9" t="s">
        <v>597</v>
      </c>
      <c r="E897" s="10"/>
      <c r="F897" s="6">
        <v>20</v>
      </c>
      <c r="G897" s="6">
        <f t="shared" si="41"/>
        <v>20</v>
      </c>
      <c r="H897" s="6">
        <v>20</v>
      </c>
      <c r="I897" s="6">
        <f t="shared" si="42"/>
        <v>0</v>
      </c>
      <c r="J897" s="7" t="str">
        <f t="shared" si="43"/>
        <v>PAGADO</v>
      </c>
      <c r="K897" s="9"/>
      <c r="M897" s="8"/>
    </row>
    <row r="898" spans="3:13" customFormat="1" x14ac:dyDescent="0.25">
      <c r="C898" t="s">
        <v>891</v>
      </c>
      <c r="D898" s="9" t="s">
        <v>809</v>
      </c>
      <c r="E898" s="10"/>
      <c r="F898" s="6">
        <v>40</v>
      </c>
      <c r="G898" s="6">
        <f t="shared" ref="G898:G961" si="44">F898-E898</f>
        <v>40</v>
      </c>
      <c r="H898" s="6">
        <v>40</v>
      </c>
      <c r="I898" s="6">
        <f t="shared" si="42"/>
        <v>0</v>
      </c>
      <c r="J898" s="7" t="str">
        <f t="shared" si="43"/>
        <v>PAGADO</v>
      </c>
      <c r="K898" s="9"/>
      <c r="M898" s="8"/>
    </row>
    <row r="899" spans="3:13" customFormat="1" x14ac:dyDescent="0.25">
      <c r="C899" t="s">
        <v>892</v>
      </c>
      <c r="D899" s="9" t="s">
        <v>809</v>
      </c>
      <c r="E899" s="10"/>
      <c r="F899" s="6">
        <v>25</v>
      </c>
      <c r="G899" s="6">
        <f t="shared" si="44"/>
        <v>25</v>
      </c>
      <c r="H899" s="6">
        <v>25</v>
      </c>
      <c r="I899" s="6">
        <f t="shared" si="42"/>
        <v>0</v>
      </c>
      <c r="J899" s="7" t="str">
        <f t="shared" si="43"/>
        <v>PAGADO</v>
      </c>
      <c r="K899" s="9"/>
      <c r="M899" s="8"/>
    </row>
    <row r="900" spans="3:13" customFormat="1" x14ac:dyDescent="0.25">
      <c r="C900" t="s">
        <v>893</v>
      </c>
      <c r="D900" s="9" t="s">
        <v>809</v>
      </c>
      <c r="E900" s="10"/>
      <c r="F900" s="6">
        <v>30</v>
      </c>
      <c r="G900" s="6">
        <f t="shared" si="44"/>
        <v>30</v>
      </c>
      <c r="H900" s="6">
        <v>30</v>
      </c>
      <c r="I900" s="6">
        <f t="shared" si="42"/>
        <v>0</v>
      </c>
      <c r="J900" s="7" t="str">
        <f t="shared" si="43"/>
        <v>PAGADO</v>
      </c>
      <c r="K900" s="9"/>
      <c r="M900" s="8"/>
    </row>
    <row r="901" spans="3:13" customFormat="1" x14ac:dyDescent="0.25">
      <c r="C901" t="s">
        <v>894</v>
      </c>
      <c r="D901" s="9" t="s">
        <v>661</v>
      </c>
      <c r="E901" s="10"/>
      <c r="F901" s="6">
        <v>20</v>
      </c>
      <c r="G901" s="6">
        <f t="shared" si="44"/>
        <v>20</v>
      </c>
      <c r="H901" s="6">
        <v>20</v>
      </c>
      <c r="I901" s="6">
        <f t="shared" si="42"/>
        <v>0</v>
      </c>
      <c r="J901" s="7" t="str">
        <f t="shared" si="43"/>
        <v>PAGADO</v>
      </c>
      <c r="K901" s="9"/>
      <c r="M901" s="8"/>
    </row>
    <row r="902" spans="3:13" customFormat="1" x14ac:dyDescent="0.25">
      <c r="C902" s="9" t="s">
        <v>895</v>
      </c>
      <c r="D902" s="9" t="s">
        <v>711</v>
      </c>
      <c r="E902" s="10"/>
      <c r="F902" s="6">
        <v>45</v>
      </c>
      <c r="G902" s="6">
        <f t="shared" si="44"/>
        <v>45</v>
      </c>
      <c r="H902" s="6">
        <f>40+5</f>
        <v>45</v>
      </c>
      <c r="I902" s="6">
        <f t="shared" si="42"/>
        <v>0</v>
      </c>
      <c r="J902" s="7" t="str">
        <f t="shared" si="43"/>
        <v>PAGADO</v>
      </c>
      <c r="M902" s="8"/>
    </row>
    <row r="903" spans="3:13" customFormat="1" x14ac:dyDescent="0.25">
      <c r="C903" s="9" t="s">
        <v>896</v>
      </c>
      <c r="D903" s="9" t="s">
        <v>236</v>
      </c>
      <c r="E903" s="10"/>
      <c r="F903" s="6">
        <v>30</v>
      </c>
      <c r="G903" s="6">
        <f t="shared" si="44"/>
        <v>30</v>
      </c>
      <c r="H903" s="6">
        <v>30</v>
      </c>
      <c r="I903" s="6">
        <f t="shared" si="42"/>
        <v>0</v>
      </c>
      <c r="J903" s="7" t="str">
        <f t="shared" si="43"/>
        <v>PAGADO</v>
      </c>
      <c r="K903" t="s">
        <v>897</v>
      </c>
      <c r="M903" s="8"/>
    </row>
    <row r="904" spans="3:13" customFormat="1" x14ac:dyDescent="0.25">
      <c r="C904" s="9" t="s">
        <v>898</v>
      </c>
      <c r="D904" s="9" t="s">
        <v>692</v>
      </c>
      <c r="E904" s="10"/>
      <c r="F904" s="6">
        <v>75</v>
      </c>
      <c r="G904" s="6">
        <f t="shared" si="44"/>
        <v>75</v>
      </c>
      <c r="H904" s="42">
        <v>75</v>
      </c>
      <c r="I904" s="6">
        <f t="shared" si="42"/>
        <v>0</v>
      </c>
      <c r="J904" s="7" t="str">
        <f t="shared" si="43"/>
        <v>PAGADO</v>
      </c>
      <c r="K904" s="35" t="s">
        <v>693</v>
      </c>
      <c r="M904" s="8"/>
    </row>
    <row r="905" spans="3:13" customFormat="1" x14ac:dyDescent="0.25">
      <c r="C905" s="9" t="s">
        <v>899</v>
      </c>
      <c r="D905" s="9" t="s">
        <v>692</v>
      </c>
      <c r="E905" s="10"/>
      <c r="F905" s="6">
        <v>75</v>
      </c>
      <c r="G905" s="6">
        <f t="shared" si="44"/>
        <v>75</v>
      </c>
      <c r="H905" s="42">
        <v>75</v>
      </c>
      <c r="I905" s="6">
        <f t="shared" si="42"/>
        <v>0</v>
      </c>
      <c r="J905" s="7" t="str">
        <f t="shared" si="43"/>
        <v>PAGADO</v>
      </c>
      <c r="K905" s="35" t="s">
        <v>693</v>
      </c>
      <c r="M905" s="8"/>
    </row>
    <row r="906" spans="3:13" customFormat="1" x14ac:dyDescent="0.25">
      <c r="C906" s="9" t="s">
        <v>900</v>
      </c>
      <c r="D906" s="9" t="s">
        <v>692</v>
      </c>
      <c r="E906" s="10"/>
      <c r="F906" s="6">
        <v>65</v>
      </c>
      <c r="G906" s="6">
        <f t="shared" si="44"/>
        <v>65</v>
      </c>
      <c r="H906" s="42">
        <v>65</v>
      </c>
      <c r="I906" s="6">
        <f t="shared" si="42"/>
        <v>0</v>
      </c>
      <c r="J906" s="7" t="str">
        <f t="shared" si="43"/>
        <v>PAGADO</v>
      </c>
      <c r="K906" s="35" t="s">
        <v>693</v>
      </c>
      <c r="M906" s="8"/>
    </row>
    <row r="907" spans="3:13" customFormat="1" x14ac:dyDescent="0.25">
      <c r="C907" s="9" t="s">
        <v>41</v>
      </c>
      <c r="D907" s="9" t="s">
        <v>901</v>
      </c>
      <c r="E907" s="10"/>
      <c r="F907" s="6">
        <v>70</v>
      </c>
      <c r="G907" s="6">
        <f t="shared" si="44"/>
        <v>70</v>
      </c>
      <c r="H907" s="6">
        <v>70</v>
      </c>
      <c r="I907" s="6">
        <f t="shared" si="42"/>
        <v>0</v>
      </c>
      <c r="J907" s="7" t="str">
        <f t="shared" si="43"/>
        <v>PAGADO</v>
      </c>
      <c r="M907" s="8"/>
    </row>
    <row r="908" spans="3:13" customFormat="1" x14ac:dyDescent="0.25">
      <c r="C908" s="9" t="s">
        <v>69</v>
      </c>
      <c r="D908" s="9" t="s">
        <v>901</v>
      </c>
      <c r="E908" s="10"/>
      <c r="F908" s="6">
        <v>70</v>
      </c>
      <c r="G908" s="6">
        <f t="shared" si="44"/>
        <v>70</v>
      </c>
      <c r="H908" s="6">
        <v>70</v>
      </c>
      <c r="I908" s="6">
        <f t="shared" si="42"/>
        <v>0</v>
      </c>
      <c r="J908" s="7" t="str">
        <f t="shared" si="43"/>
        <v>PAGADO</v>
      </c>
      <c r="M908" s="8"/>
    </row>
    <row r="909" spans="3:13" customFormat="1" x14ac:dyDescent="0.25">
      <c r="C909" s="9" t="s">
        <v>902</v>
      </c>
      <c r="D909" s="9" t="s">
        <v>901</v>
      </c>
      <c r="E909" s="10"/>
      <c r="F909" s="6">
        <v>65</v>
      </c>
      <c r="G909" s="6">
        <f t="shared" si="44"/>
        <v>65</v>
      </c>
      <c r="H909" s="6">
        <v>65</v>
      </c>
      <c r="I909" s="6">
        <f t="shared" si="42"/>
        <v>0</v>
      </c>
      <c r="J909" s="7" t="str">
        <f t="shared" si="43"/>
        <v>PAGADO</v>
      </c>
      <c r="M909" s="8"/>
    </row>
    <row r="910" spans="3:13" customFormat="1" x14ac:dyDescent="0.25">
      <c r="C910" s="9" t="s">
        <v>334</v>
      </c>
      <c r="D910" s="9" t="s">
        <v>903</v>
      </c>
      <c r="E910" s="10"/>
      <c r="F910" s="6">
        <v>120</v>
      </c>
      <c r="G910" s="6">
        <f t="shared" si="44"/>
        <v>120</v>
      </c>
      <c r="H910" s="6">
        <v>120</v>
      </c>
      <c r="I910" s="6">
        <f t="shared" si="42"/>
        <v>0</v>
      </c>
      <c r="J910" s="7" t="str">
        <f t="shared" si="43"/>
        <v>PAGADO</v>
      </c>
      <c r="M910" s="8"/>
    </row>
    <row r="911" spans="3:13" customFormat="1" x14ac:dyDescent="0.25">
      <c r="C911" s="9" t="s">
        <v>904</v>
      </c>
      <c r="D911" s="9" t="s">
        <v>33</v>
      </c>
      <c r="E911" s="10"/>
      <c r="F911" s="6">
        <v>95</v>
      </c>
      <c r="G911" s="6">
        <f t="shared" si="44"/>
        <v>95</v>
      </c>
      <c r="H911" s="6">
        <v>95</v>
      </c>
      <c r="I911" s="6">
        <f t="shared" si="42"/>
        <v>0</v>
      </c>
      <c r="J911" s="7" t="str">
        <f t="shared" si="43"/>
        <v>PAGADO</v>
      </c>
      <c r="M911" s="8"/>
    </row>
    <row r="912" spans="3:13" customFormat="1" x14ac:dyDescent="0.25">
      <c r="C912" s="9" t="s">
        <v>905</v>
      </c>
      <c r="D912" s="9" t="s">
        <v>692</v>
      </c>
      <c r="E912" s="10"/>
      <c r="F912" s="6">
        <v>55</v>
      </c>
      <c r="G912" s="6">
        <f t="shared" si="44"/>
        <v>55</v>
      </c>
      <c r="H912" s="37">
        <v>55</v>
      </c>
      <c r="I912" s="6">
        <f t="shared" si="42"/>
        <v>0</v>
      </c>
      <c r="J912" s="7" t="str">
        <f t="shared" si="43"/>
        <v>PAGADO</v>
      </c>
      <c r="K912" s="35" t="s">
        <v>693</v>
      </c>
      <c r="M912" s="8"/>
    </row>
    <row r="913" spans="3:13" customFormat="1" x14ac:dyDescent="0.25">
      <c r="C913" s="9" t="s">
        <v>906</v>
      </c>
      <c r="D913" s="9" t="s">
        <v>692</v>
      </c>
      <c r="E913" s="10"/>
      <c r="F913" s="6">
        <v>45</v>
      </c>
      <c r="G913" s="6">
        <f t="shared" si="44"/>
        <v>45</v>
      </c>
      <c r="H913" s="6">
        <v>45</v>
      </c>
      <c r="I913" s="6">
        <f t="shared" si="42"/>
        <v>0</v>
      </c>
      <c r="J913" s="34" t="s">
        <v>907</v>
      </c>
      <c r="K913" s="35" t="s">
        <v>693</v>
      </c>
      <c r="M913" s="8"/>
    </row>
    <row r="914" spans="3:13" customFormat="1" x14ac:dyDescent="0.25">
      <c r="C914" s="9" t="s">
        <v>908</v>
      </c>
      <c r="D914" s="9" t="s">
        <v>692</v>
      </c>
      <c r="E914" s="10"/>
      <c r="F914" s="6">
        <v>60</v>
      </c>
      <c r="G914" s="6">
        <f t="shared" si="44"/>
        <v>60</v>
      </c>
      <c r="H914" s="37">
        <v>60</v>
      </c>
      <c r="I914" s="6">
        <f t="shared" si="42"/>
        <v>0</v>
      </c>
      <c r="J914" s="7" t="str">
        <f t="shared" ref="J914:J934" si="45">IF(I914&gt;0,"DEBE","PAGADO")</f>
        <v>PAGADO</v>
      </c>
      <c r="K914" s="35" t="s">
        <v>693</v>
      </c>
      <c r="M914" s="8"/>
    </row>
    <row r="915" spans="3:13" customFormat="1" x14ac:dyDescent="0.25">
      <c r="C915" s="9" t="s">
        <v>909</v>
      </c>
      <c r="D915" s="9" t="s">
        <v>692</v>
      </c>
      <c r="E915" s="10"/>
      <c r="F915" s="6">
        <v>85</v>
      </c>
      <c r="G915" s="6">
        <f t="shared" si="44"/>
        <v>85</v>
      </c>
      <c r="H915" s="6">
        <v>85</v>
      </c>
      <c r="I915" s="6">
        <f t="shared" si="42"/>
        <v>0</v>
      </c>
      <c r="J915" s="7" t="str">
        <f t="shared" si="45"/>
        <v>PAGADO</v>
      </c>
      <c r="K915" s="35" t="s">
        <v>693</v>
      </c>
      <c r="M915" s="8"/>
    </row>
    <row r="916" spans="3:13" customFormat="1" x14ac:dyDescent="0.25">
      <c r="C916" s="9" t="s">
        <v>910</v>
      </c>
      <c r="D916" s="9" t="s">
        <v>202</v>
      </c>
      <c r="E916" s="10"/>
      <c r="F916" s="6">
        <v>130</v>
      </c>
      <c r="G916" s="6">
        <f t="shared" si="44"/>
        <v>130</v>
      </c>
      <c r="H916" s="6">
        <v>130</v>
      </c>
      <c r="I916" s="6">
        <f t="shared" si="42"/>
        <v>0</v>
      </c>
      <c r="J916" s="7" t="str">
        <f t="shared" si="45"/>
        <v>PAGADO</v>
      </c>
      <c r="M916" s="8"/>
    </row>
    <row r="917" spans="3:13" customFormat="1" x14ac:dyDescent="0.25">
      <c r="C917" t="s">
        <v>911</v>
      </c>
      <c r="D917" t="s">
        <v>62</v>
      </c>
      <c r="E917" s="6"/>
      <c r="F917" s="6">
        <v>30</v>
      </c>
      <c r="G917" s="6">
        <f t="shared" si="44"/>
        <v>30</v>
      </c>
      <c r="H917" s="6">
        <v>30</v>
      </c>
      <c r="I917" s="6">
        <f t="shared" si="42"/>
        <v>0</v>
      </c>
      <c r="J917" s="7" t="str">
        <f t="shared" si="45"/>
        <v>PAGADO</v>
      </c>
      <c r="M917" s="8"/>
    </row>
    <row r="918" spans="3:13" customFormat="1" x14ac:dyDescent="0.25">
      <c r="C918" s="9" t="s">
        <v>912</v>
      </c>
      <c r="D918" s="9" t="s">
        <v>711</v>
      </c>
      <c r="E918" s="10"/>
      <c r="F918" s="6">
        <v>110</v>
      </c>
      <c r="G918" s="6">
        <f t="shared" si="44"/>
        <v>110</v>
      </c>
      <c r="H918" s="6">
        <f>100+10</f>
        <v>110</v>
      </c>
      <c r="I918" s="6">
        <f t="shared" si="42"/>
        <v>0</v>
      </c>
      <c r="J918" s="7" t="str">
        <f t="shared" si="45"/>
        <v>PAGADO</v>
      </c>
      <c r="M918" s="8"/>
    </row>
    <row r="919" spans="3:13" customFormat="1" x14ac:dyDescent="0.25">
      <c r="C919" s="9" t="s">
        <v>913</v>
      </c>
      <c r="D919" s="9" t="s">
        <v>914</v>
      </c>
      <c r="E919" s="10"/>
      <c r="F919" s="6">
        <v>40</v>
      </c>
      <c r="G919" s="6">
        <f t="shared" si="44"/>
        <v>40</v>
      </c>
      <c r="H919" s="6">
        <v>40</v>
      </c>
      <c r="I919" s="6">
        <f t="shared" si="42"/>
        <v>0</v>
      </c>
      <c r="J919" s="7" t="str">
        <f t="shared" si="45"/>
        <v>PAGADO</v>
      </c>
      <c r="M919" s="8"/>
    </row>
    <row r="920" spans="3:13" customFormat="1" x14ac:dyDescent="0.25">
      <c r="C920" s="9" t="s">
        <v>915</v>
      </c>
      <c r="D920" s="9" t="s">
        <v>914</v>
      </c>
      <c r="E920" s="10"/>
      <c r="F920" s="6">
        <v>40</v>
      </c>
      <c r="G920" s="6">
        <f t="shared" si="44"/>
        <v>40</v>
      </c>
      <c r="H920" s="6">
        <v>40</v>
      </c>
      <c r="I920" s="6">
        <f t="shared" si="42"/>
        <v>0</v>
      </c>
      <c r="J920" s="7" t="str">
        <f t="shared" si="45"/>
        <v>PAGADO</v>
      </c>
      <c r="M920" s="8"/>
    </row>
    <row r="921" spans="3:13" customFormat="1" x14ac:dyDescent="0.25">
      <c r="C921" s="9" t="s">
        <v>916</v>
      </c>
      <c r="D921" s="9" t="s">
        <v>914</v>
      </c>
      <c r="E921" s="10"/>
      <c r="F921" s="6">
        <v>40</v>
      </c>
      <c r="G921" s="6">
        <f t="shared" si="44"/>
        <v>40</v>
      </c>
      <c r="H921" s="6">
        <v>40</v>
      </c>
      <c r="I921" s="6">
        <f t="shared" si="42"/>
        <v>0</v>
      </c>
      <c r="J921" s="7" t="str">
        <f t="shared" si="45"/>
        <v>PAGADO</v>
      </c>
      <c r="M921" s="8"/>
    </row>
    <row r="922" spans="3:13" customFormat="1" x14ac:dyDescent="0.25">
      <c r="C922" s="9" t="s">
        <v>917</v>
      </c>
      <c r="D922" s="9" t="s">
        <v>914</v>
      </c>
      <c r="E922" s="10"/>
      <c r="F922" s="6">
        <v>40</v>
      </c>
      <c r="G922" s="6">
        <f t="shared" si="44"/>
        <v>40</v>
      </c>
      <c r="H922" s="6">
        <v>40</v>
      </c>
      <c r="I922" s="6">
        <f t="shared" si="42"/>
        <v>0</v>
      </c>
      <c r="J922" s="7" t="str">
        <f t="shared" si="45"/>
        <v>PAGADO</v>
      </c>
      <c r="M922" s="8"/>
    </row>
    <row r="923" spans="3:13" customFormat="1" x14ac:dyDescent="0.25">
      <c r="C923" s="9" t="s">
        <v>918</v>
      </c>
      <c r="D923" s="9" t="s">
        <v>914</v>
      </c>
      <c r="E923" s="10"/>
      <c r="F923" s="6">
        <v>40</v>
      </c>
      <c r="G923" s="6">
        <f t="shared" si="44"/>
        <v>40</v>
      </c>
      <c r="H923" s="6">
        <v>40</v>
      </c>
      <c r="I923" s="6">
        <f t="shared" si="42"/>
        <v>0</v>
      </c>
      <c r="J923" s="7" t="str">
        <f t="shared" si="45"/>
        <v>PAGADO</v>
      </c>
      <c r="M923" s="8"/>
    </row>
    <row r="924" spans="3:13" customFormat="1" x14ac:dyDescent="0.25">
      <c r="C924" s="9" t="s">
        <v>919</v>
      </c>
      <c r="D924" s="9" t="s">
        <v>722</v>
      </c>
      <c r="E924" s="10"/>
      <c r="F924" s="6">
        <v>15</v>
      </c>
      <c r="G924" s="6">
        <f t="shared" si="44"/>
        <v>15</v>
      </c>
      <c r="H924" s="6">
        <v>15</v>
      </c>
      <c r="I924" s="6">
        <f t="shared" si="42"/>
        <v>0</v>
      </c>
      <c r="J924" s="7" t="str">
        <f t="shared" si="45"/>
        <v>PAGADO</v>
      </c>
      <c r="M924" s="8"/>
    </row>
    <row r="925" spans="3:13" customFormat="1" x14ac:dyDescent="0.25">
      <c r="C925" t="s">
        <v>920</v>
      </c>
      <c r="D925" s="9" t="s">
        <v>770</v>
      </c>
      <c r="E925" s="10"/>
      <c r="F925" s="6">
        <v>15</v>
      </c>
      <c r="G925" s="6">
        <f t="shared" si="44"/>
        <v>15</v>
      </c>
      <c r="H925" s="6">
        <v>15</v>
      </c>
      <c r="I925" s="6">
        <f t="shared" si="42"/>
        <v>0</v>
      </c>
      <c r="J925" s="7" t="str">
        <f t="shared" si="45"/>
        <v>PAGADO</v>
      </c>
      <c r="M925" s="8"/>
    </row>
    <row r="926" spans="3:13" customFormat="1" x14ac:dyDescent="0.25">
      <c r="C926" s="9" t="s">
        <v>909</v>
      </c>
      <c r="D926" s="9" t="s">
        <v>921</v>
      </c>
      <c r="E926" s="10"/>
      <c r="F926" s="6">
        <v>100</v>
      </c>
      <c r="G926" s="6">
        <f t="shared" si="44"/>
        <v>100</v>
      </c>
      <c r="H926" s="6">
        <v>100</v>
      </c>
      <c r="I926" s="6">
        <f t="shared" si="42"/>
        <v>0</v>
      </c>
      <c r="J926" s="7" t="str">
        <f t="shared" si="45"/>
        <v>PAGADO</v>
      </c>
      <c r="M926" s="8"/>
    </row>
    <row r="927" spans="3:13" customFormat="1" x14ac:dyDescent="0.25">
      <c r="C927" s="9" t="s">
        <v>922</v>
      </c>
      <c r="D927" s="9" t="s">
        <v>921</v>
      </c>
      <c r="E927" s="10"/>
      <c r="F927" s="6">
        <v>200</v>
      </c>
      <c r="G927" s="6">
        <f t="shared" si="44"/>
        <v>200</v>
      </c>
      <c r="H927" s="6">
        <v>200</v>
      </c>
      <c r="I927" s="6">
        <f t="shared" si="42"/>
        <v>0</v>
      </c>
      <c r="J927" s="7" t="str">
        <f t="shared" si="45"/>
        <v>PAGADO</v>
      </c>
      <c r="M927" s="8"/>
    </row>
    <row r="928" spans="3:13" customFormat="1" x14ac:dyDescent="0.25">
      <c r="C928" s="9" t="s">
        <v>923</v>
      </c>
      <c r="D928" s="9" t="s">
        <v>807</v>
      </c>
      <c r="E928" s="10"/>
      <c r="F928" s="6">
        <v>50</v>
      </c>
      <c r="G928" s="6">
        <f t="shared" si="44"/>
        <v>50</v>
      </c>
      <c r="H928" s="6">
        <v>50</v>
      </c>
      <c r="I928" s="6">
        <f t="shared" si="42"/>
        <v>0</v>
      </c>
      <c r="J928" s="7" t="str">
        <f t="shared" si="45"/>
        <v>PAGADO</v>
      </c>
      <c r="M928" s="8"/>
    </row>
    <row r="929" spans="3:13" customFormat="1" x14ac:dyDescent="0.25">
      <c r="C929" s="9" t="s">
        <v>830</v>
      </c>
      <c r="D929" s="9" t="s">
        <v>816</v>
      </c>
      <c r="E929" s="10"/>
      <c r="F929" s="6">
        <v>180</v>
      </c>
      <c r="G929" s="6">
        <f t="shared" si="44"/>
        <v>180</v>
      </c>
      <c r="H929" s="6">
        <v>180</v>
      </c>
      <c r="I929" s="31">
        <f t="shared" si="42"/>
        <v>0</v>
      </c>
      <c r="J929" s="7" t="str">
        <f t="shared" si="45"/>
        <v>PAGADO</v>
      </c>
      <c r="M929" s="8"/>
    </row>
    <row r="930" spans="3:13" customFormat="1" x14ac:dyDescent="0.25">
      <c r="C930" s="9" t="s">
        <v>798</v>
      </c>
      <c r="D930" s="9" t="s">
        <v>816</v>
      </c>
      <c r="E930" s="10"/>
      <c r="F930" s="6">
        <v>90</v>
      </c>
      <c r="G930" s="6">
        <f t="shared" si="44"/>
        <v>90</v>
      </c>
      <c r="H930" s="23">
        <v>90</v>
      </c>
      <c r="I930" s="26">
        <f t="shared" si="42"/>
        <v>0</v>
      </c>
      <c r="J930" s="7" t="str">
        <f t="shared" si="45"/>
        <v>PAGADO</v>
      </c>
      <c r="M930" s="8"/>
    </row>
    <row r="931" spans="3:13" customFormat="1" x14ac:dyDescent="0.25">
      <c r="C931" s="9" t="s">
        <v>924</v>
      </c>
      <c r="D931" s="9" t="s">
        <v>816</v>
      </c>
      <c r="E931" s="10"/>
      <c r="F931" s="6">
        <v>45</v>
      </c>
      <c r="G931" s="6">
        <f t="shared" si="44"/>
        <v>45</v>
      </c>
      <c r="H931" s="6">
        <v>45</v>
      </c>
      <c r="I931" s="31">
        <f t="shared" si="42"/>
        <v>0</v>
      </c>
      <c r="J931" s="7" t="str">
        <f t="shared" si="45"/>
        <v>PAGADO</v>
      </c>
      <c r="M931" s="8"/>
    </row>
    <row r="932" spans="3:13" customFormat="1" x14ac:dyDescent="0.25">
      <c r="C932" s="9" t="s">
        <v>925</v>
      </c>
      <c r="D932" s="9" t="s">
        <v>816</v>
      </c>
      <c r="E932" s="10"/>
      <c r="F932" s="6">
        <v>45</v>
      </c>
      <c r="G932" s="6">
        <f t="shared" si="44"/>
        <v>45</v>
      </c>
      <c r="H932" s="23">
        <v>45</v>
      </c>
      <c r="I932" s="26">
        <f t="shared" si="42"/>
        <v>0</v>
      </c>
      <c r="J932" s="7" t="str">
        <f t="shared" si="45"/>
        <v>PAGADO</v>
      </c>
      <c r="M932" s="8"/>
    </row>
    <row r="933" spans="3:13" customFormat="1" x14ac:dyDescent="0.25">
      <c r="C933" s="9" t="s">
        <v>926</v>
      </c>
      <c r="D933" s="9" t="s">
        <v>816</v>
      </c>
      <c r="E933" s="10"/>
      <c r="F933" s="6">
        <v>140</v>
      </c>
      <c r="G933" s="6">
        <f t="shared" si="44"/>
        <v>140</v>
      </c>
      <c r="H933" s="23">
        <v>140</v>
      </c>
      <c r="I933" s="26">
        <f t="shared" si="42"/>
        <v>0</v>
      </c>
      <c r="J933" s="7" t="str">
        <f t="shared" si="45"/>
        <v>PAGADO</v>
      </c>
      <c r="M933" s="8"/>
    </row>
    <row r="934" spans="3:13" customFormat="1" x14ac:dyDescent="0.25">
      <c r="C934" t="s">
        <v>927</v>
      </c>
      <c r="D934" s="9" t="s">
        <v>809</v>
      </c>
      <c r="E934" s="10"/>
      <c r="F934" s="6">
        <v>140</v>
      </c>
      <c r="G934" s="6">
        <f t="shared" si="44"/>
        <v>140</v>
      </c>
      <c r="H934" s="6">
        <v>140</v>
      </c>
      <c r="I934" s="6">
        <f t="shared" si="42"/>
        <v>0</v>
      </c>
      <c r="J934" s="7" t="str">
        <f t="shared" si="45"/>
        <v>PAGADO</v>
      </c>
      <c r="M934" s="8"/>
    </row>
    <row r="935" spans="3:13" customFormat="1" x14ac:dyDescent="0.25">
      <c r="C935" t="s">
        <v>928</v>
      </c>
      <c r="D935" s="9" t="s">
        <v>809</v>
      </c>
      <c r="E935" s="10"/>
      <c r="F935" s="6">
        <v>30</v>
      </c>
      <c r="G935" s="6">
        <f t="shared" si="44"/>
        <v>30</v>
      </c>
      <c r="H935" s="6">
        <v>30</v>
      </c>
      <c r="I935" s="6">
        <f t="shared" si="42"/>
        <v>0</v>
      </c>
      <c r="J935" s="34" t="s">
        <v>850</v>
      </c>
      <c r="M935" s="8"/>
    </row>
    <row r="936" spans="3:13" customFormat="1" x14ac:dyDescent="0.25">
      <c r="C936" t="s">
        <v>929</v>
      </c>
      <c r="D936" s="9" t="s">
        <v>809</v>
      </c>
      <c r="E936" s="10"/>
      <c r="F936" s="6">
        <v>70</v>
      </c>
      <c r="G936" s="6">
        <f t="shared" si="44"/>
        <v>70</v>
      </c>
      <c r="H936" s="6">
        <v>70</v>
      </c>
      <c r="I936" s="6">
        <f t="shared" si="42"/>
        <v>0</v>
      </c>
      <c r="J936" s="7" t="str">
        <f t="shared" ref="J936:J966" si="46">IF(I936&gt;0,"DEBE","PAGADO")</f>
        <v>PAGADO</v>
      </c>
      <c r="M936" s="8"/>
    </row>
    <row r="937" spans="3:13" customFormat="1" x14ac:dyDescent="0.25">
      <c r="C937" s="9" t="s">
        <v>701</v>
      </c>
      <c r="D937" t="s">
        <v>153</v>
      </c>
      <c r="E937" s="10"/>
      <c r="F937" s="6">
        <v>60</v>
      </c>
      <c r="G937" s="6">
        <f t="shared" si="44"/>
        <v>60</v>
      </c>
      <c r="H937" s="6">
        <v>60</v>
      </c>
      <c r="I937" s="6">
        <f t="shared" si="42"/>
        <v>0</v>
      </c>
      <c r="J937" s="7" t="str">
        <f t="shared" si="46"/>
        <v>PAGADO</v>
      </c>
      <c r="M937" s="8"/>
    </row>
    <row r="938" spans="3:13" customFormat="1" x14ac:dyDescent="0.25">
      <c r="C938" s="9" t="s">
        <v>930</v>
      </c>
      <c r="D938" t="s">
        <v>153</v>
      </c>
      <c r="E938" s="10"/>
      <c r="F938" s="6">
        <v>190</v>
      </c>
      <c r="G938" s="6">
        <f t="shared" si="44"/>
        <v>190</v>
      </c>
      <c r="H938" s="6">
        <v>190</v>
      </c>
      <c r="I938" s="6">
        <f t="shared" si="42"/>
        <v>0</v>
      </c>
      <c r="J938" s="7" t="str">
        <f t="shared" si="46"/>
        <v>PAGADO</v>
      </c>
      <c r="M938" s="8"/>
    </row>
    <row r="939" spans="3:13" customFormat="1" x14ac:dyDescent="0.25">
      <c r="C939" s="9" t="s">
        <v>931</v>
      </c>
      <c r="D939" s="9" t="s">
        <v>711</v>
      </c>
      <c r="E939" s="10"/>
      <c r="F939" s="6">
        <v>90</v>
      </c>
      <c r="G939" s="6">
        <f t="shared" si="44"/>
        <v>90</v>
      </c>
      <c r="H939" s="6">
        <f>45+45</f>
        <v>90</v>
      </c>
      <c r="I939" s="6">
        <f t="shared" si="42"/>
        <v>0</v>
      </c>
      <c r="J939" s="7" t="str">
        <f t="shared" si="46"/>
        <v>PAGADO</v>
      </c>
      <c r="M939" s="8"/>
    </row>
    <row r="940" spans="3:13" customFormat="1" x14ac:dyDescent="0.25">
      <c r="C940" s="9" t="s">
        <v>932</v>
      </c>
      <c r="D940" s="9" t="s">
        <v>45</v>
      </c>
      <c r="E940" s="10"/>
      <c r="F940" s="6">
        <v>25</v>
      </c>
      <c r="G940" s="6">
        <f t="shared" si="44"/>
        <v>25</v>
      </c>
      <c r="H940" s="6">
        <v>25</v>
      </c>
      <c r="I940" s="6">
        <f t="shared" si="42"/>
        <v>0</v>
      </c>
      <c r="J940" s="7" t="str">
        <f t="shared" si="46"/>
        <v>PAGADO</v>
      </c>
      <c r="M940" s="8"/>
    </row>
    <row r="941" spans="3:13" customFormat="1" x14ac:dyDescent="0.25">
      <c r="C941" s="9" t="s">
        <v>933</v>
      </c>
      <c r="D941" t="s">
        <v>18</v>
      </c>
      <c r="E941" s="10"/>
      <c r="F941" s="6">
        <v>230</v>
      </c>
      <c r="G941" s="6">
        <f t="shared" si="44"/>
        <v>230</v>
      </c>
      <c r="H941" s="6">
        <v>230</v>
      </c>
      <c r="I941" s="6">
        <f t="shared" si="42"/>
        <v>0</v>
      </c>
      <c r="J941" s="7" t="str">
        <f t="shared" si="46"/>
        <v>PAGADO</v>
      </c>
      <c r="M941" s="8"/>
    </row>
    <row r="942" spans="3:13" customFormat="1" x14ac:dyDescent="0.25">
      <c r="C942" s="9" t="s">
        <v>934</v>
      </c>
      <c r="D942" s="9" t="s">
        <v>935</v>
      </c>
      <c r="E942" s="10"/>
      <c r="F942" s="6">
        <v>450</v>
      </c>
      <c r="G942" s="6">
        <f t="shared" si="44"/>
        <v>450</v>
      </c>
      <c r="H942" s="6">
        <f>100+100+100+150</f>
        <v>450</v>
      </c>
      <c r="I942" s="6">
        <f t="shared" si="42"/>
        <v>0</v>
      </c>
      <c r="J942" s="7" t="str">
        <f t="shared" si="46"/>
        <v>PAGADO</v>
      </c>
      <c r="M942" s="8"/>
    </row>
    <row r="943" spans="3:13" customFormat="1" x14ac:dyDescent="0.25">
      <c r="C943" s="9" t="s">
        <v>936</v>
      </c>
      <c r="D943" s="9" t="s">
        <v>692</v>
      </c>
      <c r="E943" s="10"/>
      <c r="F943" s="6">
        <v>171</v>
      </c>
      <c r="G943" s="6">
        <f t="shared" si="44"/>
        <v>171</v>
      </c>
      <c r="H943" s="6">
        <v>171</v>
      </c>
      <c r="I943" s="6">
        <f t="shared" si="42"/>
        <v>0</v>
      </c>
      <c r="J943" s="7" t="str">
        <f t="shared" si="46"/>
        <v>PAGADO</v>
      </c>
      <c r="K943" s="35" t="s">
        <v>693</v>
      </c>
      <c r="M943" s="8"/>
    </row>
    <row r="944" spans="3:13" customFormat="1" x14ac:dyDescent="0.25">
      <c r="C944" s="9" t="s">
        <v>937</v>
      </c>
      <c r="D944" s="9" t="s">
        <v>938</v>
      </c>
      <c r="E944" s="10"/>
      <c r="F944" s="6">
        <v>50</v>
      </c>
      <c r="G944" s="6">
        <f t="shared" si="44"/>
        <v>50</v>
      </c>
      <c r="H944" s="6">
        <v>50</v>
      </c>
      <c r="I944" s="6">
        <f t="shared" si="42"/>
        <v>0</v>
      </c>
      <c r="J944" s="7" t="str">
        <f t="shared" si="46"/>
        <v>PAGADO</v>
      </c>
      <c r="M944" s="8"/>
    </row>
    <row r="945" spans="3:13" customFormat="1" x14ac:dyDescent="0.25">
      <c r="C945" s="9" t="s">
        <v>939</v>
      </c>
      <c r="D945" s="9" t="s">
        <v>938</v>
      </c>
      <c r="E945" s="10"/>
      <c r="F945" s="6">
        <v>50</v>
      </c>
      <c r="G945" s="6">
        <f t="shared" si="44"/>
        <v>50</v>
      </c>
      <c r="H945" s="6">
        <v>50</v>
      </c>
      <c r="I945" s="6">
        <f t="shared" si="42"/>
        <v>0</v>
      </c>
      <c r="J945" s="7" t="str">
        <f t="shared" si="46"/>
        <v>PAGADO</v>
      </c>
      <c r="M945" s="8"/>
    </row>
    <row r="946" spans="3:13" customFormat="1" x14ac:dyDescent="0.25">
      <c r="C946" s="9" t="s">
        <v>940</v>
      </c>
      <c r="D946" s="9" t="s">
        <v>941</v>
      </c>
      <c r="E946" s="10"/>
      <c r="F946" s="6">
        <v>10</v>
      </c>
      <c r="G946" s="6">
        <f t="shared" si="44"/>
        <v>10</v>
      </c>
      <c r="H946" s="6">
        <v>10</v>
      </c>
      <c r="I946" s="6">
        <f t="shared" si="42"/>
        <v>0</v>
      </c>
      <c r="J946" s="7" t="str">
        <f t="shared" si="46"/>
        <v>PAGADO</v>
      </c>
      <c r="M946" s="8"/>
    </row>
    <row r="947" spans="3:13" customFormat="1" x14ac:dyDescent="0.25">
      <c r="C947" s="9" t="s">
        <v>902</v>
      </c>
      <c r="D947" s="9" t="s">
        <v>942</v>
      </c>
      <c r="E947" s="10"/>
      <c r="F947" s="6">
        <v>70</v>
      </c>
      <c r="G947" s="6">
        <f t="shared" si="44"/>
        <v>70</v>
      </c>
      <c r="H947" s="6">
        <f>35+35</f>
        <v>70</v>
      </c>
      <c r="I947" s="6">
        <f t="shared" si="42"/>
        <v>0</v>
      </c>
      <c r="J947" s="7" t="str">
        <f t="shared" si="46"/>
        <v>PAGADO</v>
      </c>
      <c r="M947" s="8"/>
    </row>
    <row r="948" spans="3:13" customFormat="1" x14ac:dyDescent="0.25">
      <c r="C948" s="9" t="s">
        <v>943</v>
      </c>
      <c r="D948" s="9" t="s">
        <v>236</v>
      </c>
      <c r="E948" s="10"/>
      <c r="F948" s="6">
        <v>15</v>
      </c>
      <c r="G948" s="6">
        <f t="shared" si="44"/>
        <v>15</v>
      </c>
      <c r="H948" s="6">
        <v>15</v>
      </c>
      <c r="I948" s="6">
        <f t="shared" si="42"/>
        <v>0</v>
      </c>
      <c r="J948" s="7" t="str">
        <f t="shared" si="46"/>
        <v>PAGADO</v>
      </c>
      <c r="M948" s="8"/>
    </row>
    <row r="949" spans="3:13" customFormat="1" x14ac:dyDescent="0.25">
      <c r="C949" s="9" t="s">
        <v>944</v>
      </c>
      <c r="D949" s="9" t="s">
        <v>238</v>
      </c>
      <c r="E949" s="10"/>
      <c r="F949" s="26">
        <v>30</v>
      </c>
      <c r="G949" s="26">
        <f t="shared" si="44"/>
        <v>30</v>
      </c>
      <c r="H949" s="26">
        <v>30</v>
      </c>
      <c r="I949" s="26">
        <f t="shared" si="42"/>
        <v>0</v>
      </c>
      <c r="J949" s="7" t="str">
        <f t="shared" si="46"/>
        <v>PAGADO</v>
      </c>
      <c r="M949" s="8"/>
    </row>
    <row r="950" spans="3:13" customFormat="1" x14ac:dyDescent="0.25">
      <c r="C950" s="9" t="s">
        <v>945</v>
      </c>
      <c r="D950" s="9" t="s">
        <v>597</v>
      </c>
      <c r="E950" s="10"/>
      <c r="F950" s="6">
        <v>15</v>
      </c>
      <c r="G950" s="6">
        <f t="shared" si="44"/>
        <v>15</v>
      </c>
      <c r="H950" s="6">
        <v>15</v>
      </c>
      <c r="I950" s="6">
        <f t="shared" si="42"/>
        <v>0</v>
      </c>
      <c r="J950" s="7" t="str">
        <f t="shared" si="46"/>
        <v>PAGADO</v>
      </c>
      <c r="M950" s="8"/>
    </row>
    <row r="951" spans="3:13" customFormat="1" x14ac:dyDescent="0.25">
      <c r="C951" s="9" t="s">
        <v>946</v>
      </c>
      <c r="D951" s="9" t="s">
        <v>74</v>
      </c>
      <c r="E951" s="10"/>
      <c r="F951" s="6">
        <v>15</v>
      </c>
      <c r="G951" s="6">
        <f t="shared" si="44"/>
        <v>15</v>
      </c>
      <c r="H951" s="6">
        <v>15</v>
      </c>
      <c r="I951" s="43">
        <f t="shared" si="42"/>
        <v>0</v>
      </c>
      <c r="J951" s="7" t="str">
        <f t="shared" si="46"/>
        <v>PAGADO</v>
      </c>
      <c r="M951" s="8"/>
    </row>
    <row r="952" spans="3:13" customFormat="1" x14ac:dyDescent="0.25">
      <c r="C952" s="9" t="s">
        <v>947</v>
      </c>
      <c r="D952" s="9" t="s">
        <v>597</v>
      </c>
      <c r="E952" s="10"/>
      <c r="F952" s="6">
        <v>10</v>
      </c>
      <c r="G952" s="6">
        <f t="shared" si="44"/>
        <v>10</v>
      </c>
      <c r="H952" s="6">
        <v>10</v>
      </c>
      <c r="I952" s="6">
        <f t="shared" si="42"/>
        <v>0</v>
      </c>
      <c r="J952" s="7" t="str">
        <f t="shared" si="46"/>
        <v>PAGADO</v>
      </c>
      <c r="M952" s="8"/>
    </row>
    <row r="953" spans="3:13" customFormat="1" x14ac:dyDescent="0.25">
      <c r="C953" s="9" t="s">
        <v>948</v>
      </c>
      <c r="D953" s="9" t="s">
        <v>692</v>
      </c>
      <c r="E953" s="10"/>
      <c r="F953" s="6">
        <v>70</v>
      </c>
      <c r="G953" s="6">
        <f t="shared" si="44"/>
        <v>70</v>
      </c>
      <c r="H953" s="6">
        <v>70</v>
      </c>
      <c r="I953" s="6">
        <f t="shared" si="42"/>
        <v>0</v>
      </c>
      <c r="J953" s="7" t="str">
        <f t="shared" si="46"/>
        <v>PAGADO</v>
      </c>
      <c r="M953" s="8"/>
    </row>
    <row r="954" spans="3:13" customFormat="1" x14ac:dyDescent="0.25">
      <c r="C954" s="9" t="s">
        <v>949</v>
      </c>
      <c r="D954" s="9" t="s">
        <v>816</v>
      </c>
      <c r="E954" s="10"/>
      <c r="F954" s="6">
        <v>75</v>
      </c>
      <c r="G954" s="6">
        <f t="shared" si="44"/>
        <v>75</v>
      </c>
      <c r="H954" s="23">
        <v>75</v>
      </c>
      <c r="I954" s="26">
        <f t="shared" si="42"/>
        <v>0</v>
      </c>
      <c r="J954" s="7" t="str">
        <f t="shared" si="46"/>
        <v>PAGADO</v>
      </c>
      <c r="M954" s="8"/>
    </row>
    <row r="955" spans="3:13" customFormat="1" x14ac:dyDescent="0.25">
      <c r="C955" s="9" t="s">
        <v>520</v>
      </c>
      <c r="D955" s="9" t="s">
        <v>816</v>
      </c>
      <c r="E955" s="10"/>
      <c r="F955" s="6">
        <v>70</v>
      </c>
      <c r="G955" s="6">
        <f t="shared" si="44"/>
        <v>70</v>
      </c>
      <c r="H955" s="6">
        <v>70</v>
      </c>
      <c r="I955" s="26">
        <f t="shared" si="42"/>
        <v>0</v>
      </c>
      <c r="J955" s="7" t="str">
        <f t="shared" si="46"/>
        <v>PAGADO</v>
      </c>
      <c r="M955" s="8"/>
    </row>
    <row r="956" spans="3:13" customFormat="1" x14ac:dyDescent="0.25">
      <c r="C956" s="9" t="s">
        <v>950</v>
      </c>
      <c r="D956" s="9" t="s">
        <v>816</v>
      </c>
      <c r="E956" s="10"/>
      <c r="F956" s="6">
        <v>70</v>
      </c>
      <c r="G956" s="6">
        <f t="shared" si="44"/>
        <v>70</v>
      </c>
      <c r="H956" s="6">
        <v>70</v>
      </c>
      <c r="I956" s="26">
        <f t="shared" si="42"/>
        <v>0</v>
      </c>
      <c r="J956" s="7" t="str">
        <f t="shared" si="46"/>
        <v>PAGADO</v>
      </c>
      <c r="M956" s="8"/>
    </row>
    <row r="957" spans="3:13" customFormat="1" x14ac:dyDescent="0.25">
      <c r="C957" s="9" t="s">
        <v>951</v>
      </c>
      <c r="D957" s="9" t="s">
        <v>816</v>
      </c>
      <c r="E957" s="10"/>
      <c r="F957" s="6">
        <v>70</v>
      </c>
      <c r="G957" s="6">
        <f t="shared" si="44"/>
        <v>70</v>
      </c>
      <c r="H957" s="6">
        <v>70</v>
      </c>
      <c r="I957" s="26">
        <f t="shared" si="42"/>
        <v>0</v>
      </c>
      <c r="J957" s="7" t="str">
        <f t="shared" si="46"/>
        <v>PAGADO</v>
      </c>
      <c r="M957" s="8"/>
    </row>
    <row r="958" spans="3:13" customFormat="1" x14ac:dyDescent="0.25">
      <c r="C958" s="9" t="s">
        <v>952</v>
      </c>
      <c r="D958" s="9" t="s">
        <v>816</v>
      </c>
      <c r="E958" s="10"/>
      <c r="F958" s="6">
        <v>75</v>
      </c>
      <c r="G958" s="6">
        <f t="shared" si="44"/>
        <v>75</v>
      </c>
      <c r="H958" s="6">
        <v>75</v>
      </c>
      <c r="I958" s="26">
        <f t="shared" ref="I958:I966" si="47">F958-H958</f>
        <v>0</v>
      </c>
      <c r="J958" s="7" t="str">
        <f t="shared" si="46"/>
        <v>PAGADO</v>
      </c>
      <c r="M958" s="8"/>
    </row>
    <row r="959" spans="3:13" customFormat="1" x14ac:dyDescent="0.25">
      <c r="C959" s="9" t="s">
        <v>953</v>
      </c>
      <c r="D959" s="9" t="s">
        <v>816</v>
      </c>
      <c r="E959" s="10"/>
      <c r="F959" s="6">
        <v>90</v>
      </c>
      <c r="G959" s="6">
        <f t="shared" si="44"/>
        <v>90</v>
      </c>
      <c r="H959" s="6">
        <v>90</v>
      </c>
      <c r="I959" s="26">
        <f t="shared" si="47"/>
        <v>0</v>
      </c>
      <c r="J959" s="7" t="str">
        <f t="shared" si="46"/>
        <v>PAGADO</v>
      </c>
      <c r="M959" s="8"/>
    </row>
    <row r="960" spans="3:13" customFormat="1" x14ac:dyDescent="0.25">
      <c r="C960" s="9" t="s">
        <v>954</v>
      </c>
      <c r="D960" s="9" t="s">
        <v>816</v>
      </c>
      <c r="E960" s="10"/>
      <c r="F960" s="6">
        <v>75</v>
      </c>
      <c r="G960" s="6">
        <f t="shared" si="44"/>
        <v>75</v>
      </c>
      <c r="H960" s="23">
        <v>75</v>
      </c>
      <c r="I960" s="26">
        <f t="shared" si="47"/>
        <v>0</v>
      </c>
      <c r="J960" s="7" t="str">
        <f t="shared" si="46"/>
        <v>PAGADO</v>
      </c>
      <c r="M960" s="8"/>
    </row>
    <row r="961" spans="3:13" customFormat="1" x14ac:dyDescent="0.25">
      <c r="C961" s="9" t="s">
        <v>955</v>
      </c>
      <c r="D961" s="9" t="s">
        <v>816</v>
      </c>
      <c r="E961" s="10"/>
      <c r="F961" s="6">
        <v>75</v>
      </c>
      <c r="G961" s="6">
        <f t="shared" si="44"/>
        <v>75</v>
      </c>
      <c r="H961" s="23">
        <v>75</v>
      </c>
      <c r="I961" s="26">
        <f t="shared" si="47"/>
        <v>0</v>
      </c>
      <c r="J961" s="7" t="str">
        <f t="shared" si="46"/>
        <v>PAGADO</v>
      </c>
      <c r="M961" s="8"/>
    </row>
    <row r="962" spans="3:13" customFormat="1" x14ac:dyDescent="0.25">
      <c r="C962" s="9" t="s">
        <v>956</v>
      </c>
      <c r="D962" s="9" t="s">
        <v>816</v>
      </c>
      <c r="E962" s="10"/>
      <c r="F962" s="6">
        <v>190</v>
      </c>
      <c r="G962" s="6">
        <f t="shared" ref="G962:G966" si="48">F962-E962</f>
        <v>190</v>
      </c>
      <c r="H962" s="37">
        <v>190</v>
      </c>
      <c r="I962" s="44">
        <f t="shared" si="47"/>
        <v>0</v>
      </c>
      <c r="J962" s="7" t="str">
        <f t="shared" si="46"/>
        <v>PAGADO</v>
      </c>
      <c r="M962" s="8"/>
    </row>
    <row r="963" spans="3:13" customFormat="1" x14ac:dyDescent="0.25">
      <c r="C963" s="9" t="s">
        <v>956</v>
      </c>
      <c r="D963" s="9" t="s">
        <v>238</v>
      </c>
      <c r="E963" s="10"/>
      <c r="F963" s="26">
        <v>190</v>
      </c>
      <c r="G963" s="26">
        <f t="shared" si="48"/>
        <v>190</v>
      </c>
      <c r="H963" s="26">
        <v>190</v>
      </c>
      <c r="I963" s="26">
        <f t="shared" si="47"/>
        <v>0</v>
      </c>
      <c r="J963" s="7" t="str">
        <f t="shared" si="46"/>
        <v>PAGADO</v>
      </c>
      <c r="M963" s="8"/>
    </row>
    <row r="964" spans="3:13" customFormat="1" x14ac:dyDescent="0.25">
      <c r="C964" s="9" t="s">
        <v>957</v>
      </c>
      <c r="D964" s="9" t="s">
        <v>816</v>
      </c>
      <c r="E964" s="10"/>
      <c r="F964" s="6">
        <v>45</v>
      </c>
      <c r="G964" s="6">
        <f t="shared" si="48"/>
        <v>45</v>
      </c>
      <c r="H964" s="37">
        <v>45</v>
      </c>
      <c r="I964" s="44">
        <f t="shared" si="47"/>
        <v>0</v>
      </c>
      <c r="J964" s="7" t="str">
        <f t="shared" si="46"/>
        <v>PAGADO</v>
      </c>
      <c r="M964" s="8"/>
    </row>
    <row r="965" spans="3:13" customFormat="1" x14ac:dyDescent="0.25">
      <c r="C965" s="9" t="s">
        <v>958</v>
      </c>
      <c r="D965" s="9" t="s">
        <v>816</v>
      </c>
      <c r="E965" s="10"/>
      <c r="F965" s="6">
        <v>75</v>
      </c>
      <c r="G965" s="6">
        <f t="shared" si="48"/>
        <v>75</v>
      </c>
      <c r="H965" s="37">
        <v>75</v>
      </c>
      <c r="I965" s="44">
        <f t="shared" si="47"/>
        <v>0</v>
      </c>
      <c r="J965" s="7" t="str">
        <f t="shared" si="46"/>
        <v>PAGADO</v>
      </c>
      <c r="M965" s="8"/>
    </row>
    <row r="966" spans="3:13" customFormat="1" x14ac:dyDescent="0.25">
      <c r="C966" s="9" t="s">
        <v>959</v>
      </c>
      <c r="D966" s="9" t="s">
        <v>816</v>
      </c>
      <c r="E966" s="10"/>
      <c r="F966" s="6">
        <f>45*3</f>
        <v>135</v>
      </c>
      <c r="G966" s="6">
        <f t="shared" si="48"/>
        <v>135</v>
      </c>
      <c r="H966" s="6">
        <v>135</v>
      </c>
      <c r="I966" s="26">
        <f t="shared" si="47"/>
        <v>0</v>
      </c>
      <c r="J966" s="7" t="str">
        <f t="shared" si="46"/>
        <v>PAGADO</v>
      </c>
      <c r="M966" s="8"/>
    </row>
    <row r="967" spans="3:13" customFormat="1" x14ac:dyDescent="0.25">
      <c r="C967" s="9" t="s">
        <v>789</v>
      </c>
      <c r="D967" s="9" t="s">
        <v>74</v>
      </c>
      <c r="E967" s="10"/>
      <c r="F967" s="30">
        <v>-100</v>
      </c>
      <c r="G967" s="30">
        <v>-100</v>
      </c>
      <c r="H967" s="30">
        <v>-100</v>
      </c>
      <c r="I967" s="30">
        <v>-100</v>
      </c>
      <c r="J967" s="34" t="s">
        <v>623</v>
      </c>
      <c r="K967" t="s">
        <v>942</v>
      </c>
      <c r="M967" s="8"/>
    </row>
    <row r="968" spans="3:13" customFormat="1" x14ac:dyDescent="0.25">
      <c r="C968" t="s">
        <v>960</v>
      </c>
      <c r="D968" s="9" t="s">
        <v>661</v>
      </c>
      <c r="E968" s="10"/>
      <c r="F968" s="6">
        <v>30</v>
      </c>
      <c r="G968" s="6">
        <f>F968-E968</f>
        <v>30</v>
      </c>
      <c r="H968" s="6">
        <v>30</v>
      </c>
      <c r="I968" s="6">
        <f>F968-H968</f>
        <v>0</v>
      </c>
      <c r="J968" s="7" t="str">
        <f>IF(I968&gt;0,"DEBE","PAGADO")</f>
        <v>PAGADO</v>
      </c>
      <c r="K968" s="9"/>
      <c r="M968" s="8"/>
    </row>
    <row r="969" spans="3:13" customFormat="1" x14ac:dyDescent="0.25">
      <c r="C969" s="9" t="s">
        <v>920</v>
      </c>
      <c r="D969" s="9" t="s">
        <v>238</v>
      </c>
      <c r="E969" s="10"/>
      <c r="F969" s="26">
        <v>15</v>
      </c>
      <c r="G969" s="26">
        <f>F969-E969</f>
        <v>15</v>
      </c>
      <c r="H969" s="26">
        <v>15</v>
      </c>
      <c r="I969" s="26">
        <f>F969-H969</f>
        <v>0</v>
      </c>
      <c r="J969" s="7" t="str">
        <f>IF(I969&gt;0,"DEBE","PAGADO")</f>
        <v>PAGADO</v>
      </c>
      <c r="M969" s="8"/>
    </row>
    <row r="970" spans="3:13" customFormat="1" x14ac:dyDescent="0.25">
      <c r="C970" s="9" t="s">
        <v>920</v>
      </c>
      <c r="D970" s="9" t="s">
        <v>33</v>
      </c>
      <c r="E970" s="10"/>
      <c r="F970" s="6">
        <v>15</v>
      </c>
      <c r="G970" s="6">
        <f>F970-E970</f>
        <v>15</v>
      </c>
      <c r="H970" s="6">
        <v>15</v>
      </c>
      <c r="I970" s="6">
        <f>F970-H970</f>
        <v>0</v>
      </c>
      <c r="J970" s="7" t="str">
        <f>IF(I970&gt;0,"DEBE","PAGADO")</f>
        <v>PAGADO</v>
      </c>
      <c r="M970" s="8"/>
    </row>
    <row r="971" spans="3:13" customFormat="1" x14ac:dyDescent="0.25">
      <c r="C971" s="9" t="s">
        <v>961</v>
      </c>
      <c r="D971" s="9" t="s">
        <v>236</v>
      </c>
      <c r="E971" s="10"/>
      <c r="F971" s="6">
        <v>10</v>
      </c>
      <c r="G971" s="6">
        <f>F971-E971</f>
        <v>10</v>
      </c>
      <c r="H971" s="6">
        <v>10</v>
      </c>
      <c r="I971" s="6">
        <f>F971-H971</f>
        <v>0</v>
      </c>
      <c r="J971" s="7" t="str">
        <f>IF(I971&gt;0,"DEBE","PAGADO")</f>
        <v>PAGADO</v>
      </c>
      <c r="M971" s="8"/>
    </row>
    <row r="972" spans="3:13" customFormat="1" x14ac:dyDescent="0.25">
      <c r="C972" s="9" t="s">
        <v>962</v>
      </c>
      <c r="D972" s="9" t="s">
        <v>236</v>
      </c>
      <c r="E972" s="10"/>
      <c r="F972" s="6">
        <v>65</v>
      </c>
      <c r="G972" s="6">
        <f>F972-E972</f>
        <v>65</v>
      </c>
      <c r="H972" s="6">
        <v>65</v>
      </c>
      <c r="I972" s="6">
        <f>F972-H972</f>
        <v>0</v>
      </c>
      <c r="J972" s="7" t="str">
        <f>IF(I972&gt;0,"DEBE","PAGADO")</f>
        <v>PAGADO</v>
      </c>
      <c r="M972" s="8"/>
    </row>
    <row r="973" spans="3:13" customFormat="1" x14ac:dyDescent="0.25">
      <c r="C973" s="9" t="s">
        <v>92</v>
      </c>
      <c r="D973" s="9" t="s">
        <v>74</v>
      </c>
      <c r="E973" s="10"/>
      <c r="F973" s="30">
        <v>-50</v>
      </c>
      <c r="G973" s="30">
        <v>-50</v>
      </c>
      <c r="H973" s="30">
        <v>-50</v>
      </c>
      <c r="I973" s="30">
        <v>-50</v>
      </c>
      <c r="J973" s="34" t="s">
        <v>623</v>
      </c>
      <c r="K973" t="s">
        <v>942</v>
      </c>
      <c r="M973" s="8"/>
    </row>
    <row r="974" spans="3:13" customFormat="1" x14ac:dyDescent="0.25">
      <c r="C974" s="9" t="s">
        <v>963</v>
      </c>
      <c r="D974" t="s">
        <v>488</v>
      </c>
      <c r="E974" s="10"/>
      <c r="F974" s="6">
        <v>45</v>
      </c>
      <c r="G974" s="6">
        <f t="shared" ref="G974:G997" si="49">F974-E974</f>
        <v>45</v>
      </c>
      <c r="H974" s="6">
        <v>45</v>
      </c>
      <c r="I974" s="6">
        <f t="shared" ref="I974:I997" si="50">F974-H974</f>
        <v>0</v>
      </c>
      <c r="J974" s="7" t="str">
        <f t="shared" ref="J974:J1035" si="51">IF(I974&gt;0,"DEBE","PAGADO")</f>
        <v>PAGADO</v>
      </c>
      <c r="M974" s="8"/>
    </row>
    <row r="975" spans="3:13" customFormat="1" x14ac:dyDescent="0.25">
      <c r="C975" s="9" t="s">
        <v>964</v>
      </c>
      <c r="D975" t="s">
        <v>783</v>
      </c>
      <c r="E975" s="10"/>
      <c r="F975" s="6">
        <v>100</v>
      </c>
      <c r="G975" s="6">
        <f t="shared" si="49"/>
        <v>100</v>
      </c>
      <c r="H975" s="6">
        <f>50+50</f>
        <v>100</v>
      </c>
      <c r="I975" s="6">
        <f t="shared" si="50"/>
        <v>0</v>
      </c>
      <c r="J975" s="7" t="str">
        <f t="shared" si="51"/>
        <v>PAGADO</v>
      </c>
      <c r="M975" s="8"/>
    </row>
    <row r="976" spans="3:13" customFormat="1" x14ac:dyDescent="0.25">
      <c r="C976" s="9" t="s">
        <v>965</v>
      </c>
      <c r="D976" t="s">
        <v>783</v>
      </c>
      <c r="E976" s="10"/>
      <c r="F976" s="6">
        <v>100</v>
      </c>
      <c r="G976" s="6">
        <f t="shared" si="49"/>
        <v>100</v>
      </c>
      <c r="H976" s="6">
        <f>50+50</f>
        <v>100</v>
      </c>
      <c r="I976" s="6">
        <f t="shared" si="50"/>
        <v>0</v>
      </c>
      <c r="J976" s="7" t="str">
        <f t="shared" si="51"/>
        <v>PAGADO</v>
      </c>
      <c r="M976" s="8"/>
    </row>
    <row r="977" spans="3:13" customFormat="1" x14ac:dyDescent="0.25">
      <c r="C977" s="9" t="s">
        <v>966</v>
      </c>
      <c r="D977" s="9" t="s">
        <v>941</v>
      </c>
      <c r="E977" s="10"/>
      <c r="F977" s="6">
        <v>35</v>
      </c>
      <c r="G977" s="6">
        <f t="shared" si="49"/>
        <v>35</v>
      </c>
      <c r="H977" s="6">
        <f>15+20</f>
        <v>35</v>
      </c>
      <c r="I977" s="6">
        <f t="shared" si="50"/>
        <v>0</v>
      </c>
      <c r="J977" s="7" t="str">
        <f t="shared" si="51"/>
        <v>PAGADO</v>
      </c>
      <c r="M977" s="8"/>
    </row>
    <row r="978" spans="3:13" customFormat="1" x14ac:dyDescent="0.25">
      <c r="C978" s="9" t="s">
        <v>967</v>
      </c>
      <c r="D978" s="9" t="s">
        <v>941</v>
      </c>
      <c r="E978" s="10"/>
      <c r="F978" s="6">
        <v>10</v>
      </c>
      <c r="G978" s="6">
        <f t="shared" si="49"/>
        <v>10</v>
      </c>
      <c r="H978" s="6">
        <v>10</v>
      </c>
      <c r="I978" s="6">
        <f t="shared" si="50"/>
        <v>0</v>
      </c>
      <c r="J978" s="7" t="str">
        <f t="shared" si="51"/>
        <v>PAGADO</v>
      </c>
      <c r="M978" s="8"/>
    </row>
    <row r="979" spans="3:13" customFormat="1" x14ac:dyDescent="0.25">
      <c r="C979" t="s">
        <v>968</v>
      </c>
      <c r="D979" s="9" t="s">
        <v>690</v>
      </c>
      <c r="E979" s="10"/>
      <c r="F979" s="6">
        <v>60</v>
      </c>
      <c r="G979" s="6">
        <f t="shared" si="49"/>
        <v>60</v>
      </c>
      <c r="H979" s="6">
        <v>60</v>
      </c>
      <c r="I979" s="6">
        <f t="shared" si="50"/>
        <v>0</v>
      </c>
      <c r="J979" s="7" t="str">
        <f t="shared" si="51"/>
        <v>PAGADO</v>
      </c>
      <c r="M979" s="8"/>
    </row>
    <row r="980" spans="3:13" customFormat="1" x14ac:dyDescent="0.25">
      <c r="C980" s="9" t="s">
        <v>969</v>
      </c>
      <c r="D980" s="9" t="s">
        <v>597</v>
      </c>
      <c r="E980" s="10"/>
      <c r="F980" s="6">
        <v>30</v>
      </c>
      <c r="G980" s="6">
        <f t="shared" si="49"/>
        <v>30</v>
      </c>
      <c r="H980" s="6">
        <v>30</v>
      </c>
      <c r="I980" s="6">
        <f t="shared" si="50"/>
        <v>0</v>
      </c>
      <c r="J980" s="7" t="str">
        <f t="shared" si="51"/>
        <v>PAGADO</v>
      </c>
      <c r="M980" s="8"/>
    </row>
    <row r="981" spans="3:13" customFormat="1" x14ac:dyDescent="0.25">
      <c r="C981" s="9" t="s">
        <v>970</v>
      </c>
      <c r="D981" s="9" t="s">
        <v>18</v>
      </c>
      <c r="E981" s="10"/>
      <c r="F981" s="6">
        <v>5</v>
      </c>
      <c r="G981" s="6">
        <f t="shared" si="49"/>
        <v>5</v>
      </c>
      <c r="H981" s="6">
        <v>5</v>
      </c>
      <c r="I981" s="6">
        <f t="shared" si="50"/>
        <v>0</v>
      </c>
      <c r="J981" s="7" t="str">
        <f t="shared" si="51"/>
        <v>PAGADO</v>
      </c>
      <c r="M981" s="8"/>
    </row>
    <row r="982" spans="3:13" customFormat="1" x14ac:dyDescent="0.25">
      <c r="C982" s="9" t="s">
        <v>971</v>
      </c>
      <c r="D982" s="9" t="s">
        <v>816</v>
      </c>
      <c r="E982" s="10"/>
      <c r="F982" s="6">
        <v>20</v>
      </c>
      <c r="G982" s="6">
        <f t="shared" si="49"/>
        <v>20</v>
      </c>
      <c r="H982" s="37">
        <v>20</v>
      </c>
      <c r="I982" s="44">
        <f t="shared" si="50"/>
        <v>0</v>
      </c>
      <c r="J982" s="7" t="str">
        <f t="shared" si="51"/>
        <v>PAGADO</v>
      </c>
      <c r="M982" s="8"/>
    </row>
    <row r="983" spans="3:13" customFormat="1" x14ac:dyDescent="0.25">
      <c r="C983" s="9" t="s">
        <v>972</v>
      </c>
      <c r="D983" s="9" t="s">
        <v>33</v>
      </c>
      <c r="E983" s="10"/>
      <c r="F983" s="6">
        <v>30</v>
      </c>
      <c r="G983" s="6">
        <f t="shared" si="49"/>
        <v>30</v>
      </c>
      <c r="H983" s="6">
        <v>30</v>
      </c>
      <c r="I983" s="6">
        <f t="shared" si="50"/>
        <v>0</v>
      </c>
      <c r="J983" s="7" t="str">
        <f t="shared" si="51"/>
        <v>PAGADO</v>
      </c>
      <c r="M983" s="8"/>
    </row>
    <row r="984" spans="3:13" customFormat="1" x14ac:dyDescent="0.25">
      <c r="C984" s="9" t="s">
        <v>973</v>
      </c>
      <c r="D984" s="9" t="s">
        <v>33</v>
      </c>
      <c r="E984" s="10"/>
      <c r="F984" s="6">
        <v>90</v>
      </c>
      <c r="G984" s="6">
        <f t="shared" si="49"/>
        <v>90</v>
      </c>
      <c r="H984" s="6">
        <v>90</v>
      </c>
      <c r="I984" s="6">
        <f t="shared" si="50"/>
        <v>0</v>
      </c>
      <c r="J984" s="7" t="str">
        <f t="shared" si="51"/>
        <v>PAGADO</v>
      </c>
      <c r="M984" s="8"/>
    </row>
    <row r="985" spans="3:13" customFormat="1" x14ac:dyDescent="0.25">
      <c r="C985" s="9" t="s">
        <v>974</v>
      </c>
      <c r="D985" s="9" t="s">
        <v>33</v>
      </c>
      <c r="E985" s="10"/>
      <c r="F985" s="6">
        <v>25</v>
      </c>
      <c r="G985" s="6">
        <f t="shared" si="49"/>
        <v>25</v>
      </c>
      <c r="H985" s="6">
        <v>25</v>
      </c>
      <c r="I985" s="6">
        <f t="shared" si="50"/>
        <v>0</v>
      </c>
      <c r="J985" s="7" t="str">
        <f t="shared" si="51"/>
        <v>PAGADO</v>
      </c>
      <c r="M985" s="8"/>
    </row>
    <row r="986" spans="3:13" customFormat="1" x14ac:dyDescent="0.25">
      <c r="C986" s="9" t="s">
        <v>975</v>
      </c>
      <c r="D986" s="9" t="s">
        <v>816</v>
      </c>
      <c r="E986" s="10"/>
      <c r="F986" s="6">
        <v>40</v>
      </c>
      <c r="G986" s="6">
        <f t="shared" si="49"/>
        <v>40</v>
      </c>
      <c r="H986" s="6">
        <v>40</v>
      </c>
      <c r="I986" s="26">
        <f t="shared" si="50"/>
        <v>0</v>
      </c>
      <c r="J986" s="7" t="str">
        <f t="shared" si="51"/>
        <v>PAGADO</v>
      </c>
      <c r="M986" s="8"/>
    </row>
    <row r="987" spans="3:13" customFormat="1" x14ac:dyDescent="0.25">
      <c r="C987" s="9" t="s">
        <v>976</v>
      </c>
      <c r="D987" s="9" t="s">
        <v>942</v>
      </c>
      <c r="E987" s="10"/>
      <c r="F987" s="6">
        <v>55</v>
      </c>
      <c r="G987" s="6">
        <f t="shared" si="49"/>
        <v>55</v>
      </c>
      <c r="H987" s="6">
        <v>55</v>
      </c>
      <c r="I987" s="6">
        <f t="shared" si="50"/>
        <v>0</v>
      </c>
      <c r="J987" s="7" t="str">
        <f t="shared" si="51"/>
        <v>PAGADO</v>
      </c>
      <c r="M987" s="8"/>
    </row>
    <row r="988" spans="3:13" customFormat="1" x14ac:dyDescent="0.25">
      <c r="C988" s="9" t="s">
        <v>977</v>
      </c>
      <c r="D988" s="9" t="s">
        <v>692</v>
      </c>
      <c r="E988" s="10"/>
      <c r="F988" s="6">
        <v>140</v>
      </c>
      <c r="G988" s="6">
        <f t="shared" si="49"/>
        <v>140</v>
      </c>
      <c r="H988" s="6">
        <v>140</v>
      </c>
      <c r="I988" s="6">
        <f t="shared" si="50"/>
        <v>0</v>
      </c>
      <c r="J988" s="7" t="str">
        <f t="shared" si="51"/>
        <v>PAGADO</v>
      </c>
      <c r="K988" s="35" t="s">
        <v>693</v>
      </c>
      <c r="M988" s="8"/>
    </row>
    <row r="989" spans="3:13" customFormat="1" x14ac:dyDescent="0.25">
      <c r="C989" s="9" t="s">
        <v>978</v>
      </c>
      <c r="D989" s="9" t="s">
        <v>816</v>
      </c>
      <c r="E989" s="10"/>
      <c r="F989" s="6">
        <v>40</v>
      </c>
      <c r="G989" s="6">
        <f t="shared" si="49"/>
        <v>40</v>
      </c>
      <c r="H989" s="6">
        <v>40</v>
      </c>
      <c r="I989" s="26">
        <f t="shared" si="50"/>
        <v>0</v>
      </c>
      <c r="J989" s="7" t="str">
        <f t="shared" si="51"/>
        <v>PAGADO</v>
      </c>
      <c r="M989" s="8"/>
    </row>
    <row r="990" spans="3:13" customFormat="1" x14ac:dyDescent="0.25">
      <c r="C990" s="9" t="s">
        <v>979</v>
      </c>
      <c r="D990" s="9" t="s">
        <v>816</v>
      </c>
      <c r="E990" s="10"/>
      <c r="F990" s="6">
        <v>80</v>
      </c>
      <c r="G990" s="6">
        <f t="shared" si="49"/>
        <v>80</v>
      </c>
      <c r="H990" s="6">
        <v>80</v>
      </c>
      <c r="I990" s="26">
        <f t="shared" si="50"/>
        <v>0</v>
      </c>
      <c r="J990" s="7" t="str">
        <f t="shared" si="51"/>
        <v>PAGADO</v>
      </c>
      <c r="M990" s="8"/>
    </row>
    <row r="991" spans="3:13" customFormat="1" x14ac:dyDescent="0.25">
      <c r="C991" s="9" t="s">
        <v>980</v>
      </c>
      <c r="D991" s="9" t="s">
        <v>816</v>
      </c>
      <c r="E991" s="10"/>
      <c r="F991" s="6">
        <v>75</v>
      </c>
      <c r="G991" s="6">
        <f t="shared" si="49"/>
        <v>75</v>
      </c>
      <c r="H991" s="6">
        <v>75</v>
      </c>
      <c r="I991" s="26">
        <f t="shared" si="50"/>
        <v>0</v>
      </c>
      <c r="J991" s="7" t="str">
        <f t="shared" si="51"/>
        <v>PAGADO</v>
      </c>
      <c r="M991" s="8"/>
    </row>
    <row r="992" spans="3:13" customFormat="1" x14ac:dyDescent="0.25">
      <c r="C992" s="9" t="s">
        <v>981</v>
      </c>
      <c r="D992" s="9" t="s">
        <v>816</v>
      </c>
      <c r="E992" s="10"/>
      <c r="F992" s="6">
        <v>120</v>
      </c>
      <c r="G992" s="6">
        <f t="shared" si="49"/>
        <v>120</v>
      </c>
      <c r="H992" s="6">
        <v>120</v>
      </c>
      <c r="I992" s="26">
        <f t="shared" si="50"/>
        <v>0</v>
      </c>
      <c r="J992" s="7" t="str">
        <f t="shared" si="51"/>
        <v>PAGADO</v>
      </c>
      <c r="M992" s="8"/>
    </row>
    <row r="993" spans="3:13" customFormat="1" x14ac:dyDescent="0.25">
      <c r="C993" s="9" t="s">
        <v>982</v>
      </c>
      <c r="D993" s="9" t="s">
        <v>816</v>
      </c>
      <c r="E993" s="10"/>
      <c r="F993" s="6">
        <v>100</v>
      </c>
      <c r="G993" s="6">
        <f t="shared" si="49"/>
        <v>100</v>
      </c>
      <c r="H993" s="37">
        <v>100</v>
      </c>
      <c r="I993" s="44">
        <f t="shared" si="50"/>
        <v>0</v>
      </c>
      <c r="J993" s="7" t="str">
        <f t="shared" si="51"/>
        <v>PAGADO</v>
      </c>
      <c r="M993" s="8"/>
    </row>
    <row r="994" spans="3:13" customFormat="1" x14ac:dyDescent="0.25">
      <c r="C994" s="9" t="s">
        <v>983</v>
      </c>
      <c r="D994" s="9" t="s">
        <v>816</v>
      </c>
      <c r="E994" s="10"/>
      <c r="F994" s="6">
        <v>65</v>
      </c>
      <c r="G994" s="6">
        <f t="shared" si="49"/>
        <v>65</v>
      </c>
      <c r="H994" s="6">
        <v>65</v>
      </c>
      <c r="I994" s="26">
        <f t="shared" si="50"/>
        <v>0</v>
      </c>
      <c r="J994" s="7" t="str">
        <f t="shared" si="51"/>
        <v>PAGADO</v>
      </c>
      <c r="M994" s="8"/>
    </row>
    <row r="995" spans="3:13" customFormat="1" x14ac:dyDescent="0.25">
      <c r="C995" s="9" t="s">
        <v>984</v>
      </c>
      <c r="D995" s="9" t="s">
        <v>816</v>
      </c>
      <c r="E995" s="10"/>
      <c r="F995" s="6">
        <v>70</v>
      </c>
      <c r="G995" s="6">
        <f t="shared" si="49"/>
        <v>70</v>
      </c>
      <c r="H995" s="6">
        <v>70</v>
      </c>
      <c r="I995" s="26">
        <f t="shared" si="50"/>
        <v>0</v>
      </c>
      <c r="J995" s="7" t="str">
        <f t="shared" si="51"/>
        <v>PAGADO</v>
      </c>
      <c r="M995" s="8"/>
    </row>
    <row r="996" spans="3:13" customFormat="1" x14ac:dyDescent="0.25">
      <c r="C996" s="9" t="s">
        <v>985</v>
      </c>
      <c r="D996" s="9" t="s">
        <v>816</v>
      </c>
      <c r="E996" s="10"/>
      <c r="F996" s="6">
        <v>65</v>
      </c>
      <c r="G996" s="6">
        <f t="shared" si="49"/>
        <v>65</v>
      </c>
      <c r="H996" s="6">
        <v>65</v>
      </c>
      <c r="I996" s="26">
        <f t="shared" si="50"/>
        <v>0</v>
      </c>
      <c r="J996" s="7" t="str">
        <f t="shared" si="51"/>
        <v>PAGADO</v>
      </c>
      <c r="M996" s="8"/>
    </row>
    <row r="997" spans="3:13" customFormat="1" x14ac:dyDescent="0.25">
      <c r="C997" s="9" t="s">
        <v>738</v>
      </c>
      <c r="D997" s="9" t="s">
        <v>783</v>
      </c>
      <c r="E997" s="10"/>
      <c r="F997" s="6">
        <v>60</v>
      </c>
      <c r="G997" s="6">
        <f t="shared" si="49"/>
        <v>60</v>
      </c>
      <c r="H997" s="6">
        <v>60</v>
      </c>
      <c r="I997" s="6">
        <f t="shared" si="50"/>
        <v>0</v>
      </c>
      <c r="J997" s="7" t="str">
        <f t="shared" si="51"/>
        <v>PAGADO</v>
      </c>
      <c r="M997" s="8"/>
    </row>
    <row r="998" spans="3:13" customFormat="1" x14ac:dyDescent="0.25">
      <c r="C998" s="9" t="s">
        <v>302</v>
      </c>
      <c r="D998" s="9" t="s">
        <v>74</v>
      </c>
      <c r="E998" s="10"/>
      <c r="F998" s="30">
        <v>-30</v>
      </c>
      <c r="G998" s="30">
        <v>-30</v>
      </c>
      <c r="H998" s="30">
        <v>-30</v>
      </c>
      <c r="I998" s="30">
        <v>-30</v>
      </c>
      <c r="J998" s="7" t="str">
        <f t="shared" si="51"/>
        <v>PAGADO</v>
      </c>
      <c r="K998" s="9" t="s">
        <v>783</v>
      </c>
      <c r="M998" s="8"/>
    </row>
    <row r="999" spans="3:13" customFormat="1" x14ac:dyDescent="0.25">
      <c r="C999" s="9" t="s">
        <v>986</v>
      </c>
      <c r="D999" s="9" t="s">
        <v>74</v>
      </c>
      <c r="E999" s="10"/>
      <c r="F999" s="30">
        <v>-30</v>
      </c>
      <c r="G999" s="30">
        <v>-30</v>
      </c>
      <c r="H999" s="30">
        <v>-30</v>
      </c>
      <c r="I999" s="30">
        <v>-30</v>
      </c>
      <c r="J999" s="7" t="str">
        <f t="shared" si="51"/>
        <v>PAGADO</v>
      </c>
      <c r="K999" s="9" t="s">
        <v>783</v>
      </c>
      <c r="M999" s="8"/>
    </row>
    <row r="1000" spans="3:13" customFormat="1" x14ac:dyDescent="0.25">
      <c r="C1000" s="9" t="s">
        <v>987</v>
      </c>
      <c r="D1000" s="9" t="s">
        <v>783</v>
      </c>
      <c r="E1000" s="10"/>
      <c r="F1000" s="6">
        <v>30</v>
      </c>
      <c r="G1000" s="6">
        <f>F1000-E1000</f>
        <v>30</v>
      </c>
      <c r="H1000" s="6">
        <v>30</v>
      </c>
      <c r="I1000" s="6">
        <f>F1000-H1000</f>
        <v>0</v>
      </c>
      <c r="J1000" s="7" t="str">
        <f t="shared" si="51"/>
        <v>PAGADO</v>
      </c>
      <c r="M1000" s="8"/>
    </row>
    <row r="1001" spans="3:13" customFormat="1" x14ac:dyDescent="0.25">
      <c r="C1001" s="9" t="s">
        <v>988</v>
      </c>
      <c r="D1001" s="9" t="s">
        <v>74</v>
      </c>
      <c r="E1001" s="10"/>
      <c r="F1001" s="30">
        <v>-30</v>
      </c>
      <c r="G1001" s="30">
        <v>-30</v>
      </c>
      <c r="H1001" s="30">
        <v>-30</v>
      </c>
      <c r="I1001" s="30">
        <v>-30</v>
      </c>
      <c r="J1001" s="7" t="str">
        <f t="shared" si="51"/>
        <v>PAGADO</v>
      </c>
      <c r="K1001" s="9" t="s">
        <v>97</v>
      </c>
      <c r="M1001" s="8"/>
    </row>
    <row r="1002" spans="3:13" customFormat="1" x14ac:dyDescent="0.25">
      <c r="C1002" s="9" t="s">
        <v>989</v>
      </c>
      <c r="D1002" s="9" t="s">
        <v>74</v>
      </c>
      <c r="E1002" s="10"/>
      <c r="F1002" s="30">
        <v>-30</v>
      </c>
      <c r="G1002" s="30">
        <v>-30</v>
      </c>
      <c r="H1002" s="30">
        <v>-30</v>
      </c>
      <c r="I1002" s="30">
        <v>-30</v>
      </c>
      <c r="J1002" s="7" t="str">
        <f t="shared" si="51"/>
        <v>PAGADO</v>
      </c>
      <c r="K1002" s="9" t="s">
        <v>97</v>
      </c>
      <c r="M1002" s="8"/>
    </row>
    <row r="1003" spans="3:13" customFormat="1" x14ac:dyDescent="0.25">
      <c r="C1003" s="9" t="s">
        <v>990</v>
      </c>
      <c r="D1003" s="9" t="s">
        <v>74</v>
      </c>
      <c r="E1003" s="10"/>
      <c r="F1003" s="6">
        <v>180</v>
      </c>
      <c r="G1003" s="6">
        <f t="shared" ref="G1003:G1066" si="52">F1003-E1003</f>
        <v>180</v>
      </c>
      <c r="H1003" s="6">
        <v>180</v>
      </c>
      <c r="I1003" s="16">
        <f t="shared" ref="I1003:I1035" si="53">F1003-H1003</f>
        <v>0</v>
      </c>
      <c r="J1003" s="7" t="str">
        <f t="shared" si="51"/>
        <v>PAGADO</v>
      </c>
      <c r="M1003" s="8"/>
    </row>
    <row r="1004" spans="3:13" customFormat="1" x14ac:dyDescent="0.25">
      <c r="C1004" s="9" t="s">
        <v>991</v>
      </c>
      <c r="D1004" s="9" t="s">
        <v>74</v>
      </c>
      <c r="E1004" s="10"/>
      <c r="F1004" s="6">
        <v>70</v>
      </c>
      <c r="G1004" s="6">
        <f t="shared" si="52"/>
        <v>70</v>
      </c>
      <c r="H1004" s="6">
        <v>70</v>
      </c>
      <c r="I1004" s="16">
        <f t="shared" si="53"/>
        <v>0</v>
      </c>
      <c r="J1004" s="7" t="str">
        <f t="shared" si="51"/>
        <v>PAGADO</v>
      </c>
      <c r="M1004" s="8"/>
    </row>
    <row r="1005" spans="3:13" customFormat="1" x14ac:dyDescent="0.25">
      <c r="C1005" s="9" t="s">
        <v>992</v>
      </c>
      <c r="D1005" s="9" t="s">
        <v>74</v>
      </c>
      <c r="E1005" s="10"/>
      <c r="F1005" s="6">
        <v>70</v>
      </c>
      <c r="G1005" s="6">
        <f t="shared" si="52"/>
        <v>70</v>
      </c>
      <c r="H1005" s="6">
        <v>70</v>
      </c>
      <c r="I1005" s="16">
        <f t="shared" si="53"/>
        <v>0</v>
      </c>
      <c r="J1005" s="7" t="str">
        <f t="shared" si="51"/>
        <v>PAGADO</v>
      </c>
      <c r="M1005" s="8"/>
    </row>
    <row r="1006" spans="3:13" customFormat="1" x14ac:dyDescent="0.25">
      <c r="C1006" s="9" t="s">
        <v>993</v>
      </c>
      <c r="D1006" s="9" t="s">
        <v>994</v>
      </c>
      <c r="E1006" s="10"/>
      <c r="F1006" s="6">
        <v>50</v>
      </c>
      <c r="G1006" s="6">
        <f t="shared" si="52"/>
        <v>50</v>
      </c>
      <c r="H1006" s="6">
        <v>50</v>
      </c>
      <c r="I1006" s="6">
        <f t="shared" si="53"/>
        <v>0</v>
      </c>
      <c r="J1006" s="7" t="str">
        <f t="shared" si="51"/>
        <v>PAGADO</v>
      </c>
      <c r="M1006" s="8"/>
    </row>
    <row r="1007" spans="3:13" customFormat="1" x14ac:dyDescent="0.25">
      <c r="C1007" s="9" t="s">
        <v>995</v>
      </c>
      <c r="D1007" s="9" t="s">
        <v>238</v>
      </c>
      <c r="E1007" s="10"/>
      <c r="F1007" s="6">
        <v>30</v>
      </c>
      <c r="G1007" s="6">
        <f t="shared" si="52"/>
        <v>30</v>
      </c>
      <c r="H1007" s="6">
        <v>30</v>
      </c>
      <c r="I1007" s="6">
        <f t="shared" si="53"/>
        <v>0</v>
      </c>
      <c r="J1007" s="7" t="str">
        <f t="shared" si="51"/>
        <v>PAGADO</v>
      </c>
      <c r="M1007" s="8"/>
    </row>
    <row r="1008" spans="3:13" customFormat="1" x14ac:dyDescent="0.25">
      <c r="C1008" s="9" t="s">
        <v>996</v>
      </c>
      <c r="D1008" s="9" t="s">
        <v>238</v>
      </c>
      <c r="E1008" s="10"/>
      <c r="F1008" s="6">
        <v>110</v>
      </c>
      <c r="G1008" s="6">
        <f t="shared" si="52"/>
        <v>110</v>
      </c>
      <c r="H1008" s="6">
        <v>110</v>
      </c>
      <c r="I1008" s="6">
        <f t="shared" si="53"/>
        <v>0</v>
      </c>
      <c r="J1008" s="7" t="str">
        <f t="shared" si="51"/>
        <v>PAGADO</v>
      </c>
      <c r="M1008" s="8"/>
    </row>
    <row r="1009" spans="3:13" customFormat="1" x14ac:dyDescent="0.25">
      <c r="C1009" s="9" t="s">
        <v>997</v>
      </c>
      <c r="D1009" s="9" t="s">
        <v>238</v>
      </c>
      <c r="E1009" s="10"/>
      <c r="F1009" s="26">
        <v>120</v>
      </c>
      <c r="G1009" s="26">
        <f t="shared" si="52"/>
        <v>120</v>
      </c>
      <c r="H1009" s="26">
        <v>120</v>
      </c>
      <c r="I1009" s="26">
        <f t="shared" si="53"/>
        <v>0</v>
      </c>
      <c r="J1009" s="7" t="str">
        <f t="shared" si="51"/>
        <v>PAGADO</v>
      </c>
      <c r="K1009" s="9"/>
      <c r="M1009" s="8"/>
    </row>
    <row r="1010" spans="3:13" customFormat="1" x14ac:dyDescent="0.25">
      <c r="C1010" s="9" t="s">
        <v>998</v>
      </c>
      <c r="D1010" s="9" t="s">
        <v>816</v>
      </c>
      <c r="E1010" s="10"/>
      <c r="F1010" s="6">
        <v>180</v>
      </c>
      <c r="G1010" s="6">
        <f t="shared" si="52"/>
        <v>180</v>
      </c>
      <c r="H1010" s="6">
        <v>180</v>
      </c>
      <c r="I1010" s="26">
        <f t="shared" si="53"/>
        <v>0</v>
      </c>
      <c r="J1010" s="7" t="str">
        <f t="shared" si="51"/>
        <v>PAGADO</v>
      </c>
      <c r="M1010" s="8"/>
    </row>
    <row r="1011" spans="3:13" customFormat="1" x14ac:dyDescent="0.25">
      <c r="C1011" s="9" t="s">
        <v>999</v>
      </c>
      <c r="D1011" s="9" t="s">
        <v>816</v>
      </c>
      <c r="E1011" s="10"/>
      <c r="F1011" s="6">
        <v>65</v>
      </c>
      <c r="G1011" s="6">
        <f t="shared" si="52"/>
        <v>65</v>
      </c>
      <c r="H1011" s="6">
        <v>65</v>
      </c>
      <c r="I1011" s="26">
        <f t="shared" si="53"/>
        <v>0</v>
      </c>
      <c r="J1011" s="7" t="str">
        <f t="shared" si="51"/>
        <v>PAGADO</v>
      </c>
      <c r="M1011" s="8"/>
    </row>
    <row r="1012" spans="3:13" customFormat="1" x14ac:dyDescent="0.25">
      <c r="C1012" s="9" t="s">
        <v>1000</v>
      </c>
      <c r="D1012" t="s">
        <v>481</v>
      </c>
      <c r="E1012" s="10"/>
      <c r="F1012" s="6">
        <v>35</v>
      </c>
      <c r="G1012" s="6">
        <f t="shared" si="52"/>
        <v>35</v>
      </c>
      <c r="H1012" s="6">
        <v>35</v>
      </c>
      <c r="I1012" s="6">
        <f t="shared" si="53"/>
        <v>0</v>
      </c>
      <c r="J1012" s="7" t="str">
        <f t="shared" si="51"/>
        <v>PAGADO</v>
      </c>
      <c r="M1012" s="8"/>
    </row>
    <row r="1013" spans="3:13" customFormat="1" x14ac:dyDescent="0.25">
      <c r="C1013" s="9" t="s">
        <v>1001</v>
      </c>
      <c r="D1013" s="9" t="s">
        <v>816</v>
      </c>
      <c r="E1013" s="10"/>
      <c r="F1013" s="6">
        <v>220</v>
      </c>
      <c r="G1013" s="6">
        <f t="shared" si="52"/>
        <v>220</v>
      </c>
      <c r="H1013" s="6">
        <v>220</v>
      </c>
      <c r="I1013" s="26">
        <f t="shared" si="53"/>
        <v>0</v>
      </c>
      <c r="J1013" s="7" t="str">
        <f t="shared" si="51"/>
        <v>PAGADO</v>
      </c>
      <c r="M1013" s="8"/>
    </row>
    <row r="1014" spans="3:13" customFormat="1" x14ac:dyDescent="0.25">
      <c r="C1014" s="9" t="s">
        <v>1001</v>
      </c>
      <c r="D1014" s="9" t="s">
        <v>816</v>
      </c>
      <c r="E1014" s="10"/>
      <c r="F1014" s="6">
        <v>220</v>
      </c>
      <c r="G1014" s="6">
        <f t="shared" si="52"/>
        <v>220</v>
      </c>
      <c r="H1014" s="6">
        <v>220</v>
      </c>
      <c r="I1014" s="26">
        <f t="shared" si="53"/>
        <v>0</v>
      </c>
      <c r="J1014" s="7" t="str">
        <f t="shared" si="51"/>
        <v>PAGADO</v>
      </c>
      <c r="M1014" s="8"/>
    </row>
    <row r="1015" spans="3:13" customFormat="1" x14ac:dyDescent="0.25">
      <c r="C1015" s="9" t="s">
        <v>1001</v>
      </c>
      <c r="D1015" s="9" t="s">
        <v>238</v>
      </c>
      <c r="E1015" s="10"/>
      <c r="F1015" s="6">
        <v>220</v>
      </c>
      <c r="G1015" s="6">
        <f t="shared" si="52"/>
        <v>220</v>
      </c>
      <c r="H1015" s="6">
        <f>100+20+100</f>
        <v>220</v>
      </c>
      <c r="I1015" s="6">
        <f t="shared" si="53"/>
        <v>0</v>
      </c>
      <c r="J1015" s="7" t="str">
        <f t="shared" si="51"/>
        <v>PAGADO</v>
      </c>
      <c r="M1015" s="8"/>
    </row>
    <row r="1016" spans="3:13" customFormat="1" x14ac:dyDescent="0.25">
      <c r="C1016" s="9" t="s">
        <v>1001</v>
      </c>
      <c r="D1016" s="9" t="s">
        <v>238</v>
      </c>
      <c r="E1016" s="10"/>
      <c r="F1016" s="6">
        <v>220</v>
      </c>
      <c r="G1016" s="6">
        <f t="shared" si="52"/>
        <v>220</v>
      </c>
      <c r="H1016" s="6">
        <f>100+120</f>
        <v>220</v>
      </c>
      <c r="I1016" s="6">
        <f t="shared" si="53"/>
        <v>0</v>
      </c>
      <c r="J1016" s="7" t="str">
        <f t="shared" si="51"/>
        <v>PAGADO</v>
      </c>
      <c r="M1016" s="8"/>
    </row>
    <row r="1017" spans="3:13" customFormat="1" x14ac:dyDescent="0.25">
      <c r="C1017" s="9" t="s">
        <v>1002</v>
      </c>
      <c r="D1017" s="9" t="s">
        <v>816</v>
      </c>
      <c r="E1017" s="10"/>
      <c r="F1017" s="6">
        <v>40</v>
      </c>
      <c r="G1017" s="6">
        <f t="shared" si="52"/>
        <v>40</v>
      </c>
      <c r="H1017" s="6">
        <v>40</v>
      </c>
      <c r="I1017" s="26">
        <f t="shared" si="53"/>
        <v>0</v>
      </c>
      <c r="J1017" s="7" t="str">
        <f t="shared" si="51"/>
        <v>PAGADO</v>
      </c>
      <c r="M1017" s="8"/>
    </row>
    <row r="1018" spans="3:13" customFormat="1" x14ac:dyDescent="0.25">
      <c r="C1018" s="9" t="s">
        <v>1003</v>
      </c>
      <c r="D1018" s="9" t="s">
        <v>711</v>
      </c>
      <c r="E1018" s="10"/>
      <c r="F1018" s="6">
        <v>40</v>
      </c>
      <c r="G1018" s="6">
        <f t="shared" si="52"/>
        <v>40</v>
      </c>
      <c r="H1018" s="6">
        <v>40</v>
      </c>
      <c r="I1018" s="6">
        <f t="shared" si="53"/>
        <v>0</v>
      </c>
      <c r="J1018" s="7" t="str">
        <f t="shared" si="51"/>
        <v>PAGADO</v>
      </c>
      <c r="M1018" s="8"/>
    </row>
    <row r="1019" spans="3:13" customFormat="1" x14ac:dyDescent="0.25">
      <c r="C1019" s="9" t="s">
        <v>1004</v>
      </c>
      <c r="D1019" s="9" t="s">
        <v>711</v>
      </c>
      <c r="E1019" s="10"/>
      <c r="F1019" s="6">
        <v>140</v>
      </c>
      <c r="G1019" s="6">
        <f t="shared" si="52"/>
        <v>140</v>
      </c>
      <c r="H1019" s="6">
        <f>100+40</f>
        <v>140</v>
      </c>
      <c r="I1019" s="6">
        <f t="shared" si="53"/>
        <v>0</v>
      </c>
      <c r="J1019" s="7" t="str">
        <f t="shared" si="51"/>
        <v>PAGADO</v>
      </c>
      <c r="M1019" s="8"/>
    </row>
    <row r="1020" spans="3:13" customFormat="1" x14ac:dyDescent="0.25">
      <c r="C1020" s="9" t="s">
        <v>1005</v>
      </c>
      <c r="D1020" s="9" t="s">
        <v>816</v>
      </c>
      <c r="E1020" s="10"/>
      <c r="F1020" s="6">
        <v>75</v>
      </c>
      <c r="G1020" s="6">
        <f t="shared" si="52"/>
        <v>75</v>
      </c>
      <c r="H1020" s="6">
        <f>70+5</f>
        <v>75</v>
      </c>
      <c r="I1020" s="26">
        <f t="shared" si="53"/>
        <v>0</v>
      </c>
      <c r="J1020" s="7" t="str">
        <f t="shared" si="51"/>
        <v>PAGADO</v>
      </c>
      <c r="M1020" s="8"/>
    </row>
    <row r="1021" spans="3:13" customFormat="1" x14ac:dyDescent="0.25">
      <c r="C1021" s="9" t="s">
        <v>1006</v>
      </c>
      <c r="D1021" s="9" t="s">
        <v>816</v>
      </c>
      <c r="E1021" s="10"/>
      <c r="F1021" s="6">
        <v>75</v>
      </c>
      <c r="G1021" s="6">
        <f t="shared" si="52"/>
        <v>75</v>
      </c>
      <c r="H1021" s="6">
        <v>75</v>
      </c>
      <c r="I1021" s="26">
        <f t="shared" si="53"/>
        <v>0</v>
      </c>
      <c r="J1021" s="7" t="str">
        <f t="shared" si="51"/>
        <v>PAGADO</v>
      </c>
      <c r="M1021" s="8"/>
    </row>
    <row r="1022" spans="3:13" customFormat="1" x14ac:dyDescent="0.25">
      <c r="C1022" s="9" t="s">
        <v>1007</v>
      </c>
      <c r="D1022" s="9" t="s">
        <v>816</v>
      </c>
      <c r="E1022" s="10"/>
      <c r="F1022" s="6">
        <v>120</v>
      </c>
      <c r="G1022" s="6">
        <f t="shared" si="52"/>
        <v>120</v>
      </c>
      <c r="H1022" s="6">
        <v>120</v>
      </c>
      <c r="I1022" s="26">
        <f t="shared" si="53"/>
        <v>0</v>
      </c>
      <c r="J1022" s="7" t="str">
        <f t="shared" si="51"/>
        <v>PAGADO</v>
      </c>
      <c r="M1022" s="8"/>
    </row>
    <row r="1023" spans="3:13" customFormat="1" x14ac:dyDescent="0.25">
      <c r="C1023" s="9" t="s">
        <v>1008</v>
      </c>
      <c r="D1023" s="9" t="s">
        <v>33</v>
      </c>
      <c r="E1023" s="10"/>
      <c r="F1023" s="6">
        <v>70</v>
      </c>
      <c r="G1023" s="6">
        <f t="shared" si="52"/>
        <v>70</v>
      </c>
      <c r="H1023" s="6">
        <v>70</v>
      </c>
      <c r="I1023" s="6">
        <f t="shared" si="53"/>
        <v>0</v>
      </c>
      <c r="J1023" s="7" t="str">
        <f t="shared" si="51"/>
        <v>PAGADO</v>
      </c>
      <c r="M1023" s="8"/>
    </row>
    <row r="1024" spans="3:13" customFormat="1" x14ac:dyDescent="0.25">
      <c r="C1024" s="9" t="s">
        <v>1009</v>
      </c>
      <c r="D1024" s="9" t="s">
        <v>236</v>
      </c>
      <c r="E1024" s="10"/>
      <c r="F1024" s="6">
        <v>20</v>
      </c>
      <c r="G1024" s="6">
        <f t="shared" si="52"/>
        <v>20</v>
      </c>
      <c r="H1024" s="6">
        <v>20</v>
      </c>
      <c r="I1024" s="6">
        <f t="shared" si="53"/>
        <v>0</v>
      </c>
      <c r="J1024" s="7" t="str">
        <f t="shared" si="51"/>
        <v>PAGADO</v>
      </c>
      <c r="M1024" s="8"/>
    </row>
    <row r="1025" spans="3:13" customFormat="1" x14ac:dyDescent="0.25">
      <c r="C1025" s="9" t="s">
        <v>1010</v>
      </c>
      <c r="D1025" s="9" t="s">
        <v>33</v>
      </c>
      <c r="E1025" s="10"/>
      <c r="F1025" s="6">
        <v>1175</v>
      </c>
      <c r="G1025" s="6">
        <f t="shared" si="52"/>
        <v>1175</v>
      </c>
      <c r="H1025" s="6">
        <v>1175</v>
      </c>
      <c r="I1025" s="6">
        <f t="shared" si="53"/>
        <v>0</v>
      </c>
      <c r="J1025" s="7" t="str">
        <f t="shared" si="51"/>
        <v>PAGADO</v>
      </c>
      <c r="M1025" s="8"/>
    </row>
    <row r="1026" spans="3:13" customFormat="1" x14ac:dyDescent="0.25">
      <c r="C1026" s="9" t="s">
        <v>721</v>
      </c>
      <c r="D1026" s="9" t="s">
        <v>33</v>
      </c>
      <c r="E1026" s="10"/>
      <c r="F1026" s="6">
        <v>180</v>
      </c>
      <c r="G1026" s="6">
        <f t="shared" si="52"/>
        <v>180</v>
      </c>
      <c r="H1026" s="6">
        <v>180</v>
      </c>
      <c r="I1026" s="6">
        <f t="shared" si="53"/>
        <v>0</v>
      </c>
      <c r="J1026" s="7" t="str">
        <f t="shared" si="51"/>
        <v>PAGADO</v>
      </c>
      <c r="M1026" s="8"/>
    </row>
    <row r="1027" spans="3:13" customFormat="1" x14ac:dyDescent="0.25">
      <c r="C1027" s="9" t="s">
        <v>1011</v>
      </c>
      <c r="D1027" s="9" t="s">
        <v>816</v>
      </c>
      <c r="E1027" s="10"/>
      <c r="F1027" s="6">
        <v>130</v>
      </c>
      <c r="G1027" s="6">
        <f t="shared" si="52"/>
        <v>130</v>
      </c>
      <c r="H1027" s="6">
        <v>130</v>
      </c>
      <c r="I1027" s="26">
        <f t="shared" si="53"/>
        <v>0</v>
      </c>
      <c r="J1027" s="7" t="str">
        <f t="shared" si="51"/>
        <v>PAGADO</v>
      </c>
      <c r="M1027" s="8"/>
    </row>
    <row r="1028" spans="3:13" customFormat="1" x14ac:dyDescent="0.25">
      <c r="C1028" s="9" t="s">
        <v>1012</v>
      </c>
      <c r="D1028" s="9" t="s">
        <v>816</v>
      </c>
      <c r="E1028" s="10"/>
      <c r="F1028" s="6">
        <v>120</v>
      </c>
      <c r="G1028" s="6">
        <f t="shared" si="52"/>
        <v>120</v>
      </c>
      <c r="H1028" s="6">
        <v>120</v>
      </c>
      <c r="I1028" s="26">
        <f t="shared" si="53"/>
        <v>0</v>
      </c>
      <c r="J1028" s="7" t="str">
        <f t="shared" si="51"/>
        <v>PAGADO</v>
      </c>
      <c r="M1028" s="8"/>
    </row>
    <row r="1029" spans="3:13" customFormat="1" x14ac:dyDescent="0.25">
      <c r="C1029" s="9" t="s">
        <v>1013</v>
      </c>
      <c r="D1029" s="9" t="s">
        <v>816</v>
      </c>
      <c r="E1029" s="10"/>
      <c r="F1029" s="6">
        <v>80</v>
      </c>
      <c r="G1029" s="6">
        <f t="shared" si="52"/>
        <v>80</v>
      </c>
      <c r="H1029" s="6">
        <v>80</v>
      </c>
      <c r="I1029" s="26">
        <f t="shared" si="53"/>
        <v>0</v>
      </c>
      <c r="J1029" s="7" t="str">
        <f t="shared" si="51"/>
        <v>PAGADO</v>
      </c>
      <c r="M1029" s="8"/>
    </row>
    <row r="1030" spans="3:13" customFormat="1" x14ac:dyDescent="0.25">
      <c r="C1030" s="9" t="s">
        <v>1014</v>
      </c>
      <c r="D1030" s="9" t="s">
        <v>816</v>
      </c>
      <c r="E1030" s="10"/>
      <c r="F1030" s="6">
        <v>90</v>
      </c>
      <c r="G1030" s="6">
        <f t="shared" si="52"/>
        <v>90</v>
      </c>
      <c r="H1030" s="6">
        <v>90</v>
      </c>
      <c r="I1030" s="26">
        <f t="shared" si="53"/>
        <v>0</v>
      </c>
      <c r="J1030" s="7" t="str">
        <f t="shared" si="51"/>
        <v>PAGADO</v>
      </c>
      <c r="M1030" s="8"/>
    </row>
    <row r="1031" spans="3:13" customFormat="1" x14ac:dyDescent="0.25">
      <c r="C1031" s="9" t="s">
        <v>1015</v>
      </c>
      <c r="D1031" s="9" t="s">
        <v>816</v>
      </c>
      <c r="E1031" s="10"/>
      <c r="F1031" s="6">
        <v>130</v>
      </c>
      <c r="G1031" s="6">
        <f t="shared" si="52"/>
        <v>130</v>
      </c>
      <c r="H1031" s="6">
        <v>130</v>
      </c>
      <c r="I1031" s="26">
        <f t="shared" si="53"/>
        <v>0</v>
      </c>
      <c r="J1031" s="7" t="str">
        <f t="shared" si="51"/>
        <v>PAGADO</v>
      </c>
      <c r="M1031" s="8"/>
    </row>
    <row r="1032" spans="3:13" customFormat="1" x14ac:dyDescent="0.25">
      <c r="C1032" s="9" t="s">
        <v>1016</v>
      </c>
      <c r="D1032" s="9" t="s">
        <v>816</v>
      </c>
      <c r="E1032" s="10"/>
      <c r="F1032" s="6">
        <v>160</v>
      </c>
      <c r="G1032" s="6">
        <f t="shared" si="52"/>
        <v>160</v>
      </c>
      <c r="H1032" s="6">
        <v>160</v>
      </c>
      <c r="I1032" s="26">
        <f t="shared" si="53"/>
        <v>0</v>
      </c>
      <c r="J1032" s="7" t="str">
        <f t="shared" si="51"/>
        <v>PAGADO</v>
      </c>
      <c r="M1032" s="8"/>
    </row>
    <row r="1033" spans="3:13" customFormat="1" x14ac:dyDescent="0.25">
      <c r="C1033" s="9" t="s">
        <v>1017</v>
      </c>
      <c r="D1033" s="9" t="s">
        <v>711</v>
      </c>
      <c r="E1033" s="10"/>
      <c r="F1033" s="6">
        <v>30</v>
      </c>
      <c r="G1033" s="6">
        <f t="shared" si="52"/>
        <v>30</v>
      </c>
      <c r="H1033" s="6">
        <v>30</v>
      </c>
      <c r="I1033" s="6">
        <f t="shared" si="53"/>
        <v>0</v>
      </c>
      <c r="J1033" s="7" t="str">
        <f t="shared" si="51"/>
        <v>PAGADO</v>
      </c>
      <c r="M1033" s="8"/>
    </row>
    <row r="1034" spans="3:13" customFormat="1" x14ac:dyDescent="0.25">
      <c r="C1034" s="9" t="s">
        <v>1018</v>
      </c>
      <c r="D1034" s="9" t="s">
        <v>1019</v>
      </c>
      <c r="E1034" s="10"/>
      <c r="F1034" s="6">
        <v>50</v>
      </c>
      <c r="G1034" s="6">
        <f t="shared" si="52"/>
        <v>50</v>
      </c>
      <c r="H1034" s="6">
        <v>50</v>
      </c>
      <c r="I1034" s="6">
        <f t="shared" si="53"/>
        <v>0</v>
      </c>
      <c r="J1034" s="7" t="str">
        <f t="shared" si="51"/>
        <v>PAGADO</v>
      </c>
      <c r="M1034" s="8"/>
    </row>
    <row r="1035" spans="3:13" customFormat="1" x14ac:dyDescent="0.25">
      <c r="C1035" s="9" t="s">
        <v>1020</v>
      </c>
      <c r="D1035" s="9" t="s">
        <v>1021</v>
      </c>
      <c r="E1035" s="10"/>
      <c r="F1035" s="6">
        <v>75</v>
      </c>
      <c r="G1035" s="6">
        <f t="shared" si="52"/>
        <v>75</v>
      </c>
      <c r="H1035" s="6">
        <v>75</v>
      </c>
      <c r="I1035" s="6">
        <f t="shared" si="53"/>
        <v>0</v>
      </c>
      <c r="J1035" s="7" t="str">
        <f t="shared" si="51"/>
        <v>PAGADO</v>
      </c>
      <c r="M1035" s="8"/>
    </row>
    <row r="1036" spans="3:13" customFormat="1" x14ac:dyDescent="0.25">
      <c r="C1036" s="9" t="s">
        <v>1022</v>
      </c>
      <c r="D1036" s="45" t="s">
        <v>74</v>
      </c>
      <c r="E1036" s="10"/>
      <c r="F1036" s="30">
        <v>-75</v>
      </c>
      <c r="G1036" s="30">
        <f t="shared" si="52"/>
        <v>-75</v>
      </c>
      <c r="H1036" s="30">
        <v>-75</v>
      </c>
      <c r="I1036" s="30">
        <v>-75</v>
      </c>
      <c r="J1036" s="7"/>
      <c r="K1036" s="9" t="s">
        <v>1023</v>
      </c>
      <c r="M1036" s="8"/>
    </row>
    <row r="1037" spans="3:13" customFormat="1" x14ac:dyDescent="0.25">
      <c r="C1037" s="9" t="s">
        <v>920</v>
      </c>
      <c r="D1037" s="9" t="s">
        <v>1024</v>
      </c>
      <c r="E1037" s="10"/>
      <c r="F1037" s="6">
        <v>15</v>
      </c>
      <c r="G1037" s="6">
        <f t="shared" si="52"/>
        <v>15</v>
      </c>
      <c r="H1037" s="6">
        <v>15</v>
      </c>
      <c r="I1037" s="6">
        <f t="shared" ref="I1037:I1087" si="54">F1037-H1037</f>
        <v>0</v>
      </c>
      <c r="J1037" s="7" t="str">
        <f t="shared" ref="J1037:J1100" si="55">IF(I1037&gt;0,"DEBE","PAGADO")</f>
        <v>PAGADO</v>
      </c>
      <c r="M1037" s="8"/>
    </row>
    <row r="1038" spans="3:13" customFormat="1" x14ac:dyDescent="0.25">
      <c r="C1038" t="s">
        <v>704</v>
      </c>
      <c r="D1038" t="s">
        <v>1025</v>
      </c>
      <c r="E1038" s="10"/>
      <c r="F1038" s="6">
        <v>15</v>
      </c>
      <c r="G1038" s="6">
        <f t="shared" si="52"/>
        <v>15</v>
      </c>
      <c r="H1038" s="6">
        <v>15</v>
      </c>
      <c r="I1038" s="6">
        <f t="shared" si="54"/>
        <v>0</v>
      </c>
      <c r="J1038" s="7" t="str">
        <f t="shared" si="55"/>
        <v>PAGADO</v>
      </c>
      <c r="M1038" s="8"/>
    </row>
    <row r="1039" spans="3:13" customFormat="1" x14ac:dyDescent="0.25">
      <c r="C1039" t="s">
        <v>1026</v>
      </c>
      <c r="D1039" t="s">
        <v>783</v>
      </c>
      <c r="E1039" s="10"/>
      <c r="F1039" s="6">
        <v>70</v>
      </c>
      <c r="G1039" s="6">
        <f t="shared" si="52"/>
        <v>70</v>
      </c>
      <c r="H1039" s="6">
        <v>70</v>
      </c>
      <c r="I1039" s="6">
        <f t="shared" si="54"/>
        <v>0</v>
      </c>
      <c r="J1039" s="7" t="str">
        <f t="shared" si="55"/>
        <v>PAGADO</v>
      </c>
      <c r="M1039" s="8"/>
    </row>
    <row r="1040" spans="3:13" customFormat="1" x14ac:dyDescent="0.25">
      <c r="C1040" s="9" t="s">
        <v>1027</v>
      </c>
      <c r="D1040" s="9" t="s">
        <v>95</v>
      </c>
      <c r="E1040" s="10"/>
      <c r="F1040" s="6">
        <v>70</v>
      </c>
      <c r="G1040" s="6">
        <f t="shared" si="52"/>
        <v>70</v>
      </c>
      <c r="H1040" s="6">
        <f>30+40</f>
        <v>70</v>
      </c>
      <c r="I1040" s="6">
        <f t="shared" si="54"/>
        <v>0</v>
      </c>
      <c r="J1040" s="7" t="str">
        <f t="shared" si="55"/>
        <v>PAGADO</v>
      </c>
      <c r="M1040" s="8"/>
    </row>
    <row r="1041" spans="3:13" customFormat="1" x14ac:dyDescent="0.25">
      <c r="C1041" s="9" t="s">
        <v>1028</v>
      </c>
      <c r="D1041" s="9" t="s">
        <v>33</v>
      </c>
      <c r="E1041" s="10"/>
      <c r="F1041" s="6">
        <v>50</v>
      </c>
      <c r="G1041" s="6">
        <f t="shared" si="52"/>
        <v>50</v>
      </c>
      <c r="H1041" s="6">
        <v>50</v>
      </c>
      <c r="I1041" s="6">
        <f t="shared" si="54"/>
        <v>0</v>
      </c>
      <c r="J1041" s="7" t="str">
        <f t="shared" si="55"/>
        <v>PAGADO</v>
      </c>
      <c r="M1041" s="8"/>
    </row>
    <row r="1042" spans="3:13" customFormat="1" x14ac:dyDescent="0.25">
      <c r="C1042" s="9" t="s">
        <v>1029</v>
      </c>
      <c r="D1042" s="9" t="s">
        <v>74</v>
      </c>
      <c r="E1042" s="10"/>
      <c r="F1042" s="6">
        <v>80</v>
      </c>
      <c r="G1042" s="6">
        <f t="shared" si="52"/>
        <v>80</v>
      </c>
      <c r="H1042" s="6">
        <v>80</v>
      </c>
      <c r="I1042" s="16">
        <f t="shared" si="54"/>
        <v>0</v>
      </c>
      <c r="J1042" s="7" t="str">
        <f t="shared" si="55"/>
        <v>PAGADO</v>
      </c>
      <c r="M1042" s="8"/>
    </row>
    <row r="1043" spans="3:13" customFormat="1" x14ac:dyDescent="0.25">
      <c r="C1043" s="9" t="s">
        <v>1030</v>
      </c>
      <c r="D1043" s="9" t="s">
        <v>74</v>
      </c>
      <c r="E1043" s="10"/>
      <c r="F1043" s="6">
        <v>80</v>
      </c>
      <c r="G1043" s="6">
        <f t="shared" si="52"/>
        <v>80</v>
      </c>
      <c r="H1043" s="6">
        <v>80</v>
      </c>
      <c r="I1043" s="46">
        <f t="shared" si="54"/>
        <v>0</v>
      </c>
      <c r="J1043" s="7" t="str">
        <f t="shared" si="55"/>
        <v>PAGADO</v>
      </c>
      <c r="M1043" s="8"/>
    </row>
    <row r="1044" spans="3:13" customFormat="1" x14ac:dyDescent="0.25">
      <c r="C1044" s="9" t="s">
        <v>1031</v>
      </c>
      <c r="D1044" s="9" t="s">
        <v>807</v>
      </c>
      <c r="E1044" s="10"/>
      <c r="F1044" s="6">
        <v>80</v>
      </c>
      <c r="G1044" s="6">
        <f t="shared" si="52"/>
        <v>80</v>
      </c>
      <c r="H1044" s="6">
        <v>80</v>
      </c>
      <c r="I1044" s="6">
        <f t="shared" si="54"/>
        <v>0</v>
      </c>
      <c r="J1044" s="7" t="str">
        <f t="shared" si="55"/>
        <v>PAGADO</v>
      </c>
      <c r="M1044" s="8"/>
    </row>
    <row r="1045" spans="3:13" customFormat="1" x14ac:dyDescent="0.25">
      <c r="C1045" s="9" t="s">
        <v>1032</v>
      </c>
      <c r="D1045" t="s">
        <v>1033</v>
      </c>
      <c r="E1045" s="10"/>
      <c r="F1045" s="6">
        <v>15</v>
      </c>
      <c r="G1045" s="6">
        <f t="shared" si="52"/>
        <v>15</v>
      </c>
      <c r="H1045" s="6">
        <v>15</v>
      </c>
      <c r="I1045" s="6">
        <f t="shared" si="54"/>
        <v>0</v>
      </c>
      <c r="J1045" s="7" t="str">
        <f t="shared" si="55"/>
        <v>PAGADO</v>
      </c>
      <c r="M1045" s="8"/>
    </row>
    <row r="1046" spans="3:13" customFormat="1" x14ac:dyDescent="0.25">
      <c r="C1046" s="9" t="s">
        <v>555</v>
      </c>
      <c r="D1046" s="9" t="s">
        <v>793</v>
      </c>
      <c r="E1046" s="10"/>
      <c r="F1046" s="6">
        <v>50</v>
      </c>
      <c r="G1046" s="6">
        <f t="shared" si="52"/>
        <v>50</v>
      </c>
      <c r="H1046" s="6">
        <v>50</v>
      </c>
      <c r="I1046" s="6">
        <f t="shared" si="54"/>
        <v>0</v>
      </c>
      <c r="J1046" s="7" t="str">
        <f t="shared" si="55"/>
        <v>PAGADO</v>
      </c>
      <c r="M1046" s="8"/>
    </row>
    <row r="1047" spans="3:13" customFormat="1" x14ac:dyDescent="0.25">
      <c r="C1047" s="9" t="s">
        <v>1034</v>
      </c>
      <c r="D1047" s="9" t="s">
        <v>238</v>
      </c>
      <c r="E1047" s="10"/>
      <c r="F1047" s="6">
        <v>40</v>
      </c>
      <c r="G1047" s="6">
        <f t="shared" si="52"/>
        <v>40</v>
      </c>
      <c r="H1047" s="6">
        <v>40</v>
      </c>
      <c r="I1047" s="6">
        <f t="shared" si="54"/>
        <v>0</v>
      </c>
      <c r="J1047" s="7" t="str">
        <f t="shared" si="55"/>
        <v>PAGADO</v>
      </c>
      <c r="M1047" s="8"/>
    </row>
    <row r="1048" spans="3:13" customFormat="1" x14ac:dyDescent="0.25">
      <c r="C1048" s="9" t="s">
        <v>1035</v>
      </c>
      <c r="D1048" s="9" t="s">
        <v>941</v>
      </c>
      <c r="E1048" s="10"/>
      <c r="F1048" s="6">
        <v>70</v>
      </c>
      <c r="G1048" s="6">
        <f t="shared" si="52"/>
        <v>70</v>
      </c>
      <c r="H1048" s="6">
        <v>70</v>
      </c>
      <c r="I1048" s="6">
        <f t="shared" si="54"/>
        <v>0</v>
      </c>
      <c r="J1048" s="7" t="str">
        <f t="shared" si="55"/>
        <v>PAGADO</v>
      </c>
      <c r="M1048" s="8"/>
    </row>
    <row r="1049" spans="3:13" customFormat="1" x14ac:dyDescent="0.25">
      <c r="C1049" s="9" t="s">
        <v>1036</v>
      </c>
      <c r="D1049" s="9" t="s">
        <v>33</v>
      </c>
      <c r="E1049" s="10"/>
      <c r="F1049" s="6">
        <v>120</v>
      </c>
      <c r="G1049" s="6">
        <f t="shared" si="52"/>
        <v>120</v>
      </c>
      <c r="H1049" s="6">
        <v>120</v>
      </c>
      <c r="I1049" s="6">
        <f t="shared" si="54"/>
        <v>0</v>
      </c>
      <c r="J1049" s="7" t="str">
        <f t="shared" si="55"/>
        <v>PAGADO</v>
      </c>
      <c r="M1049" s="8"/>
    </row>
    <row r="1050" spans="3:13" customFormat="1" x14ac:dyDescent="0.25">
      <c r="C1050" s="9" t="s">
        <v>1037</v>
      </c>
      <c r="D1050" s="9" t="s">
        <v>33</v>
      </c>
      <c r="E1050" s="10"/>
      <c r="F1050" s="6">
        <v>20</v>
      </c>
      <c r="G1050" s="6">
        <f t="shared" si="52"/>
        <v>20</v>
      </c>
      <c r="H1050" s="6">
        <v>20</v>
      </c>
      <c r="I1050" s="6">
        <f t="shared" si="54"/>
        <v>0</v>
      </c>
      <c r="J1050" s="7" t="str">
        <f t="shared" si="55"/>
        <v>PAGADO</v>
      </c>
      <c r="M1050" s="8"/>
    </row>
    <row r="1051" spans="3:13" customFormat="1" x14ac:dyDescent="0.25">
      <c r="C1051" s="9" t="s">
        <v>1038</v>
      </c>
      <c r="D1051" s="9" t="s">
        <v>33</v>
      </c>
      <c r="E1051" s="10"/>
      <c r="F1051" s="6">
        <v>70</v>
      </c>
      <c r="G1051" s="6">
        <f t="shared" si="52"/>
        <v>70</v>
      </c>
      <c r="H1051" s="6">
        <v>70</v>
      </c>
      <c r="I1051" s="6">
        <f t="shared" si="54"/>
        <v>0</v>
      </c>
      <c r="J1051" s="7" t="str">
        <f t="shared" si="55"/>
        <v>PAGADO</v>
      </c>
      <c r="M1051" s="8"/>
    </row>
    <row r="1052" spans="3:13" customFormat="1" x14ac:dyDescent="0.25">
      <c r="C1052" s="9" t="s">
        <v>1039</v>
      </c>
      <c r="D1052" s="9" t="s">
        <v>33</v>
      </c>
      <c r="E1052" s="10"/>
      <c r="F1052" s="6">
        <v>180</v>
      </c>
      <c r="G1052" s="6">
        <f t="shared" si="52"/>
        <v>180</v>
      </c>
      <c r="H1052" s="6">
        <v>180</v>
      </c>
      <c r="I1052" s="6">
        <f t="shared" si="54"/>
        <v>0</v>
      </c>
      <c r="J1052" s="7" t="str">
        <f t="shared" si="55"/>
        <v>PAGADO</v>
      </c>
      <c r="M1052" s="8"/>
    </row>
    <row r="1053" spans="3:13" customFormat="1" x14ac:dyDescent="0.25">
      <c r="C1053" s="9" t="s">
        <v>1040</v>
      </c>
      <c r="D1053" s="9" t="s">
        <v>74</v>
      </c>
      <c r="E1053" s="10"/>
      <c r="F1053" s="6">
        <v>80</v>
      </c>
      <c r="G1053" s="6">
        <f t="shared" si="52"/>
        <v>80</v>
      </c>
      <c r="H1053" s="6">
        <v>80</v>
      </c>
      <c r="I1053" s="46">
        <f t="shared" si="54"/>
        <v>0</v>
      </c>
      <c r="J1053" s="7" t="str">
        <f t="shared" si="55"/>
        <v>PAGADO</v>
      </c>
      <c r="M1053" s="8"/>
    </row>
    <row r="1054" spans="3:13" customFormat="1" x14ac:dyDescent="0.25">
      <c r="C1054" s="9" t="s">
        <v>1041</v>
      </c>
      <c r="D1054" s="9" t="s">
        <v>33</v>
      </c>
      <c r="E1054" s="10"/>
      <c r="F1054" s="6">
        <v>470</v>
      </c>
      <c r="G1054" s="6">
        <f t="shared" si="52"/>
        <v>470</v>
      </c>
      <c r="H1054" s="6">
        <v>470</v>
      </c>
      <c r="I1054" s="6">
        <f t="shared" si="54"/>
        <v>0</v>
      </c>
      <c r="J1054" s="7" t="str">
        <f t="shared" si="55"/>
        <v>PAGADO</v>
      </c>
      <c r="M1054" s="8"/>
    </row>
    <row r="1055" spans="3:13" customFormat="1" x14ac:dyDescent="0.25">
      <c r="C1055" s="9" t="s">
        <v>1042</v>
      </c>
      <c r="D1055" s="9" t="s">
        <v>1043</v>
      </c>
      <c r="E1055" s="10"/>
      <c r="F1055" s="6">
        <v>25</v>
      </c>
      <c r="G1055" s="6">
        <f t="shared" si="52"/>
        <v>25</v>
      </c>
      <c r="H1055" s="6">
        <f>15+10</f>
        <v>25</v>
      </c>
      <c r="I1055" s="6">
        <f t="shared" si="54"/>
        <v>0</v>
      </c>
      <c r="J1055" s="7" t="str">
        <f t="shared" si="55"/>
        <v>PAGADO</v>
      </c>
      <c r="M1055" s="8"/>
    </row>
    <row r="1056" spans="3:13" customFormat="1" x14ac:dyDescent="0.25">
      <c r="C1056" s="9" t="s">
        <v>1044</v>
      </c>
      <c r="D1056" s="9" t="s">
        <v>1043</v>
      </c>
      <c r="E1056" s="10"/>
      <c r="F1056" s="6">
        <v>25</v>
      </c>
      <c r="G1056" s="6">
        <f t="shared" si="52"/>
        <v>25</v>
      </c>
      <c r="H1056" s="6">
        <v>25</v>
      </c>
      <c r="I1056" s="6">
        <f t="shared" si="54"/>
        <v>0</v>
      </c>
      <c r="J1056" s="7" t="str">
        <f t="shared" si="55"/>
        <v>PAGADO</v>
      </c>
      <c r="M1056" s="8"/>
    </row>
    <row r="1057" spans="3:13" customFormat="1" x14ac:dyDescent="0.25">
      <c r="C1057" s="9" t="s">
        <v>1045</v>
      </c>
      <c r="D1057" s="9" t="s">
        <v>793</v>
      </c>
      <c r="E1057" s="10"/>
      <c r="F1057" s="6">
        <v>25</v>
      </c>
      <c r="G1057" s="6">
        <f t="shared" si="52"/>
        <v>25</v>
      </c>
      <c r="H1057" s="6">
        <v>25</v>
      </c>
      <c r="I1057" s="6">
        <f t="shared" si="54"/>
        <v>0</v>
      </c>
      <c r="J1057" s="7" t="str">
        <f t="shared" si="55"/>
        <v>PAGADO</v>
      </c>
      <c r="M1057" s="8"/>
    </row>
    <row r="1058" spans="3:13" customFormat="1" x14ac:dyDescent="0.25">
      <c r="C1058" s="9" t="s">
        <v>1046</v>
      </c>
      <c r="D1058" s="9" t="s">
        <v>793</v>
      </c>
      <c r="E1058" s="10"/>
      <c r="F1058" s="6">
        <v>70</v>
      </c>
      <c r="G1058" s="6">
        <f t="shared" si="52"/>
        <v>70</v>
      </c>
      <c r="H1058" s="6">
        <v>70</v>
      </c>
      <c r="I1058" s="6">
        <f t="shared" si="54"/>
        <v>0</v>
      </c>
      <c r="J1058" s="7" t="str">
        <f t="shared" si="55"/>
        <v>PAGADO</v>
      </c>
      <c r="M1058" s="8"/>
    </row>
    <row r="1059" spans="3:13" customFormat="1" x14ac:dyDescent="0.25">
      <c r="C1059" s="9" t="s">
        <v>1047</v>
      </c>
      <c r="D1059" s="9" t="s">
        <v>1048</v>
      </c>
      <c r="E1059" s="10"/>
      <c r="F1059" s="6">
        <v>220</v>
      </c>
      <c r="G1059" s="6">
        <f t="shared" si="52"/>
        <v>220</v>
      </c>
      <c r="H1059" s="24">
        <f>200+20</f>
        <v>220</v>
      </c>
      <c r="I1059" s="6">
        <f t="shared" si="54"/>
        <v>0</v>
      </c>
      <c r="J1059" s="7" t="str">
        <f t="shared" si="55"/>
        <v>PAGADO</v>
      </c>
      <c r="M1059" s="8"/>
    </row>
    <row r="1060" spans="3:13" customFormat="1" x14ac:dyDescent="0.25">
      <c r="C1060" s="9" t="s">
        <v>1049</v>
      </c>
      <c r="D1060" s="9" t="s">
        <v>1048</v>
      </c>
      <c r="E1060" s="10"/>
      <c r="F1060" s="6">
        <v>300</v>
      </c>
      <c r="G1060" s="6">
        <f t="shared" si="52"/>
        <v>300</v>
      </c>
      <c r="H1060" s="24">
        <f>200+100</f>
        <v>300</v>
      </c>
      <c r="I1060" s="6">
        <f t="shared" si="54"/>
        <v>0</v>
      </c>
      <c r="J1060" s="7" t="str">
        <f t="shared" si="55"/>
        <v>PAGADO</v>
      </c>
      <c r="M1060" s="8"/>
    </row>
    <row r="1061" spans="3:13" customFormat="1" x14ac:dyDescent="0.25">
      <c r="C1061" s="9" t="s">
        <v>433</v>
      </c>
      <c r="D1061" s="9" t="s">
        <v>1048</v>
      </c>
      <c r="E1061" s="10"/>
      <c r="F1061" s="6">
        <v>75</v>
      </c>
      <c r="G1061" s="6">
        <f t="shared" si="52"/>
        <v>75</v>
      </c>
      <c r="H1061" s="6">
        <v>75</v>
      </c>
      <c r="I1061" s="6">
        <f t="shared" si="54"/>
        <v>0</v>
      </c>
      <c r="J1061" s="7" t="str">
        <f t="shared" si="55"/>
        <v>PAGADO</v>
      </c>
      <c r="M1061" s="8"/>
    </row>
    <row r="1062" spans="3:13" customFormat="1" x14ac:dyDescent="0.25">
      <c r="C1062" s="9" t="s">
        <v>92</v>
      </c>
      <c r="D1062" s="9" t="s">
        <v>1048</v>
      </c>
      <c r="E1062" s="10"/>
      <c r="F1062" s="6">
        <v>75</v>
      </c>
      <c r="G1062" s="6">
        <f t="shared" si="52"/>
        <v>75</v>
      </c>
      <c r="H1062" s="6">
        <v>75</v>
      </c>
      <c r="I1062" s="6">
        <f t="shared" si="54"/>
        <v>0</v>
      </c>
      <c r="J1062" s="7" t="str">
        <f t="shared" si="55"/>
        <v>PAGADO</v>
      </c>
      <c r="M1062" s="8"/>
    </row>
    <row r="1063" spans="3:13" customFormat="1" x14ac:dyDescent="0.25">
      <c r="C1063" s="9" t="s">
        <v>1050</v>
      </c>
      <c r="D1063" s="9" t="s">
        <v>1048</v>
      </c>
      <c r="E1063" s="10"/>
      <c r="F1063" s="6">
        <v>65</v>
      </c>
      <c r="G1063" s="6">
        <f t="shared" si="52"/>
        <v>65</v>
      </c>
      <c r="H1063" s="6">
        <v>65</v>
      </c>
      <c r="I1063" s="6">
        <f t="shared" si="54"/>
        <v>0</v>
      </c>
      <c r="J1063" s="7" t="str">
        <f t="shared" si="55"/>
        <v>PAGADO</v>
      </c>
      <c r="M1063" s="8"/>
    </row>
    <row r="1064" spans="3:13" customFormat="1" x14ac:dyDescent="0.25">
      <c r="C1064" s="9" t="s">
        <v>398</v>
      </c>
      <c r="D1064" s="9" t="s">
        <v>1048</v>
      </c>
      <c r="E1064" s="10"/>
      <c r="F1064" s="6">
        <v>80</v>
      </c>
      <c r="G1064" s="6">
        <f t="shared" si="52"/>
        <v>80</v>
      </c>
      <c r="H1064" s="6">
        <v>80</v>
      </c>
      <c r="I1064" s="6">
        <f t="shared" si="54"/>
        <v>0</v>
      </c>
      <c r="J1064" s="7" t="str">
        <f t="shared" si="55"/>
        <v>PAGADO</v>
      </c>
      <c r="M1064" s="8"/>
    </row>
    <row r="1065" spans="3:13" customFormat="1" x14ac:dyDescent="0.25">
      <c r="C1065" s="9" t="s">
        <v>1051</v>
      </c>
      <c r="D1065" s="9" t="s">
        <v>1021</v>
      </c>
      <c r="E1065" s="10"/>
      <c r="F1065" s="6">
        <v>80</v>
      </c>
      <c r="G1065" s="6">
        <f t="shared" si="52"/>
        <v>80</v>
      </c>
      <c r="H1065" s="6">
        <f>20+60</f>
        <v>80</v>
      </c>
      <c r="I1065" s="6">
        <f t="shared" si="54"/>
        <v>0</v>
      </c>
      <c r="J1065" s="7" t="str">
        <f t="shared" si="55"/>
        <v>PAGADO</v>
      </c>
      <c r="M1065" s="8"/>
    </row>
    <row r="1066" spans="3:13" customFormat="1" x14ac:dyDescent="0.25">
      <c r="C1066" s="9" t="s">
        <v>1052</v>
      </c>
      <c r="D1066" s="9" t="s">
        <v>1053</v>
      </c>
      <c r="E1066" s="10"/>
      <c r="F1066" s="6">
        <v>80</v>
      </c>
      <c r="G1066" s="6">
        <f t="shared" si="52"/>
        <v>80</v>
      </c>
      <c r="H1066" s="6">
        <v>80</v>
      </c>
      <c r="I1066" s="6">
        <f t="shared" si="54"/>
        <v>0</v>
      </c>
      <c r="J1066" s="7" t="str">
        <f t="shared" si="55"/>
        <v>PAGADO</v>
      </c>
      <c r="M1066" s="8"/>
    </row>
    <row r="1067" spans="3:13" customFormat="1" x14ac:dyDescent="0.25">
      <c r="C1067" s="9" t="s">
        <v>1054</v>
      </c>
      <c r="D1067" s="9" t="s">
        <v>1055</v>
      </c>
      <c r="E1067" s="10"/>
      <c r="F1067" s="6">
        <v>50</v>
      </c>
      <c r="G1067" s="6">
        <f t="shared" ref="G1067:G1130" si="56">F1067-E1067</f>
        <v>50</v>
      </c>
      <c r="H1067" s="6">
        <f>20+30</f>
        <v>50</v>
      </c>
      <c r="I1067" s="6">
        <f t="shared" si="54"/>
        <v>0</v>
      </c>
      <c r="J1067" s="7" t="str">
        <f t="shared" si="55"/>
        <v>PAGADO</v>
      </c>
      <c r="K1067" s="45" t="s">
        <v>1056</v>
      </c>
      <c r="M1067" s="8"/>
    </row>
    <row r="1068" spans="3:13" customFormat="1" x14ac:dyDescent="0.25">
      <c r="C1068" s="9" t="s">
        <v>1057</v>
      </c>
      <c r="D1068" s="9" t="s">
        <v>711</v>
      </c>
      <c r="E1068" s="10"/>
      <c r="F1068" s="6">
        <v>50</v>
      </c>
      <c r="G1068" s="6">
        <f t="shared" si="56"/>
        <v>50</v>
      </c>
      <c r="H1068" s="6">
        <v>50</v>
      </c>
      <c r="I1068" s="6">
        <f t="shared" si="54"/>
        <v>0</v>
      </c>
      <c r="J1068" s="7" t="str">
        <f t="shared" si="55"/>
        <v>PAGADO</v>
      </c>
      <c r="M1068" s="8"/>
    </row>
    <row r="1069" spans="3:13" customFormat="1" x14ac:dyDescent="0.25">
      <c r="C1069" s="9" t="s">
        <v>1058</v>
      </c>
      <c r="D1069" s="9" t="s">
        <v>523</v>
      </c>
      <c r="E1069" s="10"/>
      <c r="F1069" s="6">
        <v>80</v>
      </c>
      <c r="G1069" s="6">
        <f t="shared" si="56"/>
        <v>80</v>
      </c>
      <c r="H1069" s="6">
        <v>80</v>
      </c>
      <c r="I1069" s="6">
        <f t="shared" si="54"/>
        <v>0</v>
      </c>
      <c r="J1069" s="7" t="str">
        <f t="shared" si="55"/>
        <v>PAGADO</v>
      </c>
      <c r="M1069" s="8"/>
    </row>
    <row r="1070" spans="3:13" customFormat="1" x14ac:dyDescent="0.25">
      <c r="C1070" s="9" t="s">
        <v>1059</v>
      </c>
      <c r="D1070" s="9" t="s">
        <v>74</v>
      </c>
      <c r="E1070" s="10"/>
      <c r="F1070" s="6">
        <v>160</v>
      </c>
      <c r="G1070" s="6">
        <f t="shared" si="56"/>
        <v>160</v>
      </c>
      <c r="H1070" s="6">
        <v>160</v>
      </c>
      <c r="I1070" s="46">
        <f t="shared" si="54"/>
        <v>0</v>
      </c>
      <c r="J1070" s="7" t="str">
        <f t="shared" si="55"/>
        <v>PAGADO</v>
      </c>
      <c r="M1070" s="8"/>
    </row>
    <row r="1071" spans="3:13" customFormat="1" x14ac:dyDescent="0.25">
      <c r="C1071" s="9" t="s">
        <v>801</v>
      </c>
      <c r="D1071" s="9" t="s">
        <v>1060</v>
      </c>
      <c r="E1071" s="10"/>
      <c r="F1071" s="6">
        <v>55</v>
      </c>
      <c r="G1071" s="6">
        <f t="shared" si="56"/>
        <v>55</v>
      </c>
      <c r="H1071" s="6">
        <v>55</v>
      </c>
      <c r="I1071" s="6">
        <f t="shared" si="54"/>
        <v>0</v>
      </c>
      <c r="J1071" s="7" t="str">
        <f t="shared" si="55"/>
        <v>PAGADO</v>
      </c>
      <c r="M1071" s="8"/>
    </row>
    <row r="1072" spans="3:13" customFormat="1" x14ac:dyDescent="0.25">
      <c r="C1072" s="9" t="s">
        <v>1061</v>
      </c>
      <c r="D1072" s="9" t="s">
        <v>238</v>
      </c>
      <c r="E1072" s="10"/>
      <c r="F1072" s="6">
        <v>270</v>
      </c>
      <c r="G1072" s="6">
        <f t="shared" si="56"/>
        <v>270</v>
      </c>
      <c r="H1072" s="26">
        <v>270</v>
      </c>
      <c r="I1072" s="26">
        <f t="shared" si="54"/>
        <v>0</v>
      </c>
      <c r="J1072" s="7" t="str">
        <f t="shared" si="55"/>
        <v>PAGADO</v>
      </c>
      <c r="K1072" s="9"/>
      <c r="M1072" s="8"/>
    </row>
    <row r="1073" spans="3:13" customFormat="1" x14ac:dyDescent="0.25">
      <c r="C1073" s="9" t="s">
        <v>1062</v>
      </c>
      <c r="D1073" s="9" t="s">
        <v>238</v>
      </c>
      <c r="E1073" s="10"/>
      <c r="F1073" s="6">
        <v>250</v>
      </c>
      <c r="G1073" s="6">
        <f t="shared" si="56"/>
        <v>250</v>
      </c>
      <c r="H1073" s="26">
        <f>130+120</f>
        <v>250</v>
      </c>
      <c r="I1073" s="26">
        <f t="shared" si="54"/>
        <v>0</v>
      </c>
      <c r="J1073" s="7" t="str">
        <f t="shared" si="55"/>
        <v>PAGADO</v>
      </c>
      <c r="K1073" s="9"/>
      <c r="M1073" s="8"/>
    </row>
    <row r="1074" spans="3:13" customFormat="1" x14ac:dyDescent="0.25">
      <c r="C1074" s="9" t="s">
        <v>1063</v>
      </c>
      <c r="D1074" s="9" t="s">
        <v>238</v>
      </c>
      <c r="E1074" s="10"/>
      <c r="F1074" s="6">
        <v>230</v>
      </c>
      <c r="G1074" s="6">
        <f t="shared" si="56"/>
        <v>230</v>
      </c>
      <c r="H1074" s="24">
        <f>190+40</f>
        <v>230</v>
      </c>
      <c r="I1074" s="26">
        <f t="shared" si="54"/>
        <v>0</v>
      </c>
      <c r="J1074" s="7" t="str">
        <f t="shared" si="55"/>
        <v>PAGADO</v>
      </c>
      <c r="K1074" s="9"/>
      <c r="M1074" s="8"/>
    </row>
    <row r="1075" spans="3:13" customFormat="1" x14ac:dyDescent="0.25">
      <c r="C1075" s="9" t="s">
        <v>1064</v>
      </c>
      <c r="D1075" s="9" t="s">
        <v>238</v>
      </c>
      <c r="E1075" s="10"/>
      <c r="F1075" s="6">
        <v>65</v>
      </c>
      <c r="G1075" s="6">
        <f t="shared" si="56"/>
        <v>65</v>
      </c>
      <c r="H1075" s="6">
        <f>5+60</f>
        <v>65</v>
      </c>
      <c r="I1075" s="26">
        <f t="shared" si="54"/>
        <v>0</v>
      </c>
      <c r="J1075" s="7" t="str">
        <f t="shared" si="55"/>
        <v>PAGADO</v>
      </c>
      <c r="K1075" s="9"/>
      <c r="M1075" s="8"/>
    </row>
    <row r="1076" spans="3:13" customFormat="1" x14ac:dyDescent="0.25">
      <c r="C1076" s="9" t="s">
        <v>1065</v>
      </c>
      <c r="D1076" s="9" t="s">
        <v>74</v>
      </c>
      <c r="E1076" s="10"/>
      <c r="F1076" s="6">
        <v>180</v>
      </c>
      <c r="G1076" s="6">
        <f t="shared" si="56"/>
        <v>180</v>
      </c>
      <c r="H1076" s="6">
        <v>180</v>
      </c>
      <c r="I1076" s="46">
        <f t="shared" si="54"/>
        <v>0</v>
      </c>
      <c r="J1076" s="7" t="str">
        <f t="shared" si="55"/>
        <v>PAGADO</v>
      </c>
      <c r="M1076" s="8"/>
    </row>
    <row r="1077" spans="3:13" customFormat="1" x14ac:dyDescent="0.25">
      <c r="C1077" s="9" t="s">
        <v>1066</v>
      </c>
      <c r="D1077" s="9" t="s">
        <v>1067</v>
      </c>
      <c r="E1077" s="10"/>
      <c r="F1077" s="6">
        <v>110</v>
      </c>
      <c r="G1077" s="6">
        <f t="shared" si="56"/>
        <v>110</v>
      </c>
      <c r="H1077" s="6">
        <f>20+90</f>
        <v>110</v>
      </c>
      <c r="I1077" s="6">
        <f t="shared" si="54"/>
        <v>0</v>
      </c>
      <c r="J1077" s="7" t="str">
        <f t="shared" si="55"/>
        <v>PAGADO</v>
      </c>
      <c r="K1077" s="9"/>
      <c r="M1077" s="8"/>
    </row>
    <row r="1078" spans="3:13" customFormat="1" x14ac:dyDescent="0.25">
      <c r="C1078" s="9" t="s">
        <v>1068</v>
      </c>
      <c r="D1078" s="9" t="s">
        <v>1069</v>
      </c>
      <c r="E1078" s="10"/>
      <c r="F1078" s="6">
        <v>90</v>
      </c>
      <c r="G1078" s="6">
        <f t="shared" si="56"/>
        <v>90</v>
      </c>
      <c r="H1078" s="6">
        <v>90</v>
      </c>
      <c r="I1078" s="6">
        <f t="shared" si="54"/>
        <v>0</v>
      </c>
      <c r="J1078" s="7" t="str">
        <f t="shared" si="55"/>
        <v>PAGADO</v>
      </c>
      <c r="M1078" s="8"/>
    </row>
    <row r="1079" spans="3:13" customFormat="1" x14ac:dyDescent="0.25">
      <c r="C1079" s="9" t="s">
        <v>1027</v>
      </c>
      <c r="D1079" s="9" t="s">
        <v>1069</v>
      </c>
      <c r="E1079" s="10"/>
      <c r="F1079" s="6">
        <v>70</v>
      </c>
      <c r="G1079" s="6">
        <f t="shared" si="56"/>
        <v>70</v>
      </c>
      <c r="H1079" s="6">
        <v>70</v>
      </c>
      <c r="I1079" s="6">
        <f t="shared" si="54"/>
        <v>0</v>
      </c>
      <c r="J1079" s="7" t="str">
        <f t="shared" si="55"/>
        <v>PAGADO</v>
      </c>
      <c r="M1079" s="8"/>
    </row>
    <row r="1080" spans="3:13" customFormat="1" x14ac:dyDescent="0.25">
      <c r="C1080" s="9" t="s">
        <v>1070</v>
      </c>
      <c r="D1080" s="9" t="s">
        <v>1069</v>
      </c>
      <c r="E1080" s="10"/>
      <c r="F1080" s="6">
        <v>55</v>
      </c>
      <c r="G1080" s="6">
        <f t="shared" si="56"/>
        <v>55</v>
      </c>
      <c r="H1080" s="6">
        <v>55</v>
      </c>
      <c r="I1080" s="6">
        <f t="shared" si="54"/>
        <v>0</v>
      </c>
      <c r="J1080" s="7" t="str">
        <f t="shared" si="55"/>
        <v>PAGADO</v>
      </c>
      <c r="M1080" s="8"/>
    </row>
    <row r="1081" spans="3:13" customFormat="1" x14ac:dyDescent="0.25">
      <c r="C1081" s="9" t="s">
        <v>1071</v>
      </c>
      <c r="D1081" s="9" t="s">
        <v>1069</v>
      </c>
      <c r="E1081" s="10"/>
      <c r="F1081" s="6">
        <v>30</v>
      </c>
      <c r="G1081" s="6">
        <f t="shared" si="56"/>
        <v>30</v>
      </c>
      <c r="H1081" s="6">
        <v>30</v>
      </c>
      <c r="I1081" s="6">
        <f t="shared" si="54"/>
        <v>0</v>
      </c>
      <c r="J1081" s="7" t="str">
        <f t="shared" si="55"/>
        <v>PAGADO</v>
      </c>
      <c r="M1081" s="8"/>
    </row>
    <row r="1082" spans="3:13" customFormat="1" x14ac:dyDescent="0.25">
      <c r="C1082" s="9" t="s">
        <v>1072</v>
      </c>
      <c r="D1082" s="9" t="s">
        <v>33</v>
      </c>
      <c r="E1082" s="10"/>
      <c r="F1082" s="6">
        <v>25</v>
      </c>
      <c r="G1082" s="6">
        <f t="shared" si="56"/>
        <v>25</v>
      </c>
      <c r="H1082" s="6">
        <v>25</v>
      </c>
      <c r="I1082" s="6">
        <f t="shared" si="54"/>
        <v>0</v>
      </c>
      <c r="J1082" s="7" t="str">
        <f t="shared" si="55"/>
        <v>PAGADO</v>
      </c>
      <c r="M1082" s="8"/>
    </row>
    <row r="1083" spans="3:13" customFormat="1" x14ac:dyDescent="0.25">
      <c r="C1083" s="9" t="s">
        <v>1073</v>
      </c>
      <c r="D1083" s="9" t="s">
        <v>705</v>
      </c>
      <c r="E1083" s="10"/>
      <c r="F1083" s="6">
        <v>15</v>
      </c>
      <c r="G1083" s="6">
        <f t="shared" si="56"/>
        <v>15</v>
      </c>
      <c r="H1083" s="6">
        <v>15</v>
      </c>
      <c r="I1083" s="6">
        <f t="shared" si="54"/>
        <v>0</v>
      </c>
      <c r="J1083" s="7" t="str">
        <f t="shared" si="55"/>
        <v>PAGADO</v>
      </c>
      <c r="M1083" s="8"/>
    </row>
    <row r="1084" spans="3:13" customFormat="1" x14ac:dyDescent="0.25">
      <c r="C1084" s="9" t="s">
        <v>1074</v>
      </c>
      <c r="D1084" s="9" t="s">
        <v>597</v>
      </c>
      <c r="E1084" s="10"/>
      <c r="F1084" s="6">
        <v>35</v>
      </c>
      <c r="G1084" s="6">
        <f t="shared" si="56"/>
        <v>35</v>
      </c>
      <c r="H1084" s="6">
        <v>35</v>
      </c>
      <c r="I1084" s="6">
        <f t="shared" si="54"/>
        <v>0</v>
      </c>
      <c r="J1084" s="7" t="str">
        <f t="shared" si="55"/>
        <v>PAGADO</v>
      </c>
      <c r="M1084" s="8"/>
    </row>
    <row r="1085" spans="3:13" customFormat="1" x14ac:dyDescent="0.25">
      <c r="C1085" s="9" t="s">
        <v>1075</v>
      </c>
      <c r="D1085" s="9" t="s">
        <v>597</v>
      </c>
      <c r="E1085" s="10"/>
      <c r="F1085" s="6">
        <v>15</v>
      </c>
      <c r="G1085" s="6">
        <f t="shared" si="56"/>
        <v>15</v>
      </c>
      <c r="H1085" s="6">
        <v>15</v>
      </c>
      <c r="I1085" s="6">
        <f t="shared" si="54"/>
        <v>0</v>
      </c>
      <c r="J1085" s="7" t="str">
        <f t="shared" si="55"/>
        <v>PAGADO</v>
      </c>
      <c r="M1085" s="8"/>
    </row>
    <row r="1086" spans="3:13" customFormat="1" x14ac:dyDescent="0.25">
      <c r="C1086" s="9" t="s">
        <v>1076</v>
      </c>
      <c r="D1086" s="9" t="s">
        <v>80</v>
      </c>
      <c r="E1086" s="10"/>
      <c r="F1086" s="6">
        <v>90</v>
      </c>
      <c r="G1086" s="6">
        <f t="shared" si="56"/>
        <v>90</v>
      </c>
      <c r="H1086" s="6">
        <v>90</v>
      </c>
      <c r="I1086" s="6">
        <f t="shared" si="54"/>
        <v>0</v>
      </c>
      <c r="J1086" s="7" t="str">
        <f t="shared" si="55"/>
        <v>PAGADO</v>
      </c>
      <c r="M1086" s="8"/>
    </row>
    <row r="1087" spans="3:13" customFormat="1" x14ac:dyDescent="0.25">
      <c r="C1087" s="9" t="s">
        <v>1077</v>
      </c>
      <c r="D1087" s="9" t="s">
        <v>1078</v>
      </c>
      <c r="E1087" s="10"/>
      <c r="F1087" s="6">
        <v>30</v>
      </c>
      <c r="G1087" s="6">
        <f t="shared" si="56"/>
        <v>30</v>
      </c>
      <c r="H1087" s="6">
        <v>30</v>
      </c>
      <c r="I1087" s="6">
        <f t="shared" si="54"/>
        <v>0</v>
      </c>
      <c r="J1087" s="7" t="str">
        <f t="shared" si="55"/>
        <v>PAGADO</v>
      </c>
      <c r="M1087" s="8"/>
    </row>
    <row r="1088" spans="3:13" customFormat="1" x14ac:dyDescent="0.25">
      <c r="C1088" t="s">
        <v>1079</v>
      </c>
      <c r="D1088" s="45" t="s">
        <v>74</v>
      </c>
      <c r="E1088" s="10"/>
      <c r="F1088" s="30">
        <v>-50</v>
      </c>
      <c r="G1088" s="30">
        <f t="shared" si="56"/>
        <v>-50</v>
      </c>
      <c r="H1088" s="30">
        <v>-50</v>
      </c>
      <c r="I1088" s="30">
        <v>-50</v>
      </c>
      <c r="J1088" s="7" t="str">
        <f t="shared" si="55"/>
        <v>PAGADO</v>
      </c>
      <c r="K1088" s="28" t="s">
        <v>882</v>
      </c>
      <c r="M1088" s="8"/>
    </row>
    <row r="1089" spans="3:13" customFormat="1" x14ac:dyDescent="0.25">
      <c r="C1089" s="9" t="s">
        <v>1080</v>
      </c>
      <c r="D1089" s="9" t="s">
        <v>74</v>
      </c>
      <c r="E1089" s="10"/>
      <c r="F1089" s="6">
        <v>190</v>
      </c>
      <c r="G1089" s="6">
        <f t="shared" si="56"/>
        <v>190</v>
      </c>
      <c r="H1089" s="6">
        <v>0</v>
      </c>
      <c r="I1089" s="6">
        <f t="shared" ref="I1089:I1152" si="57">F1089-H1089</f>
        <v>190</v>
      </c>
      <c r="J1089" s="7" t="str">
        <f t="shared" si="55"/>
        <v>DEBE</v>
      </c>
      <c r="M1089" s="8"/>
    </row>
    <row r="1090" spans="3:13" customFormat="1" x14ac:dyDescent="0.25">
      <c r="C1090" s="9" t="s">
        <v>1081</v>
      </c>
      <c r="D1090" s="9" t="s">
        <v>33</v>
      </c>
      <c r="E1090" s="10"/>
      <c r="F1090" s="6">
        <v>100</v>
      </c>
      <c r="G1090" s="6">
        <f t="shared" si="56"/>
        <v>100</v>
      </c>
      <c r="H1090" s="6">
        <v>100</v>
      </c>
      <c r="I1090" s="6">
        <f t="shared" si="57"/>
        <v>0</v>
      </c>
      <c r="J1090" s="7" t="str">
        <f t="shared" si="55"/>
        <v>PAGADO</v>
      </c>
      <c r="M1090" s="8"/>
    </row>
    <row r="1091" spans="3:13" customFormat="1" x14ac:dyDescent="0.25">
      <c r="C1091" s="9" t="s">
        <v>1082</v>
      </c>
      <c r="D1091" s="9" t="s">
        <v>1083</v>
      </c>
      <c r="E1091" s="10"/>
      <c r="F1091" s="6">
        <v>60</v>
      </c>
      <c r="G1091" s="6">
        <f t="shared" si="56"/>
        <v>60</v>
      </c>
      <c r="H1091" s="6">
        <v>60</v>
      </c>
      <c r="I1091" s="6">
        <f t="shared" si="57"/>
        <v>0</v>
      </c>
      <c r="J1091" s="7" t="str">
        <f t="shared" si="55"/>
        <v>PAGADO</v>
      </c>
      <c r="M1091" s="8"/>
    </row>
    <row r="1092" spans="3:13" customFormat="1" x14ac:dyDescent="0.25">
      <c r="C1092" s="9" t="s">
        <v>1084</v>
      </c>
      <c r="D1092" s="9" t="s">
        <v>1083</v>
      </c>
      <c r="E1092" s="10"/>
      <c r="F1092" s="6">
        <v>60</v>
      </c>
      <c r="G1092" s="6">
        <f t="shared" si="56"/>
        <v>60</v>
      </c>
      <c r="H1092" s="6">
        <v>60</v>
      </c>
      <c r="I1092" s="6">
        <f t="shared" si="57"/>
        <v>0</v>
      </c>
      <c r="J1092" s="7" t="str">
        <f t="shared" si="55"/>
        <v>PAGADO</v>
      </c>
      <c r="M1092" s="8"/>
    </row>
    <row r="1093" spans="3:13" customFormat="1" x14ac:dyDescent="0.25">
      <c r="C1093" s="9" t="s">
        <v>1085</v>
      </c>
      <c r="D1093" s="9" t="s">
        <v>793</v>
      </c>
      <c r="E1093" s="10"/>
      <c r="F1093" s="6">
        <v>30</v>
      </c>
      <c r="G1093" s="6">
        <f t="shared" si="56"/>
        <v>30</v>
      </c>
      <c r="H1093" s="6">
        <v>30</v>
      </c>
      <c r="I1093" s="6">
        <f t="shared" si="57"/>
        <v>0</v>
      </c>
      <c r="J1093" s="7" t="str">
        <f t="shared" si="55"/>
        <v>PAGADO</v>
      </c>
      <c r="M1093" s="8"/>
    </row>
    <row r="1094" spans="3:13" customFormat="1" x14ac:dyDescent="0.25">
      <c r="C1094" s="9" t="s">
        <v>949</v>
      </c>
      <c r="D1094" s="9" t="s">
        <v>523</v>
      </c>
      <c r="E1094" s="10"/>
      <c r="F1094" s="6">
        <v>75</v>
      </c>
      <c r="G1094" s="6">
        <f t="shared" si="56"/>
        <v>75</v>
      </c>
      <c r="H1094" s="6">
        <v>75</v>
      </c>
      <c r="I1094" s="6">
        <f t="shared" si="57"/>
        <v>0</v>
      </c>
      <c r="J1094" s="7" t="str">
        <f t="shared" si="55"/>
        <v>PAGADO</v>
      </c>
      <c r="M1094" s="8"/>
    </row>
    <row r="1095" spans="3:13" customFormat="1" x14ac:dyDescent="0.25">
      <c r="C1095" s="9" t="s">
        <v>1086</v>
      </c>
      <c r="D1095" s="9" t="s">
        <v>523</v>
      </c>
      <c r="E1095" s="10"/>
      <c r="F1095" s="6">
        <v>30</v>
      </c>
      <c r="G1095" s="6">
        <f t="shared" si="56"/>
        <v>30</v>
      </c>
      <c r="H1095" s="6">
        <v>30</v>
      </c>
      <c r="I1095" s="6">
        <f t="shared" si="57"/>
        <v>0</v>
      </c>
      <c r="J1095" s="7" t="str">
        <f t="shared" si="55"/>
        <v>PAGADO</v>
      </c>
      <c r="M1095" s="8"/>
    </row>
    <row r="1096" spans="3:13" customFormat="1" x14ac:dyDescent="0.25">
      <c r="C1096" s="9" t="s">
        <v>1087</v>
      </c>
      <c r="D1096" s="9" t="s">
        <v>816</v>
      </c>
      <c r="E1096" s="10"/>
      <c r="F1096" s="6">
        <v>85</v>
      </c>
      <c r="G1096" s="6">
        <f t="shared" si="56"/>
        <v>85</v>
      </c>
      <c r="H1096" s="6">
        <v>85</v>
      </c>
      <c r="I1096" s="26">
        <f t="shared" si="57"/>
        <v>0</v>
      </c>
      <c r="J1096" s="7" t="str">
        <f t="shared" si="55"/>
        <v>PAGADO</v>
      </c>
      <c r="M1096" s="8"/>
    </row>
    <row r="1097" spans="3:13" customFormat="1" x14ac:dyDescent="0.25">
      <c r="C1097" s="9" t="s">
        <v>1088</v>
      </c>
      <c r="D1097" s="9" t="s">
        <v>816</v>
      </c>
      <c r="E1097" s="10"/>
      <c r="F1097" s="6">
        <v>85</v>
      </c>
      <c r="G1097" s="6">
        <f t="shared" si="56"/>
        <v>85</v>
      </c>
      <c r="H1097" s="6">
        <v>85</v>
      </c>
      <c r="I1097" s="26">
        <f t="shared" si="57"/>
        <v>0</v>
      </c>
      <c r="J1097" s="7" t="str">
        <f t="shared" si="55"/>
        <v>PAGADO</v>
      </c>
      <c r="M1097" s="8"/>
    </row>
    <row r="1098" spans="3:13" customFormat="1" x14ac:dyDescent="0.25">
      <c r="C1098" s="9" t="s">
        <v>1089</v>
      </c>
      <c r="D1098" s="9" t="s">
        <v>1090</v>
      </c>
      <c r="E1098" s="10"/>
      <c r="F1098" s="6">
        <v>85</v>
      </c>
      <c r="G1098" s="6">
        <f t="shared" si="56"/>
        <v>85</v>
      </c>
      <c r="H1098" s="6">
        <v>85</v>
      </c>
      <c r="I1098" s="6">
        <f t="shared" si="57"/>
        <v>0</v>
      </c>
      <c r="J1098" s="7" t="str">
        <f t="shared" si="55"/>
        <v>PAGADO</v>
      </c>
      <c r="M1098" s="8"/>
    </row>
    <row r="1099" spans="3:13" customFormat="1" x14ac:dyDescent="0.25">
      <c r="C1099" s="9" t="s">
        <v>1091</v>
      </c>
      <c r="D1099" s="9" t="s">
        <v>1092</v>
      </c>
      <c r="E1099" s="10"/>
      <c r="F1099" s="6">
        <v>57</v>
      </c>
      <c r="G1099" s="6">
        <f t="shared" si="56"/>
        <v>57</v>
      </c>
      <c r="H1099" s="6">
        <v>57</v>
      </c>
      <c r="I1099" s="6">
        <f t="shared" si="57"/>
        <v>0</v>
      </c>
      <c r="J1099" s="7" t="str">
        <f t="shared" si="55"/>
        <v>PAGADO</v>
      </c>
      <c r="M1099" s="8"/>
    </row>
    <row r="1100" spans="3:13" customFormat="1" x14ac:dyDescent="0.25">
      <c r="C1100" s="9" t="s">
        <v>1093</v>
      </c>
      <c r="D1100" s="9" t="s">
        <v>33</v>
      </c>
      <c r="E1100" s="10"/>
      <c r="F1100" s="6">
        <v>80</v>
      </c>
      <c r="G1100" s="6">
        <f t="shared" si="56"/>
        <v>80</v>
      </c>
      <c r="H1100" s="6">
        <v>80</v>
      </c>
      <c r="I1100" s="6">
        <f t="shared" si="57"/>
        <v>0</v>
      </c>
      <c r="J1100" s="7" t="str">
        <f t="shared" si="55"/>
        <v>PAGADO</v>
      </c>
      <c r="M1100" s="8"/>
    </row>
    <row r="1101" spans="3:13" customFormat="1" x14ac:dyDescent="0.25">
      <c r="C1101" s="9" t="s">
        <v>1094</v>
      </c>
      <c r="D1101" s="9" t="s">
        <v>45</v>
      </c>
      <c r="E1101" s="10"/>
      <c r="F1101" s="6">
        <v>100</v>
      </c>
      <c r="G1101" s="6">
        <f t="shared" si="56"/>
        <v>100</v>
      </c>
      <c r="H1101" s="6">
        <v>100</v>
      </c>
      <c r="I1101" s="6">
        <f t="shared" si="57"/>
        <v>0</v>
      </c>
      <c r="J1101" s="7" t="str">
        <f t="shared" ref="J1101:J1164" si="58">IF(I1101&gt;0,"DEBE","PAGADO")</f>
        <v>PAGADO</v>
      </c>
      <c r="M1101" s="8"/>
    </row>
    <row r="1102" spans="3:13" customFormat="1" x14ac:dyDescent="0.25">
      <c r="C1102" s="9" t="s">
        <v>1095</v>
      </c>
      <c r="D1102" s="9" t="s">
        <v>1053</v>
      </c>
      <c r="E1102" s="10"/>
      <c r="F1102" s="6">
        <v>90</v>
      </c>
      <c r="G1102" s="6">
        <f t="shared" si="56"/>
        <v>90</v>
      </c>
      <c r="H1102" s="6">
        <f>50+40</f>
        <v>90</v>
      </c>
      <c r="I1102" s="6">
        <f t="shared" si="57"/>
        <v>0</v>
      </c>
      <c r="J1102" s="7" t="str">
        <f t="shared" si="58"/>
        <v>PAGADO</v>
      </c>
      <c r="M1102" s="8"/>
    </row>
    <row r="1103" spans="3:13" customFormat="1" x14ac:dyDescent="0.25">
      <c r="C1103" s="9" t="s">
        <v>1096</v>
      </c>
      <c r="D1103" s="9" t="s">
        <v>711</v>
      </c>
      <c r="E1103" s="10"/>
      <c r="F1103" s="6">
        <v>220</v>
      </c>
      <c r="G1103" s="6">
        <f t="shared" si="56"/>
        <v>220</v>
      </c>
      <c r="H1103" s="6">
        <v>220</v>
      </c>
      <c r="I1103" s="6">
        <f t="shared" si="57"/>
        <v>0</v>
      </c>
      <c r="J1103" s="7" t="str">
        <f t="shared" si="58"/>
        <v>PAGADO</v>
      </c>
      <c r="M1103" s="8"/>
    </row>
    <row r="1104" spans="3:13" customFormat="1" x14ac:dyDescent="0.25">
      <c r="C1104" s="9" t="s">
        <v>1097</v>
      </c>
      <c r="D1104" s="9" t="s">
        <v>33</v>
      </c>
      <c r="E1104" s="10"/>
      <c r="F1104" s="6">
        <v>100</v>
      </c>
      <c r="G1104" s="6">
        <f t="shared" si="56"/>
        <v>100</v>
      </c>
      <c r="H1104" s="6">
        <v>100</v>
      </c>
      <c r="I1104" s="6">
        <f t="shared" si="57"/>
        <v>0</v>
      </c>
      <c r="J1104" s="7" t="str">
        <f t="shared" si="58"/>
        <v>PAGADO</v>
      </c>
      <c r="M1104" s="8"/>
    </row>
    <row r="1105" spans="3:13" customFormat="1" x14ac:dyDescent="0.25">
      <c r="C1105" s="9" t="s">
        <v>1098</v>
      </c>
      <c r="D1105" s="9" t="s">
        <v>711</v>
      </c>
      <c r="E1105" s="10"/>
      <c r="F1105" s="6">
        <v>60</v>
      </c>
      <c r="G1105" s="6">
        <f t="shared" si="56"/>
        <v>60</v>
      </c>
      <c r="H1105" s="6">
        <v>60</v>
      </c>
      <c r="I1105" s="6">
        <f t="shared" si="57"/>
        <v>0</v>
      </c>
      <c r="J1105" s="7" t="str">
        <f t="shared" si="58"/>
        <v>PAGADO</v>
      </c>
      <c r="M1105" s="8"/>
    </row>
    <row r="1106" spans="3:13" customFormat="1" x14ac:dyDescent="0.25">
      <c r="C1106" s="9" t="s">
        <v>1099</v>
      </c>
      <c r="D1106" s="9" t="s">
        <v>597</v>
      </c>
      <c r="E1106" s="10"/>
      <c r="F1106" s="6">
        <v>20</v>
      </c>
      <c r="G1106" s="6">
        <f t="shared" si="56"/>
        <v>20</v>
      </c>
      <c r="H1106" s="6">
        <v>20</v>
      </c>
      <c r="I1106" s="6">
        <f t="shared" si="57"/>
        <v>0</v>
      </c>
      <c r="J1106" s="7" t="str">
        <f t="shared" si="58"/>
        <v>PAGADO</v>
      </c>
      <c r="M1106" s="8"/>
    </row>
    <row r="1107" spans="3:13" customFormat="1" x14ac:dyDescent="0.25">
      <c r="C1107" s="9" t="s">
        <v>1100</v>
      </c>
      <c r="D1107" s="9" t="s">
        <v>523</v>
      </c>
      <c r="E1107" s="10"/>
      <c r="F1107" s="6">
        <v>100</v>
      </c>
      <c r="G1107" s="6">
        <f t="shared" si="56"/>
        <v>100</v>
      </c>
      <c r="H1107" s="6">
        <v>100</v>
      </c>
      <c r="I1107" s="6">
        <f t="shared" si="57"/>
        <v>0</v>
      </c>
      <c r="J1107" s="7" t="str">
        <f t="shared" si="58"/>
        <v>PAGADO</v>
      </c>
      <c r="M1107" s="8"/>
    </row>
    <row r="1108" spans="3:13" customFormat="1" x14ac:dyDescent="0.25">
      <c r="C1108" s="9" t="s">
        <v>1101</v>
      </c>
      <c r="D1108" s="9" t="s">
        <v>202</v>
      </c>
      <c r="E1108" s="10"/>
      <c r="F1108" s="6">
        <f>75*4</f>
        <v>300</v>
      </c>
      <c r="G1108" s="6">
        <f t="shared" si="56"/>
        <v>300</v>
      </c>
      <c r="H1108" s="6">
        <v>300</v>
      </c>
      <c r="I1108" s="6">
        <f t="shared" si="57"/>
        <v>0</v>
      </c>
      <c r="J1108" s="7" t="str">
        <f t="shared" si="58"/>
        <v>PAGADO</v>
      </c>
      <c r="M1108" s="8"/>
    </row>
    <row r="1109" spans="3:13" customFormat="1" x14ac:dyDescent="0.25">
      <c r="C1109" s="9" t="s">
        <v>1102</v>
      </c>
      <c r="D1109" s="9" t="s">
        <v>941</v>
      </c>
      <c r="E1109" s="10"/>
      <c r="F1109" s="6">
        <v>30</v>
      </c>
      <c r="G1109" s="6">
        <f t="shared" si="56"/>
        <v>30</v>
      </c>
      <c r="H1109" s="6">
        <v>30</v>
      </c>
      <c r="I1109" s="6">
        <f t="shared" si="57"/>
        <v>0</v>
      </c>
      <c r="J1109" s="7" t="str">
        <f t="shared" si="58"/>
        <v>PAGADO</v>
      </c>
      <c r="M1109" s="8"/>
    </row>
    <row r="1110" spans="3:13" customFormat="1" x14ac:dyDescent="0.25">
      <c r="C1110" s="9" t="s">
        <v>1103</v>
      </c>
      <c r="D1110" s="9" t="s">
        <v>941</v>
      </c>
      <c r="E1110" s="10"/>
      <c r="F1110" s="6">
        <v>5</v>
      </c>
      <c r="G1110" s="6">
        <f t="shared" si="56"/>
        <v>5</v>
      </c>
      <c r="H1110" s="6">
        <v>5</v>
      </c>
      <c r="I1110" s="6">
        <f t="shared" si="57"/>
        <v>0</v>
      </c>
      <c r="J1110" s="7" t="str">
        <f t="shared" si="58"/>
        <v>PAGADO</v>
      </c>
      <c r="M1110" s="8"/>
    </row>
    <row r="1111" spans="3:13" customFormat="1" x14ac:dyDescent="0.25">
      <c r="C1111" s="9" t="s">
        <v>1104</v>
      </c>
      <c r="D1111" s="9" t="s">
        <v>941</v>
      </c>
      <c r="E1111" s="10"/>
      <c r="F1111" s="6">
        <v>35</v>
      </c>
      <c r="G1111" s="6">
        <f t="shared" si="56"/>
        <v>35</v>
      </c>
      <c r="H1111" s="6">
        <v>35</v>
      </c>
      <c r="I1111" s="6">
        <f t="shared" si="57"/>
        <v>0</v>
      </c>
      <c r="J1111" s="7" t="str">
        <f t="shared" si="58"/>
        <v>PAGADO</v>
      </c>
      <c r="M1111" s="8"/>
    </row>
    <row r="1112" spans="3:13" customFormat="1" x14ac:dyDescent="0.25">
      <c r="C1112" s="9" t="s">
        <v>1105</v>
      </c>
      <c r="D1112" t="s">
        <v>16</v>
      </c>
      <c r="E1112" s="10"/>
      <c r="F1112" s="6">
        <v>60</v>
      </c>
      <c r="G1112" s="6">
        <f t="shared" si="56"/>
        <v>60</v>
      </c>
      <c r="H1112" s="6">
        <v>60</v>
      </c>
      <c r="I1112" s="6">
        <f t="shared" si="57"/>
        <v>0</v>
      </c>
      <c r="J1112" s="7" t="str">
        <f t="shared" si="58"/>
        <v>PAGADO</v>
      </c>
      <c r="M1112" s="8"/>
    </row>
    <row r="1113" spans="3:13" customFormat="1" x14ac:dyDescent="0.25">
      <c r="C1113" s="9" t="s">
        <v>1106</v>
      </c>
      <c r="D1113" t="s">
        <v>16</v>
      </c>
      <c r="E1113" s="10"/>
      <c r="F1113" s="6">
        <v>25</v>
      </c>
      <c r="G1113" s="6">
        <f t="shared" si="56"/>
        <v>25</v>
      </c>
      <c r="H1113" s="6">
        <v>25</v>
      </c>
      <c r="I1113" s="6">
        <f t="shared" si="57"/>
        <v>0</v>
      </c>
      <c r="J1113" s="7" t="str">
        <f t="shared" si="58"/>
        <v>PAGADO</v>
      </c>
      <c r="M1113" s="8"/>
    </row>
    <row r="1114" spans="3:13" customFormat="1" x14ac:dyDescent="0.25">
      <c r="C1114" s="9" t="s">
        <v>1107</v>
      </c>
      <c r="D1114" t="s">
        <v>16</v>
      </c>
      <c r="E1114" s="10"/>
      <c r="F1114" s="6">
        <v>15</v>
      </c>
      <c r="G1114" s="6">
        <f t="shared" si="56"/>
        <v>15</v>
      </c>
      <c r="H1114" s="6">
        <v>15</v>
      </c>
      <c r="I1114" s="6">
        <f t="shared" si="57"/>
        <v>0</v>
      </c>
      <c r="J1114" s="7" t="str">
        <f t="shared" si="58"/>
        <v>PAGADO</v>
      </c>
      <c r="M1114" s="8"/>
    </row>
    <row r="1115" spans="3:13" customFormat="1" x14ac:dyDescent="0.25">
      <c r="C1115" s="9" t="s">
        <v>1108</v>
      </c>
      <c r="D1115" s="9" t="s">
        <v>816</v>
      </c>
      <c r="E1115" s="10"/>
      <c r="F1115" s="6">
        <v>65</v>
      </c>
      <c r="G1115" s="6">
        <f t="shared" si="56"/>
        <v>65</v>
      </c>
      <c r="H1115" s="6">
        <v>65</v>
      </c>
      <c r="I1115" s="26">
        <f t="shared" si="57"/>
        <v>0</v>
      </c>
      <c r="J1115" s="7" t="str">
        <f t="shared" si="58"/>
        <v>PAGADO</v>
      </c>
      <c r="M1115" s="8"/>
    </row>
    <row r="1116" spans="3:13" customFormat="1" x14ac:dyDescent="0.25">
      <c r="C1116" s="9" t="s">
        <v>1109</v>
      </c>
      <c r="D1116" t="s">
        <v>783</v>
      </c>
      <c r="E1116" s="10"/>
      <c r="F1116" s="6">
        <v>20</v>
      </c>
      <c r="G1116" s="6">
        <f t="shared" si="56"/>
        <v>20</v>
      </c>
      <c r="H1116" s="6">
        <v>20</v>
      </c>
      <c r="I1116" s="6">
        <f t="shared" si="57"/>
        <v>0</v>
      </c>
      <c r="J1116" s="7" t="str">
        <f t="shared" si="58"/>
        <v>PAGADO</v>
      </c>
      <c r="M1116" s="8"/>
    </row>
    <row r="1117" spans="3:13" customFormat="1" x14ac:dyDescent="0.25">
      <c r="C1117" s="9" t="s">
        <v>1110</v>
      </c>
      <c r="D1117" s="9" t="s">
        <v>202</v>
      </c>
      <c r="E1117" s="10"/>
      <c r="F1117" s="6">
        <v>70</v>
      </c>
      <c r="G1117" s="6">
        <f t="shared" si="56"/>
        <v>70</v>
      </c>
      <c r="H1117" s="6">
        <v>70</v>
      </c>
      <c r="I1117" s="6">
        <f t="shared" si="57"/>
        <v>0</v>
      </c>
      <c r="J1117" s="7" t="str">
        <f t="shared" si="58"/>
        <v>PAGADO</v>
      </c>
      <c r="M1117" s="8"/>
    </row>
    <row r="1118" spans="3:13" customFormat="1" x14ac:dyDescent="0.25">
      <c r="C1118" s="9" t="s">
        <v>1111</v>
      </c>
      <c r="D1118" s="9" t="s">
        <v>740</v>
      </c>
      <c r="E1118" s="10"/>
      <c r="F1118" s="6">
        <v>40</v>
      </c>
      <c r="G1118" s="6">
        <f t="shared" si="56"/>
        <v>40</v>
      </c>
      <c r="H1118" s="6">
        <v>40</v>
      </c>
      <c r="I1118" s="6">
        <f t="shared" si="57"/>
        <v>0</v>
      </c>
      <c r="J1118" s="7" t="str">
        <f t="shared" si="58"/>
        <v>PAGADO</v>
      </c>
      <c r="M1118" s="8"/>
    </row>
    <row r="1119" spans="3:13" customFormat="1" x14ac:dyDescent="0.25">
      <c r="C1119" s="9" t="s">
        <v>1112</v>
      </c>
      <c r="D1119" s="9" t="s">
        <v>1113</v>
      </c>
      <c r="E1119" s="10"/>
      <c r="F1119" s="6">
        <v>5</v>
      </c>
      <c r="G1119" s="6">
        <f t="shared" si="56"/>
        <v>5</v>
      </c>
      <c r="H1119" s="6">
        <v>5</v>
      </c>
      <c r="I1119" s="6">
        <f t="shared" si="57"/>
        <v>0</v>
      </c>
      <c r="J1119" s="7" t="str">
        <f t="shared" si="58"/>
        <v>PAGADO</v>
      </c>
      <c r="M1119" s="8"/>
    </row>
    <row r="1120" spans="3:13" customFormat="1" x14ac:dyDescent="0.25">
      <c r="C1120" s="9" t="s">
        <v>1114</v>
      </c>
      <c r="D1120" s="9" t="s">
        <v>1113</v>
      </c>
      <c r="E1120" s="10"/>
      <c r="F1120" s="6">
        <v>5</v>
      </c>
      <c r="G1120" s="6">
        <f t="shared" si="56"/>
        <v>5</v>
      </c>
      <c r="H1120" s="6">
        <v>5</v>
      </c>
      <c r="I1120" s="6">
        <f t="shared" si="57"/>
        <v>0</v>
      </c>
      <c r="J1120" s="7" t="str">
        <f t="shared" si="58"/>
        <v>PAGADO</v>
      </c>
      <c r="M1120" s="8"/>
    </row>
    <row r="1121" spans="3:13" customFormat="1" x14ac:dyDescent="0.25">
      <c r="C1121" s="9" t="s">
        <v>1115</v>
      </c>
      <c r="D1121" s="9" t="s">
        <v>1113</v>
      </c>
      <c r="E1121" s="10"/>
      <c r="F1121" s="6">
        <v>5</v>
      </c>
      <c r="G1121" s="6">
        <f t="shared" si="56"/>
        <v>5</v>
      </c>
      <c r="H1121" s="6">
        <v>5</v>
      </c>
      <c r="I1121" s="6">
        <f t="shared" si="57"/>
        <v>0</v>
      </c>
      <c r="J1121" s="7" t="str">
        <f t="shared" si="58"/>
        <v>PAGADO</v>
      </c>
      <c r="M1121" s="8"/>
    </row>
    <row r="1122" spans="3:13" customFormat="1" x14ac:dyDescent="0.25">
      <c r="C1122" s="9" t="s">
        <v>1116</v>
      </c>
      <c r="D1122" s="9" t="s">
        <v>1117</v>
      </c>
      <c r="E1122" s="10"/>
      <c r="F1122" s="6">
        <v>15</v>
      </c>
      <c r="G1122" s="6">
        <f t="shared" si="56"/>
        <v>15</v>
      </c>
      <c r="H1122" s="6">
        <v>15</v>
      </c>
      <c r="I1122" s="6">
        <f t="shared" si="57"/>
        <v>0</v>
      </c>
      <c r="J1122" s="7" t="str">
        <f t="shared" si="58"/>
        <v>PAGADO</v>
      </c>
      <c r="M1122" s="8"/>
    </row>
    <row r="1123" spans="3:13" customFormat="1" x14ac:dyDescent="0.25">
      <c r="C1123" s="9" t="s">
        <v>1118</v>
      </c>
      <c r="D1123" s="9" t="s">
        <v>1043</v>
      </c>
      <c r="E1123" s="10"/>
      <c r="F1123" s="6">
        <v>3</v>
      </c>
      <c r="G1123" s="6">
        <f t="shared" si="56"/>
        <v>3</v>
      </c>
      <c r="H1123" s="6">
        <v>3</v>
      </c>
      <c r="I1123" s="6">
        <f t="shared" si="57"/>
        <v>0</v>
      </c>
      <c r="J1123" s="7" t="str">
        <f t="shared" si="58"/>
        <v>PAGADO</v>
      </c>
      <c r="M1123" s="8"/>
    </row>
    <row r="1124" spans="3:13" customFormat="1" x14ac:dyDescent="0.25">
      <c r="C1124" s="9" t="s">
        <v>1119</v>
      </c>
      <c r="D1124" s="9" t="s">
        <v>1043</v>
      </c>
      <c r="E1124" s="10"/>
      <c r="F1124" s="6">
        <v>25</v>
      </c>
      <c r="G1124" s="6">
        <f t="shared" si="56"/>
        <v>25</v>
      </c>
      <c r="H1124" s="6">
        <v>25</v>
      </c>
      <c r="I1124" s="6">
        <f t="shared" si="57"/>
        <v>0</v>
      </c>
      <c r="J1124" s="7" t="str">
        <f t="shared" si="58"/>
        <v>PAGADO</v>
      </c>
      <c r="M1124" s="8"/>
    </row>
    <row r="1125" spans="3:13" customFormat="1" x14ac:dyDescent="0.25">
      <c r="C1125" s="9" t="s">
        <v>1114</v>
      </c>
      <c r="D1125" s="9" t="s">
        <v>1043</v>
      </c>
      <c r="E1125" s="10"/>
      <c r="F1125" s="6">
        <v>5</v>
      </c>
      <c r="G1125" s="6">
        <f t="shared" si="56"/>
        <v>5</v>
      </c>
      <c r="H1125" s="6">
        <v>5</v>
      </c>
      <c r="I1125" s="6">
        <f t="shared" si="57"/>
        <v>0</v>
      </c>
      <c r="J1125" s="7" t="str">
        <f t="shared" si="58"/>
        <v>PAGADO</v>
      </c>
      <c r="M1125" s="8"/>
    </row>
    <row r="1126" spans="3:13" customFormat="1" x14ac:dyDescent="0.25">
      <c r="C1126" s="9" t="s">
        <v>1120</v>
      </c>
      <c r="D1126" s="9" t="s">
        <v>1043</v>
      </c>
      <c r="E1126" s="10"/>
      <c r="F1126" s="6">
        <v>130</v>
      </c>
      <c r="G1126" s="6">
        <f t="shared" si="56"/>
        <v>130</v>
      </c>
      <c r="H1126" s="6">
        <f>7+50+40+33</f>
        <v>130</v>
      </c>
      <c r="I1126" s="6">
        <f t="shared" si="57"/>
        <v>0</v>
      </c>
      <c r="J1126" s="7" t="str">
        <f t="shared" si="58"/>
        <v>PAGADO</v>
      </c>
      <c r="K1126" s="9"/>
      <c r="M1126" s="8"/>
    </row>
    <row r="1127" spans="3:13" customFormat="1" x14ac:dyDescent="0.25">
      <c r="C1127" s="9" t="s">
        <v>1121</v>
      </c>
      <c r="D1127" s="9" t="s">
        <v>377</v>
      </c>
      <c r="E1127" s="10"/>
      <c r="F1127" s="6">
        <v>40</v>
      </c>
      <c r="G1127" s="6">
        <f t="shared" si="56"/>
        <v>40</v>
      </c>
      <c r="H1127" s="6">
        <v>40</v>
      </c>
      <c r="I1127" s="6">
        <f t="shared" si="57"/>
        <v>0</v>
      </c>
      <c r="J1127" s="7" t="str">
        <f t="shared" si="58"/>
        <v>PAGADO</v>
      </c>
      <c r="M1127" s="8"/>
    </row>
    <row r="1128" spans="3:13" customFormat="1" x14ac:dyDescent="0.25">
      <c r="C1128" s="9" t="s">
        <v>148</v>
      </c>
      <c r="D1128" s="9" t="s">
        <v>377</v>
      </c>
      <c r="E1128" s="10"/>
      <c r="F1128" s="6">
        <v>25</v>
      </c>
      <c r="G1128" s="6">
        <f t="shared" si="56"/>
        <v>25</v>
      </c>
      <c r="H1128" s="6">
        <v>25</v>
      </c>
      <c r="I1128" s="6">
        <f t="shared" si="57"/>
        <v>0</v>
      </c>
      <c r="J1128" s="7" t="str">
        <f t="shared" si="58"/>
        <v>PAGADO</v>
      </c>
      <c r="M1128" s="8"/>
    </row>
    <row r="1129" spans="3:13" customFormat="1" x14ac:dyDescent="0.25">
      <c r="C1129" s="9" t="s">
        <v>1122</v>
      </c>
      <c r="D1129" s="9" t="s">
        <v>377</v>
      </c>
      <c r="E1129" s="10"/>
      <c r="F1129" s="6">
        <v>10</v>
      </c>
      <c r="G1129" s="6">
        <f t="shared" si="56"/>
        <v>10</v>
      </c>
      <c r="H1129" s="6">
        <v>10</v>
      </c>
      <c r="I1129" s="6">
        <f t="shared" si="57"/>
        <v>0</v>
      </c>
      <c r="J1129" s="7" t="str">
        <f t="shared" si="58"/>
        <v>PAGADO</v>
      </c>
      <c r="M1129" s="8"/>
    </row>
    <row r="1130" spans="3:13" customFormat="1" x14ac:dyDescent="0.25">
      <c r="C1130" s="9" t="s">
        <v>1123</v>
      </c>
      <c r="D1130" s="9" t="s">
        <v>377</v>
      </c>
      <c r="E1130" s="10"/>
      <c r="F1130" s="6">
        <v>180</v>
      </c>
      <c r="G1130" s="6">
        <f t="shared" si="56"/>
        <v>180</v>
      </c>
      <c r="H1130" s="6">
        <v>180</v>
      </c>
      <c r="I1130" s="6">
        <f t="shared" si="57"/>
        <v>0</v>
      </c>
      <c r="J1130" s="7" t="str">
        <f t="shared" si="58"/>
        <v>PAGADO</v>
      </c>
      <c r="M1130" s="8"/>
    </row>
    <row r="1131" spans="3:13" customFormat="1" x14ac:dyDescent="0.25">
      <c r="C1131" s="9" t="s">
        <v>1124</v>
      </c>
      <c r="D1131" s="9" t="s">
        <v>238</v>
      </c>
      <c r="E1131" s="10"/>
      <c r="F1131" s="26">
        <v>50</v>
      </c>
      <c r="G1131" s="26">
        <f t="shared" ref="G1131:G1194" si="59">F1131-E1131</f>
        <v>50</v>
      </c>
      <c r="H1131" s="26">
        <v>50</v>
      </c>
      <c r="I1131" s="26">
        <f t="shared" si="57"/>
        <v>0</v>
      </c>
      <c r="J1131" s="7" t="str">
        <f t="shared" si="58"/>
        <v>PAGADO</v>
      </c>
      <c r="M1131" s="8"/>
    </row>
    <row r="1132" spans="3:13" customFormat="1" x14ac:dyDescent="0.25">
      <c r="C1132" s="9" t="s">
        <v>1125</v>
      </c>
      <c r="D1132" t="s">
        <v>481</v>
      </c>
      <c r="E1132" s="10"/>
      <c r="F1132" s="6">
        <v>25</v>
      </c>
      <c r="G1132" s="6">
        <f t="shared" si="59"/>
        <v>25</v>
      </c>
      <c r="H1132" s="6">
        <v>25</v>
      </c>
      <c r="I1132" s="6">
        <f t="shared" si="57"/>
        <v>0</v>
      </c>
      <c r="J1132" s="7" t="str">
        <f t="shared" si="58"/>
        <v>PAGADO</v>
      </c>
      <c r="M1132" s="8"/>
    </row>
    <row r="1133" spans="3:13" customFormat="1" x14ac:dyDescent="0.25">
      <c r="C1133" s="9" t="s">
        <v>1126</v>
      </c>
      <c r="D1133" s="9" t="s">
        <v>70</v>
      </c>
      <c r="E1133" s="10"/>
      <c r="F1133" s="6">
        <v>80</v>
      </c>
      <c r="G1133" s="6">
        <f t="shared" si="59"/>
        <v>80</v>
      </c>
      <c r="H1133" s="6">
        <v>80</v>
      </c>
      <c r="I1133" s="6">
        <f t="shared" si="57"/>
        <v>0</v>
      </c>
      <c r="J1133" s="7" t="str">
        <f t="shared" si="58"/>
        <v>PAGADO</v>
      </c>
      <c r="M1133" s="8"/>
    </row>
    <row r="1134" spans="3:13" customFormat="1" x14ac:dyDescent="0.25">
      <c r="C1134" s="9" t="s">
        <v>1127</v>
      </c>
      <c r="D1134" s="9" t="s">
        <v>809</v>
      </c>
      <c r="E1134" s="10"/>
      <c r="F1134" s="6">
        <v>10</v>
      </c>
      <c r="G1134" s="6">
        <f t="shared" si="59"/>
        <v>10</v>
      </c>
      <c r="H1134" s="6">
        <v>10</v>
      </c>
      <c r="I1134" s="6">
        <f t="shared" si="57"/>
        <v>0</v>
      </c>
      <c r="J1134" s="7" t="str">
        <f t="shared" si="58"/>
        <v>PAGADO</v>
      </c>
      <c r="M1134" s="8"/>
    </row>
    <row r="1135" spans="3:13" customFormat="1" x14ac:dyDescent="0.25">
      <c r="C1135" s="9" t="s">
        <v>1128</v>
      </c>
      <c r="D1135" s="9" t="s">
        <v>809</v>
      </c>
      <c r="E1135" s="10"/>
      <c r="F1135" s="6">
        <v>5</v>
      </c>
      <c r="G1135" s="6">
        <f t="shared" si="59"/>
        <v>5</v>
      </c>
      <c r="H1135" s="6">
        <v>5</v>
      </c>
      <c r="I1135" s="6">
        <f t="shared" si="57"/>
        <v>0</v>
      </c>
      <c r="J1135" s="7" t="str">
        <f t="shared" si="58"/>
        <v>PAGADO</v>
      </c>
      <c r="M1135" s="8"/>
    </row>
    <row r="1136" spans="3:13" customFormat="1" x14ac:dyDescent="0.25">
      <c r="C1136" s="9" t="s">
        <v>1129</v>
      </c>
      <c r="D1136" s="9" t="s">
        <v>809</v>
      </c>
      <c r="E1136" s="10"/>
      <c r="F1136" s="6">
        <v>30</v>
      </c>
      <c r="G1136" s="6">
        <f t="shared" si="59"/>
        <v>30</v>
      </c>
      <c r="H1136" s="6">
        <v>30</v>
      </c>
      <c r="I1136" s="6">
        <f t="shared" si="57"/>
        <v>0</v>
      </c>
      <c r="J1136" s="7" t="str">
        <f t="shared" si="58"/>
        <v>PAGADO</v>
      </c>
      <c r="M1136" s="8"/>
    </row>
    <row r="1137" spans="3:13" customFormat="1" x14ac:dyDescent="0.25">
      <c r="C1137" s="9" t="s">
        <v>1130</v>
      </c>
      <c r="D1137" s="9" t="s">
        <v>809</v>
      </c>
      <c r="E1137" s="10"/>
      <c r="F1137" s="6">
        <v>20</v>
      </c>
      <c r="G1137" s="6">
        <f t="shared" si="59"/>
        <v>20</v>
      </c>
      <c r="H1137" s="6">
        <v>20</v>
      </c>
      <c r="I1137" s="6">
        <f t="shared" si="57"/>
        <v>0</v>
      </c>
      <c r="J1137" s="7" t="str">
        <f t="shared" si="58"/>
        <v>PAGADO</v>
      </c>
      <c r="M1137" s="8"/>
    </row>
    <row r="1138" spans="3:13" customFormat="1" x14ac:dyDescent="0.25">
      <c r="C1138" s="9" t="s">
        <v>1131</v>
      </c>
      <c r="D1138" s="9" t="s">
        <v>809</v>
      </c>
      <c r="E1138" s="10"/>
      <c r="F1138" s="6">
        <v>20</v>
      </c>
      <c r="G1138" s="6">
        <f t="shared" si="59"/>
        <v>20</v>
      </c>
      <c r="H1138" s="6">
        <v>20</v>
      </c>
      <c r="I1138" s="6">
        <f t="shared" si="57"/>
        <v>0</v>
      </c>
      <c r="J1138" s="7" t="str">
        <f t="shared" si="58"/>
        <v>PAGADO</v>
      </c>
      <c r="M1138" s="8"/>
    </row>
    <row r="1139" spans="3:13" customFormat="1" x14ac:dyDescent="0.25">
      <c r="C1139" s="9" t="s">
        <v>1132</v>
      </c>
      <c r="D1139" s="9" t="s">
        <v>809</v>
      </c>
      <c r="E1139" s="10"/>
      <c r="F1139" s="6">
        <v>20</v>
      </c>
      <c r="G1139" s="6">
        <f t="shared" si="59"/>
        <v>20</v>
      </c>
      <c r="H1139" s="6">
        <v>20</v>
      </c>
      <c r="I1139" s="6">
        <f t="shared" si="57"/>
        <v>0</v>
      </c>
      <c r="J1139" s="7" t="str">
        <f t="shared" si="58"/>
        <v>PAGADO</v>
      </c>
      <c r="M1139" s="8"/>
    </row>
    <row r="1140" spans="3:13" customFormat="1" x14ac:dyDescent="0.25">
      <c r="C1140" s="9" t="s">
        <v>1133</v>
      </c>
      <c r="D1140" s="9" t="s">
        <v>809</v>
      </c>
      <c r="E1140" s="10"/>
      <c r="F1140" s="6">
        <v>20</v>
      </c>
      <c r="G1140" s="6">
        <f t="shared" si="59"/>
        <v>20</v>
      </c>
      <c r="H1140" s="6">
        <v>20</v>
      </c>
      <c r="I1140" s="6">
        <f t="shared" si="57"/>
        <v>0</v>
      </c>
      <c r="J1140" s="7" t="str">
        <f t="shared" si="58"/>
        <v>PAGADO</v>
      </c>
      <c r="M1140" s="8"/>
    </row>
    <row r="1141" spans="3:13" customFormat="1" x14ac:dyDescent="0.25">
      <c r="C1141" s="9" t="s">
        <v>837</v>
      </c>
      <c r="D1141" s="9" t="s">
        <v>809</v>
      </c>
      <c r="E1141" s="10"/>
      <c r="F1141" s="6">
        <v>140</v>
      </c>
      <c r="G1141" s="6">
        <f t="shared" si="59"/>
        <v>140</v>
      </c>
      <c r="H1141" s="6">
        <v>140</v>
      </c>
      <c r="I1141" s="6">
        <f t="shared" si="57"/>
        <v>0</v>
      </c>
      <c r="J1141" s="7" t="str">
        <f t="shared" si="58"/>
        <v>PAGADO</v>
      </c>
      <c r="K1141" s="9"/>
      <c r="M1141" s="8"/>
    </row>
    <row r="1142" spans="3:13" customFormat="1" x14ac:dyDescent="0.25">
      <c r="C1142" s="9" t="s">
        <v>1134</v>
      </c>
      <c r="D1142" s="9" t="s">
        <v>809</v>
      </c>
      <c r="E1142" s="10"/>
      <c r="F1142" s="6">
        <v>150</v>
      </c>
      <c r="G1142" s="6">
        <f t="shared" si="59"/>
        <v>150</v>
      </c>
      <c r="H1142" s="6">
        <v>150</v>
      </c>
      <c r="I1142" s="6">
        <f t="shared" si="57"/>
        <v>0</v>
      </c>
      <c r="J1142" s="7" t="str">
        <f t="shared" si="58"/>
        <v>PAGADO</v>
      </c>
      <c r="K1142" s="9"/>
      <c r="M1142" s="8"/>
    </row>
    <row r="1143" spans="3:13" customFormat="1" x14ac:dyDescent="0.25">
      <c r="C1143" s="9" t="s">
        <v>1135</v>
      </c>
      <c r="D1143" s="9" t="s">
        <v>809</v>
      </c>
      <c r="E1143" s="10"/>
      <c r="F1143" s="6">
        <v>60</v>
      </c>
      <c r="G1143" s="6">
        <f t="shared" si="59"/>
        <v>60</v>
      </c>
      <c r="H1143" s="6">
        <v>60</v>
      </c>
      <c r="I1143" s="6">
        <f t="shared" si="57"/>
        <v>0</v>
      </c>
      <c r="J1143" s="7" t="str">
        <f t="shared" si="58"/>
        <v>PAGADO</v>
      </c>
      <c r="K1143" s="9"/>
      <c r="M1143" s="8"/>
    </row>
    <row r="1144" spans="3:13" customFormat="1" x14ac:dyDescent="0.25">
      <c r="C1144" s="9" t="s">
        <v>1136</v>
      </c>
      <c r="D1144" s="9" t="s">
        <v>809</v>
      </c>
      <c r="E1144" s="10"/>
      <c r="F1144" s="6">
        <v>180</v>
      </c>
      <c r="G1144" s="6">
        <f t="shared" si="59"/>
        <v>180</v>
      </c>
      <c r="H1144" s="6">
        <v>180</v>
      </c>
      <c r="I1144" s="6">
        <f t="shared" si="57"/>
        <v>0</v>
      </c>
      <c r="J1144" s="7" t="str">
        <f t="shared" si="58"/>
        <v>PAGADO</v>
      </c>
      <c r="K1144" s="9"/>
      <c r="M1144" s="8"/>
    </row>
    <row r="1145" spans="3:13" customFormat="1" x14ac:dyDescent="0.25">
      <c r="C1145" s="9" t="s">
        <v>1137</v>
      </c>
      <c r="D1145" s="9" t="s">
        <v>809</v>
      </c>
      <c r="E1145" s="10"/>
      <c r="F1145" s="6">
        <v>230</v>
      </c>
      <c r="G1145" s="6">
        <f t="shared" si="59"/>
        <v>230</v>
      </c>
      <c r="H1145" s="24">
        <v>230</v>
      </c>
      <c r="I1145" s="6">
        <f t="shared" si="57"/>
        <v>0</v>
      </c>
      <c r="J1145" s="34" t="str">
        <f t="shared" si="58"/>
        <v>PAGADO</v>
      </c>
      <c r="K1145" s="9"/>
      <c r="M1145" s="8"/>
    </row>
    <row r="1146" spans="3:13" customFormat="1" x14ac:dyDescent="0.25">
      <c r="C1146" s="9" t="s">
        <v>1138</v>
      </c>
      <c r="D1146" s="9" t="s">
        <v>809</v>
      </c>
      <c r="E1146" s="10"/>
      <c r="F1146" s="6">
        <v>350</v>
      </c>
      <c r="G1146" s="6">
        <f t="shared" si="59"/>
        <v>350</v>
      </c>
      <c r="H1146" s="24">
        <v>350</v>
      </c>
      <c r="I1146" s="6">
        <f t="shared" si="57"/>
        <v>0</v>
      </c>
      <c r="J1146" s="34" t="str">
        <f t="shared" si="58"/>
        <v>PAGADO</v>
      </c>
      <c r="K1146" s="9"/>
      <c r="M1146" s="8"/>
    </row>
    <row r="1147" spans="3:13" customFormat="1" x14ac:dyDescent="0.25">
      <c r="C1147" s="9" t="s">
        <v>1139</v>
      </c>
      <c r="D1147" s="9" t="s">
        <v>809</v>
      </c>
      <c r="E1147" s="10"/>
      <c r="F1147" s="6">
        <v>200</v>
      </c>
      <c r="G1147" s="6">
        <f t="shared" si="59"/>
        <v>200</v>
      </c>
      <c r="H1147" s="24">
        <v>200</v>
      </c>
      <c r="I1147" s="6">
        <f t="shared" si="57"/>
        <v>0</v>
      </c>
      <c r="J1147" s="34" t="str">
        <f t="shared" si="58"/>
        <v>PAGADO</v>
      </c>
      <c r="K1147" s="9"/>
      <c r="M1147" s="8"/>
    </row>
    <row r="1148" spans="3:13" customFormat="1" x14ac:dyDescent="0.25">
      <c r="C1148" s="9" t="s">
        <v>1140</v>
      </c>
      <c r="D1148" s="9" t="s">
        <v>809</v>
      </c>
      <c r="E1148" s="10"/>
      <c r="F1148" s="6">
        <v>200</v>
      </c>
      <c r="G1148" s="6">
        <f t="shared" si="59"/>
        <v>200</v>
      </c>
      <c r="H1148" s="24">
        <v>200</v>
      </c>
      <c r="I1148" s="6">
        <f t="shared" si="57"/>
        <v>0</v>
      </c>
      <c r="J1148" s="34" t="str">
        <f t="shared" si="58"/>
        <v>PAGADO</v>
      </c>
      <c r="K1148" s="9"/>
      <c r="M1148" s="8"/>
    </row>
    <row r="1149" spans="3:13" customFormat="1" x14ac:dyDescent="0.25">
      <c r="C1149" s="9" t="s">
        <v>1141</v>
      </c>
      <c r="D1149" s="9" t="s">
        <v>597</v>
      </c>
      <c r="E1149" s="10"/>
      <c r="F1149" s="6">
        <v>60</v>
      </c>
      <c r="G1149" s="6">
        <f t="shared" si="59"/>
        <v>60</v>
      </c>
      <c r="H1149" s="6">
        <v>60</v>
      </c>
      <c r="I1149" s="6">
        <f t="shared" si="57"/>
        <v>0</v>
      </c>
      <c r="J1149" s="7" t="str">
        <f t="shared" si="58"/>
        <v>PAGADO</v>
      </c>
      <c r="M1149" s="8"/>
    </row>
    <row r="1150" spans="3:13" customFormat="1" x14ac:dyDescent="0.25">
      <c r="C1150" s="9" t="s">
        <v>1142</v>
      </c>
      <c r="D1150" s="9" t="s">
        <v>597</v>
      </c>
      <c r="E1150" s="10"/>
      <c r="F1150" s="6">
        <v>50</v>
      </c>
      <c r="G1150" s="6">
        <f t="shared" si="59"/>
        <v>50</v>
      </c>
      <c r="H1150" s="6">
        <v>50</v>
      </c>
      <c r="I1150" s="6">
        <f t="shared" si="57"/>
        <v>0</v>
      </c>
      <c r="J1150" s="7" t="str">
        <f t="shared" si="58"/>
        <v>PAGADO</v>
      </c>
      <c r="M1150" s="8"/>
    </row>
    <row r="1151" spans="3:13" customFormat="1" x14ac:dyDescent="0.25">
      <c r="C1151" s="9" t="s">
        <v>1143</v>
      </c>
      <c r="D1151" s="9" t="s">
        <v>597</v>
      </c>
      <c r="E1151" s="10"/>
      <c r="F1151" s="6">
        <v>15</v>
      </c>
      <c r="G1151" s="6">
        <f t="shared" si="59"/>
        <v>15</v>
      </c>
      <c r="H1151" s="6">
        <v>15</v>
      </c>
      <c r="I1151" s="6">
        <f t="shared" si="57"/>
        <v>0</v>
      </c>
      <c r="J1151" s="7" t="str">
        <f t="shared" si="58"/>
        <v>PAGADO</v>
      </c>
      <c r="M1151" s="8"/>
    </row>
    <row r="1152" spans="3:13" customFormat="1" x14ac:dyDescent="0.25">
      <c r="C1152" s="9" t="s">
        <v>1144</v>
      </c>
      <c r="D1152" s="9" t="s">
        <v>597</v>
      </c>
      <c r="E1152" s="10"/>
      <c r="F1152" s="6">
        <v>15</v>
      </c>
      <c r="G1152" s="6">
        <f t="shared" si="59"/>
        <v>15</v>
      </c>
      <c r="H1152" s="6">
        <v>15</v>
      </c>
      <c r="I1152" s="6">
        <f t="shared" si="57"/>
        <v>0</v>
      </c>
      <c r="J1152" s="7" t="str">
        <f t="shared" si="58"/>
        <v>PAGADO</v>
      </c>
      <c r="M1152" s="8"/>
    </row>
    <row r="1153" spans="3:13" customFormat="1" x14ac:dyDescent="0.25">
      <c r="C1153" s="9" t="s">
        <v>957</v>
      </c>
      <c r="D1153" s="9" t="s">
        <v>1145</v>
      </c>
      <c r="E1153" s="10"/>
      <c r="F1153" s="6">
        <v>55</v>
      </c>
      <c r="G1153" s="6">
        <f t="shared" si="59"/>
        <v>55</v>
      </c>
      <c r="H1153" s="6">
        <v>55</v>
      </c>
      <c r="I1153" s="6">
        <f t="shared" ref="I1153:I1183" si="60">F1153-H1153</f>
        <v>0</v>
      </c>
      <c r="J1153" s="7" t="str">
        <f t="shared" si="58"/>
        <v>PAGADO</v>
      </c>
      <c r="M1153" s="8"/>
    </row>
    <row r="1154" spans="3:13" customFormat="1" x14ac:dyDescent="0.25">
      <c r="C1154" s="9" t="s">
        <v>1146</v>
      </c>
      <c r="D1154" s="9" t="s">
        <v>1145</v>
      </c>
      <c r="E1154" s="10"/>
      <c r="F1154" s="6">
        <v>20</v>
      </c>
      <c r="G1154" s="6">
        <f t="shared" si="59"/>
        <v>20</v>
      </c>
      <c r="H1154" s="6">
        <v>20</v>
      </c>
      <c r="I1154" s="6">
        <f t="shared" si="60"/>
        <v>0</v>
      </c>
      <c r="J1154" s="7" t="str">
        <f t="shared" si="58"/>
        <v>PAGADO</v>
      </c>
      <c r="M1154" s="8"/>
    </row>
    <row r="1155" spans="3:13" customFormat="1" x14ac:dyDescent="0.25">
      <c r="C1155" s="9" t="s">
        <v>1147</v>
      </c>
      <c r="D1155" s="9" t="s">
        <v>523</v>
      </c>
      <c r="E1155" s="10"/>
      <c r="F1155" s="6">
        <v>10</v>
      </c>
      <c r="G1155" s="6">
        <f t="shared" si="59"/>
        <v>10</v>
      </c>
      <c r="H1155" s="6">
        <v>10</v>
      </c>
      <c r="I1155" s="6">
        <f t="shared" si="60"/>
        <v>0</v>
      </c>
      <c r="J1155" s="7" t="str">
        <f t="shared" si="58"/>
        <v>PAGADO</v>
      </c>
      <c r="M1155" s="8"/>
    </row>
    <row r="1156" spans="3:13" customFormat="1" x14ac:dyDescent="0.25">
      <c r="C1156" s="9" t="s">
        <v>1148</v>
      </c>
      <c r="D1156" s="9" t="s">
        <v>523</v>
      </c>
      <c r="E1156" s="10"/>
      <c r="F1156" s="6">
        <v>10</v>
      </c>
      <c r="G1156" s="6">
        <f t="shared" si="59"/>
        <v>10</v>
      </c>
      <c r="H1156" s="6">
        <v>10</v>
      </c>
      <c r="I1156" s="6">
        <f t="shared" si="60"/>
        <v>0</v>
      </c>
      <c r="J1156" s="7" t="str">
        <f t="shared" si="58"/>
        <v>PAGADO</v>
      </c>
      <c r="M1156" s="8"/>
    </row>
    <row r="1157" spans="3:13" customFormat="1" x14ac:dyDescent="0.25">
      <c r="C1157" s="9" t="s">
        <v>1149</v>
      </c>
      <c r="D1157" s="9" t="s">
        <v>74</v>
      </c>
      <c r="E1157" s="10"/>
      <c r="F1157" s="6">
        <v>15</v>
      </c>
      <c r="G1157" s="6">
        <f t="shared" si="59"/>
        <v>15</v>
      </c>
      <c r="H1157" s="6">
        <v>15</v>
      </c>
      <c r="I1157" s="43">
        <f t="shared" si="60"/>
        <v>0</v>
      </c>
      <c r="J1157" s="7" t="str">
        <f t="shared" si="58"/>
        <v>PAGADO</v>
      </c>
      <c r="M1157" s="8"/>
    </row>
    <row r="1158" spans="3:13" customFormat="1" x14ac:dyDescent="0.25">
      <c r="C1158" s="9" t="s">
        <v>1150</v>
      </c>
      <c r="D1158" t="s">
        <v>680</v>
      </c>
      <c r="E1158" s="10"/>
      <c r="F1158" s="6">
        <v>45</v>
      </c>
      <c r="G1158" s="6">
        <f t="shared" si="59"/>
        <v>45</v>
      </c>
      <c r="H1158" s="6">
        <v>45</v>
      </c>
      <c r="I1158" s="6">
        <f t="shared" si="60"/>
        <v>0</v>
      </c>
      <c r="J1158" s="7" t="str">
        <f t="shared" si="58"/>
        <v>PAGADO</v>
      </c>
      <c r="M1158" s="8"/>
    </row>
    <row r="1159" spans="3:13" customFormat="1" x14ac:dyDescent="0.25">
      <c r="C1159" s="9" t="s">
        <v>1151</v>
      </c>
      <c r="D1159" t="s">
        <v>1152</v>
      </c>
      <c r="E1159" s="10"/>
      <c r="F1159" s="6">
        <v>50</v>
      </c>
      <c r="G1159" s="6">
        <f t="shared" si="59"/>
        <v>50</v>
      </c>
      <c r="H1159" s="6">
        <v>50</v>
      </c>
      <c r="I1159" s="6">
        <f t="shared" si="60"/>
        <v>0</v>
      </c>
      <c r="J1159" s="7" t="str">
        <f t="shared" si="58"/>
        <v>PAGADO</v>
      </c>
      <c r="M1159" s="8"/>
    </row>
    <row r="1160" spans="3:13" customFormat="1" x14ac:dyDescent="0.25">
      <c r="C1160" s="9" t="s">
        <v>1153</v>
      </c>
      <c r="D1160" s="9" t="s">
        <v>1019</v>
      </c>
      <c r="E1160" s="10"/>
      <c r="F1160" s="6">
        <v>60</v>
      </c>
      <c r="G1160" s="6">
        <f t="shared" si="59"/>
        <v>60</v>
      </c>
      <c r="H1160" s="6">
        <v>60</v>
      </c>
      <c r="I1160" s="6">
        <f t="shared" si="60"/>
        <v>0</v>
      </c>
      <c r="J1160" s="7" t="str">
        <f t="shared" si="58"/>
        <v>PAGADO</v>
      </c>
      <c r="M1160" s="8"/>
    </row>
    <row r="1161" spans="3:13" customFormat="1" x14ac:dyDescent="0.25">
      <c r="C1161" s="9" t="s">
        <v>1154</v>
      </c>
      <c r="D1161" s="9" t="s">
        <v>941</v>
      </c>
      <c r="E1161" s="10"/>
      <c r="F1161" s="6">
        <v>15</v>
      </c>
      <c r="G1161" s="6">
        <f t="shared" si="59"/>
        <v>15</v>
      </c>
      <c r="H1161" s="6">
        <v>15</v>
      </c>
      <c r="I1161" s="6">
        <f t="shared" si="60"/>
        <v>0</v>
      </c>
      <c r="J1161" s="7" t="str">
        <f t="shared" si="58"/>
        <v>PAGADO</v>
      </c>
      <c r="M1161" s="8"/>
    </row>
    <row r="1162" spans="3:13" customFormat="1" x14ac:dyDescent="0.25">
      <c r="C1162" t="s">
        <v>1155</v>
      </c>
      <c r="D1162" s="9" t="s">
        <v>67</v>
      </c>
      <c r="E1162" s="10"/>
      <c r="F1162" s="6">
        <v>135</v>
      </c>
      <c r="G1162" s="6">
        <f t="shared" si="59"/>
        <v>135</v>
      </c>
      <c r="H1162" s="6">
        <f>50+75+10</f>
        <v>135</v>
      </c>
      <c r="I1162" s="26">
        <f t="shared" si="60"/>
        <v>0</v>
      </c>
      <c r="J1162" s="7" t="str">
        <f t="shared" si="58"/>
        <v>PAGADO</v>
      </c>
      <c r="M1162" s="8"/>
    </row>
    <row r="1163" spans="3:13" customFormat="1" x14ac:dyDescent="0.25">
      <c r="C1163" s="9" t="s">
        <v>1156</v>
      </c>
      <c r="D1163" s="9" t="s">
        <v>33</v>
      </c>
      <c r="E1163" s="10"/>
      <c r="F1163" s="6">
        <v>65</v>
      </c>
      <c r="G1163" s="6">
        <f t="shared" si="59"/>
        <v>65</v>
      </c>
      <c r="H1163" s="6">
        <v>65</v>
      </c>
      <c r="I1163" s="26">
        <f t="shared" si="60"/>
        <v>0</v>
      </c>
      <c r="J1163" s="7" t="str">
        <f t="shared" si="58"/>
        <v>PAGADO</v>
      </c>
      <c r="M1163" s="8"/>
    </row>
    <row r="1164" spans="3:13" customFormat="1" x14ac:dyDescent="0.25">
      <c r="C1164" s="33" t="s">
        <v>1157</v>
      </c>
      <c r="D1164" s="9" t="s">
        <v>33</v>
      </c>
      <c r="E1164" s="10"/>
      <c r="F1164" s="6">
        <f>740-150</f>
        <v>590</v>
      </c>
      <c r="G1164" s="6">
        <f t="shared" si="59"/>
        <v>590</v>
      </c>
      <c r="H1164" s="6">
        <v>590</v>
      </c>
      <c r="I1164" s="26">
        <f t="shared" si="60"/>
        <v>0</v>
      </c>
      <c r="J1164" s="7" t="str">
        <f t="shared" si="58"/>
        <v>PAGADO</v>
      </c>
      <c r="M1164" s="8"/>
    </row>
    <row r="1165" spans="3:13" customFormat="1" x14ac:dyDescent="0.25">
      <c r="C1165" s="33" t="s">
        <v>1158</v>
      </c>
      <c r="D1165" s="9" t="s">
        <v>33</v>
      </c>
      <c r="E1165" s="10"/>
      <c r="F1165" s="6">
        <v>180</v>
      </c>
      <c r="G1165" s="6">
        <f t="shared" si="59"/>
        <v>180</v>
      </c>
      <c r="H1165" s="6">
        <v>180</v>
      </c>
      <c r="I1165" s="26">
        <f t="shared" si="60"/>
        <v>0</v>
      </c>
      <c r="J1165" s="7" t="str">
        <f t="shared" ref="J1165:J1228" si="61">IF(I1165&gt;0,"DEBE","PAGADO")</f>
        <v>PAGADO</v>
      </c>
      <c r="M1165" s="8"/>
    </row>
    <row r="1166" spans="3:13" customFormat="1" x14ac:dyDescent="0.25">
      <c r="C1166" s="33" t="s">
        <v>1120</v>
      </c>
      <c r="D1166" s="9" t="s">
        <v>33</v>
      </c>
      <c r="E1166" s="10"/>
      <c r="F1166" s="6">
        <v>150</v>
      </c>
      <c r="G1166" s="6">
        <f t="shared" si="59"/>
        <v>150</v>
      </c>
      <c r="H1166" s="6">
        <v>150</v>
      </c>
      <c r="I1166" s="26">
        <f t="shared" si="60"/>
        <v>0</v>
      </c>
      <c r="J1166" s="7" t="str">
        <f t="shared" si="61"/>
        <v>PAGADO</v>
      </c>
      <c r="M1166" s="8"/>
    </row>
    <row r="1167" spans="3:13" customFormat="1" x14ac:dyDescent="0.25">
      <c r="C1167" s="33" t="s">
        <v>1159</v>
      </c>
      <c r="D1167" s="9" t="s">
        <v>33</v>
      </c>
      <c r="E1167" s="10"/>
      <c r="F1167" s="6">
        <v>230</v>
      </c>
      <c r="G1167" s="6">
        <f t="shared" si="59"/>
        <v>230</v>
      </c>
      <c r="H1167" s="6">
        <v>230</v>
      </c>
      <c r="I1167" s="26">
        <f t="shared" si="60"/>
        <v>0</v>
      </c>
      <c r="J1167" s="7" t="str">
        <f t="shared" si="61"/>
        <v>PAGADO</v>
      </c>
      <c r="M1167" s="8"/>
    </row>
    <row r="1168" spans="3:13" customFormat="1" x14ac:dyDescent="0.25">
      <c r="C1168" s="33" t="s">
        <v>1160</v>
      </c>
      <c r="D1168" s="9" t="s">
        <v>33</v>
      </c>
      <c r="E1168" s="10"/>
      <c r="F1168" s="6">
        <v>160</v>
      </c>
      <c r="G1168" s="6">
        <f t="shared" si="59"/>
        <v>160</v>
      </c>
      <c r="H1168" s="6">
        <v>160</v>
      </c>
      <c r="I1168" s="26">
        <f t="shared" si="60"/>
        <v>0</v>
      </c>
      <c r="J1168" s="7" t="str">
        <f t="shared" si="61"/>
        <v>PAGADO</v>
      </c>
      <c r="M1168" s="8"/>
    </row>
    <row r="1169" spans="3:13" customFormat="1" x14ac:dyDescent="0.25">
      <c r="C1169" s="33" t="s">
        <v>1161</v>
      </c>
      <c r="D1169" s="9" t="s">
        <v>33</v>
      </c>
      <c r="E1169" s="10"/>
      <c r="F1169" s="6">
        <v>260</v>
      </c>
      <c r="G1169" s="6">
        <f t="shared" si="59"/>
        <v>260</v>
      </c>
      <c r="H1169" s="6">
        <v>260</v>
      </c>
      <c r="I1169" s="6">
        <f t="shared" si="60"/>
        <v>0</v>
      </c>
      <c r="J1169" s="7" t="str">
        <f t="shared" si="61"/>
        <v>PAGADO</v>
      </c>
      <c r="M1169" s="8"/>
    </row>
    <row r="1170" spans="3:13" customFormat="1" x14ac:dyDescent="0.25">
      <c r="C1170" s="33" t="s">
        <v>1162</v>
      </c>
      <c r="D1170" s="9" t="s">
        <v>33</v>
      </c>
      <c r="E1170" s="10"/>
      <c r="F1170" s="6">
        <v>230</v>
      </c>
      <c r="G1170" s="6">
        <f t="shared" si="59"/>
        <v>230</v>
      </c>
      <c r="H1170" s="6">
        <v>230</v>
      </c>
      <c r="I1170" s="6">
        <f t="shared" si="60"/>
        <v>0</v>
      </c>
      <c r="J1170" s="7" t="str">
        <f t="shared" si="61"/>
        <v>PAGADO</v>
      </c>
      <c r="M1170" s="8"/>
    </row>
    <row r="1171" spans="3:13" customFormat="1" x14ac:dyDescent="0.25">
      <c r="C1171" t="s">
        <v>1163</v>
      </c>
      <c r="D1171" s="9" t="s">
        <v>942</v>
      </c>
      <c r="E1171" s="10"/>
      <c r="F1171" s="6">
        <v>15</v>
      </c>
      <c r="G1171" s="6">
        <f t="shared" si="59"/>
        <v>15</v>
      </c>
      <c r="H1171" s="6">
        <v>15</v>
      </c>
      <c r="I1171" s="6">
        <f t="shared" si="60"/>
        <v>0</v>
      </c>
      <c r="J1171" s="7" t="str">
        <f t="shared" si="61"/>
        <v>PAGADO</v>
      </c>
      <c r="M1171" s="8"/>
    </row>
    <row r="1172" spans="3:13" customFormat="1" x14ac:dyDescent="0.25">
      <c r="C1172" t="s">
        <v>1163</v>
      </c>
      <c r="D1172" s="9" t="s">
        <v>74</v>
      </c>
      <c r="E1172" s="10"/>
      <c r="F1172" s="6">
        <v>15</v>
      </c>
      <c r="G1172" s="6">
        <f t="shared" si="59"/>
        <v>15</v>
      </c>
      <c r="H1172" s="6">
        <v>15</v>
      </c>
      <c r="I1172" s="43">
        <f t="shared" si="60"/>
        <v>0</v>
      </c>
      <c r="J1172" s="7" t="str">
        <f t="shared" si="61"/>
        <v>PAGADO</v>
      </c>
      <c r="M1172" s="8"/>
    </row>
    <row r="1173" spans="3:13" customFormat="1" x14ac:dyDescent="0.25">
      <c r="C1173" t="s">
        <v>1164</v>
      </c>
      <c r="D1173" s="9" t="s">
        <v>74</v>
      </c>
      <c r="E1173" s="10"/>
      <c r="F1173" s="6">
        <v>15</v>
      </c>
      <c r="G1173" s="6">
        <f t="shared" si="59"/>
        <v>15</v>
      </c>
      <c r="H1173" s="6">
        <v>15</v>
      </c>
      <c r="I1173" s="43">
        <f t="shared" si="60"/>
        <v>0</v>
      </c>
      <c r="J1173" s="7" t="str">
        <f t="shared" si="61"/>
        <v>PAGADO</v>
      </c>
      <c r="M1173" s="8"/>
    </row>
    <row r="1174" spans="3:13" customFormat="1" x14ac:dyDescent="0.25">
      <c r="C1174" s="9" t="s">
        <v>1165</v>
      </c>
      <c r="D1174" s="9" t="s">
        <v>1152</v>
      </c>
      <c r="E1174" s="10"/>
      <c r="F1174" s="6">
        <v>15</v>
      </c>
      <c r="G1174" s="6">
        <f t="shared" si="59"/>
        <v>15</v>
      </c>
      <c r="H1174" s="6">
        <v>15</v>
      </c>
      <c r="I1174" s="6">
        <f t="shared" si="60"/>
        <v>0</v>
      </c>
      <c r="J1174" s="7" t="str">
        <f t="shared" si="61"/>
        <v>PAGADO</v>
      </c>
      <c r="M1174" s="8"/>
    </row>
    <row r="1175" spans="3:13" customFormat="1" x14ac:dyDescent="0.25">
      <c r="C1175" t="s">
        <v>1166</v>
      </c>
      <c r="D1175" s="9" t="s">
        <v>661</v>
      </c>
      <c r="E1175" s="10"/>
      <c r="F1175" s="6">
        <v>30</v>
      </c>
      <c r="G1175" s="6">
        <f t="shared" si="59"/>
        <v>30</v>
      </c>
      <c r="H1175" s="6">
        <v>30</v>
      </c>
      <c r="I1175" s="6">
        <f t="shared" si="60"/>
        <v>0</v>
      </c>
      <c r="J1175" s="7" t="str">
        <f t="shared" si="61"/>
        <v>PAGADO</v>
      </c>
      <c r="M1175" s="8"/>
    </row>
    <row r="1176" spans="3:13" customFormat="1" x14ac:dyDescent="0.25">
      <c r="C1176" s="9" t="s">
        <v>1167</v>
      </c>
      <c r="D1176" s="9" t="s">
        <v>74</v>
      </c>
      <c r="E1176" s="10"/>
      <c r="F1176" s="6">
        <v>15</v>
      </c>
      <c r="G1176" s="6">
        <f t="shared" si="59"/>
        <v>15</v>
      </c>
      <c r="H1176" s="6">
        <v>15</v>
      </c>
      <c r="I1176" s="43">
        <f t="shared" si="60"/>
        <v>0</v>
      </c>
      <c r="J1176" s="7" t="str">
        <f t="shared" si="61"/>
        <v>PAGADO</v>
      </c>
      <c r="M1176" s="8"/>
    </row>
    <row r="1177" spans="3:13" customFormat="1" x14ac:dyDescent="0.25">
      <c r="C1177" t="s">
        <v>1168</v>
      </c>
      <c r="D1177" s="9" t="s">
        <v>33</v>
      </c>
      <c r="E1177" s="10"/>
      <c r="F1177" s="6">
        <v>230</v>
      </c>
      <c r="G1177" s="6">
        <f t="shared" si="59"/>
        <v>230</v>
      </c>
      <c r="H1177" s="6">
        <v>230</v>
      </c>
      <c r="I1177" s="12">
        <f t="shared" si="60"/>
        <v>0</v>
      </c>
      <c r="J1177" s="7" t="str">
        <f t="shared" si="61"/>
        <v>PAGADO</v>
      </c>
      <c r="M1177" s="8"/>
    </row>
    <row r="1178" spans="3:13" customFormat="1" x14ac:dyDescent="0.25">
      <c r="C1178" t="s">
        <v>1169</v>
      </c>
      <c r="D1178" s="9" t="s">
        <v>33</v>
      </c>
      <c r="E1178" s="10"/>
      <c r="F1178" s="6">
        <v>210</v>
      </c>
      <c r="G1178" s="6">
        <f t="shared" si="59"/>
        <v>210</v>
      </c>
      <c r="H1178" s="6">
        <v>210</v>
      </c>
      <c r="I1178" s="12">
        <f t="shared" si="60"/>
        <v>0</v>
      </c>
      <c r="J1178" s="7" t="str">
        <f t="shared" si="61"/>
        <v>PAGADO</v>
      </c>
      <c r="M1178" s="8"/>
    </row>
    <row r="1179" spans="3:13" customFormat="1" x14ac:dyDescent="0.25">
      <c r="C1179" t="s">
        <v>1170</v>
      </c>
      <c r="D1179" s="9" t="s">
        <v>33</v>
      </c>
      <c r="E1179" s="10"/>
      <c r="F1179" s="6">
        <v>25</v>
      </c>
      <c r="G1179" s="6">
        <f t="shared" si="59"/>
        <v>25</v>
      </c>
      <c r="H1179" s="6">
        <v>25</v>
      </c>
      <c r="I1179" s="47">
        <f t="shared" si="60"/>
        <v>0</v>
      </c>
      <c r="J1179" s="7" t="str">
        <f t="shared" si="61"/>
        <v>PAGADO</v>
      </c>
      <c r="M1179" s="8"/>
    </row>
    <row r="1180" spans="3:13" customFormat="1" x14ac:dyDescent="0.25">
      <c r="C1180" t="s">
        <v>1171</v>
      </c>
      <c r="D1180" s="9" t="s">
        <v>74</v>
      </c>
      <c r="E1180" s="10"/>
      <c r="F1180" s="6">
        <v>140</v>
      </c>
      <c r="G1180" s="6">
        <f t="shared" si="59"/>
        <v>140</v>
      </c>
      <c r="H1180" s="6">
        <v>0</v>
      </c>
      <c r="I1180" s="6">
        <f t="shared" si="60"/>
        <v>140</v>
      </c>
      <c r="J1180" s="7" t="str">
        <f t="shared" si="61"/>
        <v>DEBE</v>
      </c>
      <c r="M1180" s="8"/>
    </row>
    <row r="1181" spans="3:13" customFormat="1" x14ac:dyDescent="0.25">
      <c r="C1181" t="s">
        <v>1172</v>
      </c>
      <c r="D1181" t="s">
        <v>488</v>
      </c>
      <c r="E1181" s="10"/>
      <c r="F1181" s="6">
        <v>250</v>
      </c>
      <c r="G1181" s="6">
        <f t="shared" si="59"/>
        <v>250</v>
      </c>
      <c r="H1181" s="6">
        <v>250</v>
      </c>
      <c r="I1181" s="6">
        <f t="shared" si="60"/>
        <v>0</v>
      </c>
      <c r="J1181" s="7" t="str">
        <f t="shared" si="61"/>
        <v>PAGADO</v>
      </c>
      <c r="M1181" s="8"/>
    </row>
    <row r="1182" spans="3:13" customFormat="1" x14ac:dyDescent="0.25">
      <c r="C1182" t="s">
        <v>1173</v>
      </c>
      <c r="D1182" t="s">
        <v>488</v>
      </c>
      <c r="E1182" s="10"/>
      <c r="F1182" s="6">
        <v>270</v>
      </c>
      <c r="G1182" s="6">
        <f t="shared" si="59"/>
        <v>270</v>
      </c>
      <c r="H1182" s="6">
        <v>270</v>
      </c>
      <c r="I1182" s="6">
        <f t="shared" si="60"/>
        <v>0</v>
      </c>
      <c r="J1182" s="7" t="str">
        <f t="shared" si="61"/>
        <v>PAGADO</v>
      </c>
      <c r="M1182" s="8"/>
    </row>
    <row r="1183" spans="3:13" customFormat="1" x14ac:dyDescent="0.25">
      <c r="C1183" s="9" t="s">
        <v>1174</v>
      </c>
      <c r="D1183" s="9" t="s">
        <v>238</v>
      </c>
      <c r="E1183" s="10"/>
      <c r="F1183" s="6">
        <v>260</v>
      </c>
      <c r="G1183" s="6">
        <f t="shared" si="59"/>
        <v>260</v>
      </c>
      <c r="H1183" s="6">
        <f>10+250</f>
        <v>260</v>
      </c>
      <c r="I1183" s="6">
        <f t="shared" si="60"/>
        <v>0</v>
      </c>
      <c r="J1183" s="7" t="str">
        <f t="shared" si="61"/>
        <v>PAGADO</v>
      </c>
      <c r="K1183" s="9"/>
      <c r="M1183" s="8"/>
    </row>
    <row r="1184" spans="3:13" customFormat="1" x14ac:dyDescent="0.25">
      <c r="C1184" t="s">
        <v>1095</v>
      </c>
      <c r="D1184" s="28" t="s">
        <v>74</v>
      </c>
      <c r="E1184" s="10"/>
      <c r="F1184" s="30">
        <v>-65</v>
      </c>
      <c r="G1184" s="30">
        <f t="shared" si="59"/>
        <v>-65</v>
      </c>
      <c r="H1184" s="30">
        <v>-65</v>
      </c>
      <c r="I1184" s="30">
        <v>-65</v>
      </c>
      <c r="J1184" s="7" t="str">
        <f t="shared" si="61"/>
        <v>PAGADO</v>
      </c>
      <c r="K1184" s="28" t="s">
        <v>661</v>
      </c>
      <c r="M1184" s="8"/>
    </row>
    <row r="1185" spans="3:13" customFormat="1" x14ac:dyDescent="0.25">
      <c r="C1185" s="9" t="s">
        <v>902</v>
      </c>
      <c r="D1185" s="9" t="s">
        <v>711</v>
      </c>
      <c r="E1185" s="10"/>
      <c r="F1185" s="6">
        <v>70</v>
      </c>
      <c r="G1185" s="6">
        <f t="shared" si="59"/>
        <v>70</v>
      </c>
      <c r="H1185" s="6">
        <v>70</v>
      </c>
      <c r="I1185" s="6">
        <f t="shared" ref="I1185:I1202" si="62">F1185-H1185</f>
        <v>0</v>
      </c>
      <c r="J1185" s="7" t="str">
        <f t="shared" si="61"/>
        <v>PAGADO</v>
      </c>
      <c r="M1185" s="8"/>
    </row>
    <row r="1186" spans="3:13" customFormat="1" x14ac:dyDescent="0.25">
      <c r="C1186" s="9" t="s">
        <v>1175</v>
      </c>
      <c r="D1186" s="9" t="s">
        <v>711</v>
      </c>
      <c r="E1186" s="10"/>
      <c r="F1186" s="6">
        <v>50</v>
      </c>
      <c r="G1186" s="6">
        <f t="shared" si="59"/>
        <v>50</v>
      </c>
      <c r="H1186" s="6">
        <v>50</v>
      </c>
      <c r="I1186" s="6">
        <f t="shared" si="62"/>
        <v>0</v>
      </c>
      <c r="J1186" s="7" t="str">
        <f t="shared" si="61"/>
        <v>PAGADO</v>
      </c>
      <c r="M1186" s="8"/>
    </row>
    <row r="1187" spans="3:13" customFormat="1" x14ac:dyDescent="0.25">
      <c r="C1187" s="9" t="s">
        <v>1176</v>
      </c>
      <c r="D1187" s="9" t="s">
        <v>711</v>
      </c>
      <c r="E1187" s="10"/>
      <c r="F1187" s="6">
        <v>65</v>
      </c>
      <c r="G1187" s="6">
        <f t="shared" si="59"/>
        <v>65</v>
      </c>
      <c r="H1187" s="6">
        <v>65</v>
      </c>
      <c r="I1187" s="6">
        <f t="shared" si="62"/>
        <v>0</v>
      </c>
      <c r="J1187" s="7" t="str">
        <f t="shared" si="61"/>
        <v>PAGADO</v>
      </c>
      <c r="M1187" s="8"/>
    </row>
    <row r="1188" spans="3:13" customFormat="1" x14ac:dyDescent="0.25">
      <c r="C1188" s="9" t="s">
        <v>367</v>
      </c>
      <c r="D1188" s="9" t="s">
        <v>711</v>
      </c>
      <c r="E1188" s="10"/>
      <c r="F1188" s="6">
        <v>65</v>
      </c>
      <c r="G1188" s="6">
        <f t="shared" si="59"/>
        <v>65</v>
      </c>
      <c r="H1188" s="6">
        <v>65</v>
      </c>
      <c r="I1188" s="6">
        <f t="shared" si="62"/>
        <v>0</v>
      </c>
      <c r="J1188" s="7" t="str">
        <f t="shared" si="61"/>
        <v>PAGADO</v>
      </c>
      <c r="M1188" s="8"/>
    </row>
    <row r="1189" spans="3:13" customFormat="1" x14ac:dyDescent="0.25">
      <c r="C1189" s="9" t="s">
        <v>1177</v>
      </c>
      <c r="D1189" s="9" t="s">
        <v>711</v>
      </c>
      <c r="E1189" s="10"/>
      <c r="F1189" s="6">
        <v>40</v>
      </c>
      <c r="G1189" s="6">
        <f t="shared" si="59"/>
        <v>40</v>
      </c>
      <c r="H1189" s="6">
        <v>40</v>
      </c>
      <c r="I1189" s="6">
        <f t="shared" si="62"/>
        <v>0</v>
      </c>
      <c r="J1189" s="7" t="str">
        <f t="shared" si="61"/>
        <v>PAGADO</v>
      </c>
      <c r="M1189" s="8"/>
    </row>
    <row r="1190" spans="3:13" customFormat="1" x14ac:dyDescent="0.25">
      <c r="C1190" s="9" t="s">
        <v>1178</v>
      </c>
      <c r="D1190" s="9" t="s">
        <v>711</v>
      </c>
      <c r="E1190" s="10"/>
      <c r="F1190" s="6">
        <v>65</v>
      </c>
      <c r="G1190" s="6">
        <f t="shared" si="59"/>
        <v>65</v>
      </c>
      <c r="H1190" s="6">
        <v>65</v>
      </c>
      <c r="I1190" s="6">
        <f t="shared" si="62"/>
        <v>0</v>
      </c>
      <c r="J1190" s="7" t="str">
        <f t="shared" si="61"/>
        <v>PAGADO</v>
      </c>
      <c r="M1190" s="8"/>
    </row>
    <row r="1191" spans="3:13" customFormat="1" x14ac:dyDescent="0.25">
      <c r="C1191" s="9" t="s">
        <v>1179</v>
      </c>
      <c r="D1191" s="9" t="s">
        <v>711</v>
      </c>
      <c r="E1191" s="10"/>
      <c r="F1191" s="6">
        <v>70</v>
      </c>
      <c r="G1191" s="6">
        <f t="shared" si="59"/>
        <v>70</v>
      </c>
      <c r="H1191" s="6">
        <v>70</v>
      </c>
      <c r="I1191" s="6">
        <f t="shared" si="62"/>
        <v>0</v>
      </c>
      <c r="J1191" s="7" t="str">
        <f t="shared" si="61"/>
        <v>PAGADO</v>
      </c>
      <c r="M1191" s="8"/>
    </row>
    <row r="1192" spans="3:13" customFormat="1" x14ac:dyDescent="0.25">
      <c r="C1192" s="9" t="s">
        <v>1180</v>
      </c>
      <c r="D1192" s="9" t="s">
        <v>711</v>
      </c>
      <c r="E1192" s="10"/>
      <c r="F1192" s="6">
        <v>65</v>
      </c>
      <c r="G1192" s="6">
        <f t="shared" si="59"/>
        <v>65</v>
      </c>
      <c r="H1192" s="6">
        <v>65</v>
      </c>
      <c r="I1192" s="6">
        <f t="shared" si="62"/>
        <v>0</v>
      </c>
      <c r="J1192" s="7" t="str">
        <f t="shared" si="61"/>
        <v>PAGADO</v>
      </c>
      <c r="M1192" s="8"/>
    </row>
    <row r="1193" spans="3:13" customFormat="1" x14ac:dyDescent="0.25">
      <c r="C1193" s="9" t="s">
        <v>1181</v>
      </c>
      <c r="D1193" s="9" t="s">
        <v>711</v>
      </c>
      <c r="E1193" s="10"/>
      <c r="F1193" s="6">
        <v>65</v>
      </c>
      <c r="G1193" s="6">
        <f t="shared" si="59"/>
        <v>65</v>
      </c>
      <c r="H1193" s="6">
        <v>65</v>
      </c>
      <c r="I1193" s="6">
        <f t="shared" si="62"/>
        <v>0</v>
      </c>
      <c r="J1193" s="7" t="str">
        <f t="shared" si="61"/>
        <v>PAGADO</v>
      </c>
      <c r="M1193" s="8"/>
    </row>
    <row r="1194" spans="3:13" customFormat="1" x14ac:dyDescent="0.25">
      <c r="C1194" s="22" t="s">
        <v>1182</v>
      </c>
      <c r="D1194" s="14" t="s">
        <v>33</v>
      </c>
      <c r="E1194" s="15"/>
      <c r="F1194" s="16">
        <v>55</v>
      </c>
      <c r="G1194" s="16">
        <f t="shared" si="59"/>
        <v>55</v>
      </c>
      <c r="H1194" s="16">
        <v>55</v>
      </c>
      <c r="I1194" s="16">
        <f t="shared" si="62"/>
        <v>0</v>
      </c>
      <c r="J1194" s="17" t="str">
        <f t="shared" si="61"/>
        <v>PAGADO</v>
      </c>
      <c r="K1194" s="33" t="s">
        <v>850</v>
      </c>
      <c r="M1194" s="8"/>
    </row>
    <row r="1195" spans="3:13" customFormat="1" x14ac:dyDescent="0.25">
      <c r="C1195" t="s">
        <v>1183</v>
      </c>
      <c r="D1195" s="9" t="s">
        <v>33</v>
      </c>
      <c r="E1195" s="10"/>
      <c r="F1195" s="6">
        <v>50</v>
      </c>
      <c r="G1195" s="6">
        <f t="shared" ref="G1195:G1245" si="63">F1195-E1195</f>
        <v>50</v>
      </c>
      <c r="H1195" s="6">
        <v>50</v>
      </c>
      <c r="I1195" s="12">
        <f t="shared" si="62"/>
        <v>0</v>
      </c>
      <c r="J1195" s="7" t="str">
        <f t="shared" si="61"/>
        <v>PAGADO</v>
      </c>
      <c r="M1195" s="8"/>
    </row>
    <row r="1196" spans="3:13" customFormat="1" x14ac:dyDescent="0.25">
      <c r="C1196" s="22" t="s">
        <v>1184</v>
      </c>
      <c r="D1196" s="14" t="s">
        <v>33</v>
      </c>
      <c r="E1196" s="15"/>
      <c r="F1196" s="16">
        <v>10</v>
      </c>
      <c r="G1196" s="16">
        <f t="shared" si="63"/>
        <v>10</v>
      </c>
      <c r="H1196" s="16">
        <v>10</v>
      </c>
      <c r="I1196" s="16">
        <f t="shared" si="62"/>
        <v>0</v>
      </c>
      <c r="J1196" s="17" t="str">
        <f t="shared" si="61"/>
        <v>PAGADO</v>
      </c>
      <c r="K1196" s="33" t="s">
        <v>850</v>
      </c>
      <c r="M1196" s="8"/>
    </row>
    <row r="1197" spans="3:13" customFormat="1" x14ac:dyDescent="0.25">
      <c r="C1197" s="22" t="s">
        <v>1185</v>
      </c>
      <c r="D1197" s="14" t="s">
        <v>33</v>
      </c>
      <c r="E1197" s="15"/>
      <c r="F1197" s="16">
        <v>20</v>
      </c>
      <c r="G1197" s="16">
        <f t="shared" si="63"/>
        <v>20</v>
      </c>
      <c r="H1197" s="16">
        <v>20</v>
      </c>
      <c r="I1197" s="16">
        <f t="shared" si="62"/>
        <v>0</v>
      </c>
      <c r="J1197" s="17" t="str">
        <f t="shared" si="61"/>
        <v>PAGADO</v>
      </c>
      <c r="K1197" s="33" t="s">
        <v>850</v>
      </c>
      <c r="M1197" s="8"/>
    </row>
    <row r="1198" spans="3:13" customFormat="1" x14ac:dyDescent="0.25">
      <c r="C1198" t="s">
        <v>1186</v>
      </c>
      <c r="D1198" s="9" t="s">
        <v>33</v>
      </c>
      <c r="E1198" s="10"/>
      <c r="F1198" s="6">
        <v>20</v>
      </c>
      <c r="G1198" s="6">
        <f t="shared" si="63"/>
        <v>20</v>
      </c>
      <c r="H1198" s="6">
        <v>20</v>
      </c>
      <c r="I1198" s="47">
        <f t="shared" si="62"/>
        <v>0</v>
      </c>
      <c r="J1198" s="7" t="str">
        <f t="shared" si="61"/>
        <v>PAGADO</v>
      </c>
      <c r="M1198" s="8"/>
    </row>
    <row r="1199" spans="3:13" customFormat="1" x14ac:dyDescent="0.25">
      <c r="C1199" t="s">
        <v>1187</v>
      </c>
      <c r="D1199" s="9" t="s">
        <v>33</v>
      </c>
      <c r="E1199" s="10"/>
      <c r="F1199" s="6">
        <v>20</v>
      </c>
      <c r="G1199" s="6">
        <f t="shared" si="63"/>
        <v>20</v>
      </c>
      <c r="H1199" s="6">
        <v>20</v>
      </c>
      <c r="I1199" s="12">
        <f t="shared" si="62"/>
        <v>0</v>
      </c>
      <c r="J1199" s="7" t="str">
        <f t="shared" si="61"/>
        <v>PAGADO</v>
      </c>
      <c r="M1199" s="8"/>
    </row>
    <row r="1200" spans="3:13" customFormat="1" x14ac:dyDescent="0.25">
      <c r="C1200" t="s">
        <v>1188</v>
      </c>
      <c r="D1200" s="9" t="s">
        <v>1189</v>
      </c>
      <c r="E1200" s="10"/>
      <c r="F1200" s="6">
        <v>75</v>
      </c>
      <c r="G1200" s="6">
        <f t="shared" si="63"/>
        <v>75</v>
      </c>
      <c r="H1200" s="6">
        <v>75</v>
      </c>
      <c r="I1200" s="6">
        <f t="shared" si="62"/>
        <v>0</v>
      </c>
      <c r="J1200" s="7" t="str">
        <f t="shared" si="61"/>
        <v>PAGADO</v>
      </c>
      <c r="M1200" s="8"/>
    </row>
    <row r="1201" spans="3:13" customFormat="1" x14ac:dyDescent="0.25">
      <c r="C1201" t="s">
        <v>1190</v>
      </c>
      <c r="D1201" s="9" t="s">
        <v>1191</v>
      </c>
      <c r="E1201" s="10"/>
      <c r="F1201" s="6">
        <v>155</v>
      </c>
      <c r="G1201" s="6">
        <f t="shared" si="63"/>
        <v>155</v>
      </c>
      <c r="H1201" s="6">
        <v>155</v>
      </c>
      <c r="I1201" s="6">
        <f t="shared" si="62"/>
        <v>0</v>
      </c>
      <c r="J1201" s="7" t="str">
        <f t="shared" si="61"/>
        <v>PAGADO</v>
      </c>
      <c r="M1201" s="8"/>
    </row>
    <row r="1202" spans="3:13" customFormat="1" x14ac:dyDescent="0.25">
      <c r="C1202" s="9" t="s">
        <v>1192</v>
      </c>
      <c r="D1202" s="9" t="s">
        <v>692</v>
      </c>
      <c r="E1202" s="10"/>
      <c r="F1202" s="6">
        <v>70</v>
      </c>
      <c r="G1202" s="6">
        <f t="shared" si="63"/>
        <v>70</v>
      </c>
      <c r="H1202" s="6">
        <f>25+45</f>
        <v>70</v>
      </c>
      <c r="I1202" s="6">
        <f t="shared" si="62"/>
        <v>0</v>
      </c>
      <c r="J1202" s="7" t="str">
        <f t="shared" si="61"/>
        <v>PAGADO</v>
      </c>
      <c r="M1202" s="8"/>
    </row>
    <row r="1203" spans="3:13" customFormat="1" x14ac:dyDescent="0.25">
      <c r="C1203" s="9" t="s">
        <v>1193</v>
      </c>
      <c r="D1203" s="18" t="s">
        <v>74</v>
      </c>
      <c r="E1203" s="10"/>
      <c r="F1203" s="30">
        <v>-120</v>
      </c>
      <c r="G1203" s="30">
        <f t="shared" si="63"/>
        <v>-120</v>
      </c>
      <c r="H1203" s="30">
        <v>-120</v>
      </c>
      <c r="I1203" s="30">
        <v>-120</v>
      </c>
      <c r="J1203" s="7" t="str">
        <f t="shared" si="61"/>
        <v>PAGADO</v>
      </c>
      <c r="K1203" s="19" t="s">
        <v>1194</v>
      </c>
      <c r="M1203" s="8"/>
    </row>
    <row r="1204" spans="3:13" customFormat="1" x14ac:dyDescent="0.25">
      <c r="C1204" s="9" t="s">
        <v>1195</v>
      </c>
      <c r="D1204" s="9" t="s">
        <v>711</v>
      </c>
      <c r="E1204" s="10"/>
      <c r="F1204" s="6">
        <v>75</v>
      </c>
      <c r="G1204" s="6">
        <f t="shared" si="63"/>
        <v>75</v>
      </c>
      <c r="H1204" s="6">
        <v>75</v>
      </c>
      <c r="I1204" s="6">
        <f t="shared" ref="I1204:I1218" si="64">F1204-H1204</f>
        <v>0</v>
      </c>
      <c r="J1204" s="7" t="str">
        <f t="shared" si="61"/>
        <v>PAGADO</v>
      </c>
      <c r="M1204" s="8"/>
    </row>
    <row r="1205" spans="3:13" customFormat="1" x14ac:dyDescent="0.25">
      <c r="C1205" s="9" t="s">
        <v>1196</v>
      </c>
      <c r="D1205" s="9" t="s">
        <v>711</v>
      </c>
      <c r="E1205" s="10"/>
      <c r="F1205" s="6">
        <v>35</v>
      </c>
      <c r="G1205" s="6">
        <f t="shared" si="63"/>
        <v>35</v>
      </c>
      <c r="H1205" s="6">
        <v>35</v>
      </c>
      <c r="I1205" s="6">
        <f t="shared" si="64"/>
        <v>0</v>
      </c>
      <c r="J1205" s="7" t="str">
        <f t="shared" si="61"/>
        <v>PAGADO</v>
      </c>
      <c r="M1205" s="8"/>
    </row>
    <row r="1206" spans="3:13" customFormat="1" x14ac:dyDescent="0.25">
      <c r="C1206" s="9" t="s">
        <v>1197</v>
      </c>
      <c r="D1206" t="s">
        <v>16</v>
      </c>
      <c r="E1206" s="10"/>
      <c r="F1206" s="6">
        <v>230</v>
      </c>
      <c r="G1206" s="6">
        <f t="shared" si="63"/>
        <v>230</v>
      </c>
      <c r="H1206" s="6">
        <f>115+115</f>
        <v>230</v>
      </c>
      <c r="I1206" s="6">
        <f t="shared" si="64"/>
        <v>0</v>
      </c>
      <c r="J1206" s="7" t="str">
        <f t="shared" si="61"/>
        <v>PAGADO</v>
      </c>
      <c r="M1206" s="8"/>
    </row>
    <row r="1207" spans="3:13" customFormat="1" x14ac:dyDescent="0.25">
      <c r="C1207" t="s">
        <v>1198</v>
      </c>
      <c r="D1207" s="9" t="s">
        <v>1191</v>
      </c>
      <c r="E1207" s="10"/>
      <c r="F1207" s="6">
        <v>140</v>
      </c>
      <c r="G1207" s="6">
        <f t="shared" si="63"/>
        <v>140</v>
      </c>
      <c r="H1207" s="6">
        <f>70+70</f>
        <v>140</v>
      </c>
      <c r="I1207" s="6">
        <f t="shared" si="64"/>
        <v>0</v>
      </c>
      <c r="J1207" s="7" t="str">
        <f t="shared" si="61"/>
        <v>PAGADO</v>
      </c>
      <c r="M1207" s="8"/>
    </row>
    <row r="1208" spans="3:13" customFormat="1" x14ac:dyDescent="0.25">
      <c r="C1208" s="9" t="s">
        <v>1199</v>
      </c>
      <c r="D1208" s="9" t="s">
        <v>18</v>
      </c>
      <c r="E1208" s="10"/>
      <c r="F1208" s="6">
        <v>230</v>
      </c>
      <c r="G1208" s="6">
        <f t="shared" si="63"/>
        <v>230</v>
      </c>
      <c r="H1208" s="6">
        <f>30+15+10+10+10+10+30+40+50+10+10+5</f>
        <v>230</v>
      </c>
      <c r="I1208" s="6">
        <f t="shared" si="64"/>
        <v>0</v>
      </c>
      <c r="J1208" s="7" t="str">
        <f t="shared" si="61"/>
        <v>PAGADO</v>
      </c>
      <c r="M1208" s="8"/>
    </row>
    <row r="1209" spans="3:13" customFormat="1" x14ac:dyDescent="0.25">
      <c r="C1209" s="9" t="s">
        <v>863</v>
      </c>
      <c r="D1209" s="9" t="s">
        <v>18</v>
      </c>
      <c r="E1209" s="10"/>
      <c r="F1209" s="6">
        <v>70</v>
      </c>
      <c r="G1209" s="6">
        <f t="shared" si="63"/>
        <v>70</v>
      </c>
      <c r="H1209" s="6">
        <f>15+15+25+10+5</f>
        <v>70</v>
      </c>
      <c r="I1209" s="6">
        <f t="shared" si="64"/>
        <v>0</v>
      </c>
      <c r="J1209" s="7" t="str">
        <f t="shared" si="61"/>
        <v>PAGADO</v>
      </c>
      <c r="M1209" s="8"/>
    </row>
    <row r="1210" spans="3:13" customFormat="1" x14ac:dyDescent="0.25">
      <c r="C1210" s="9" t="s">
        <v>863</v>
      </c>
      <c r="D1210" s="9" t="s">
        <v>18</v>
      </c>
      <c r="E1210" s="10"/>
      <c r="F1210" s="6">
        <v>70</v>
      </c>
      <c r="G1210" s="6">
        <f t="shared" si="63"/>
        <v>70</v>
      </c>
      <c r="H1210" s="6">
        <f>10+10+20+10+10+10</f>
        <v>70</v>
      </c>
      <c r="I1210" s="6">
        <f t="shared" si="64"/>
        <v>0</v>
      </c>
      <c r="J1210" s="7" t="str">
        <f t="shared" si="61"/>
        <v>PAGADO</v>
      </c>
      <c r="M1210" s="8"/>
    </row>
    <row r="1211" spans="3:13" customFormat="1" x14ac:dyDescent="0.25">
      <c r="C1211" s="9" t="s">
        <v>1200</v>
      </c>
      <c r="D1211" s="9" t="s">
        <v>18</v>
      </c>
      <c r="E1211" s="10"/>
      <c r="F1211" s="6">
        <v>15</v>
      </c>
      <c r="G1211" s="6">
        <f t="shared" si="63"/>
        <v>15</v>
      </c>
      <c r="H1211" s="6">
        <v>15</v>
      </c>
      <c r="I1211" s="6">
        <f t="shared" si="64"/>
        <v>0</v>
      </c>
      <c r="J1211" s="7" t="str">
        <f t="shared" si="61"/>
        <v>PAGADO</v>
      </c>
      <c r="M1211" s="8"/>
    </row>
    <row r="1212" spans="3:13" customFormat="1" x14ac:dyDescent="0.25">
      <c r="C1212" s="9" t="s">
        <v>1155</v>
      </c>
      <c r="D1212" s="9" t="s">
        <v>1201</v>
      </c>
      <c r="E1212" s="10"/>
      <c r="F1212" s="6">
        <v>120</v>
      </c>
      <c r="G1212" s="6">
        <f t="shared" si="63"/>
        <v>120</v>
      </c>
      <c r="H1212" s="6">
        <v>120</v>
      </c>
      <c r="I1212" s="6">
        <f t="shared" si="64"/>
        <v>0</v>
      </c>
      <c r="J1212" s="7" t="str">
        <f t="shared" si="61"/>
        <v>PAGADO</v>
      </c>
      <c r="M1212" s="8"/>
    </row>
    <row r="1213" spans="3:13" customFormat="1" x14ac:dyDescent="0.25">
      <c r="C1213" s="9" t="s">
        <v>1202</v>
      </c>
      <c r="D1213" s="9" t="s">
        <v>1201</v>
      </c>
      <c r="E1213" s="10"/>
      <c r="F1213" s="6">
        <v>100</v>
      </c>
      <c r="G1213" s="6">
        <f t="shared" si="63"/>
        <v>100</v>
      </c>
      <c r="H1213" s="6">
        <v>100</v>
      </c>
      <c r="I1213" s="6">
        <f t="shared" si="64"/>
        <v>0</v>
      </c>
      <c r="J1213" s="7" t="str">
        <f t="shared" si="61"/>
        <v>PAGADO</v>
      </c>
      <c r="M1213" s="8"/>
    </row>
    <row r="1214" spans="3:13" customFormat="1" x14ac:dyDescent="0.25">
      <c r="C1214" s="9" t="s">
        <v>1203</v>
      </c>
      <c r="D1214" s="9" t="s">
        <v>1201</v>
      </c>
      <c r="E1214" s="10"/>
      <c r="F1214" s="6">
        <v>100</v>
      </c>
      <c r="G1214" s="6">
        <f t="shared" si="63"/>
        <v>100</v>
      </c>
      <c r="H1214" s="6">
        <v>100</v>
      </c>
      <c r="I1214" s="6">
        <f t="shared" si="64"/>
        <v>0</v>
      </c>
      <c r="J1214" s="7" t="str">
        <f t="shared" si="61"/>
        <v>PAGADO</v>
      </c>
      <c r="M1214" s="8"/>
    </row>
    <row r="1215" spans="3:13" customFormat="1" x14ac:dyDescent="0.25">
      <c r="C1215" t="s">
        <v>1204</v>
      </c>
      <c r="D1215" s="9" t="s">
        <v>921</v>
      </c>
      <c r="E1215" s="10"/>
      <c r="F1215" s="6">
        <v>190</v>
      </c>
      <c r="G1215" s="6">
        <f t="shared" si="63"/>
        <v>190</v>
      </c>
      <c r="H1215" s="6">
        <f>120+25+45</f>
        <v>190</v>
      </c>
      <c r="I1215" s="6">
        <f t="shared" si="64"/>
        <v>0</v>
      </c>
      <c r="J1215" s="7" t="str">
        <f t="shared" si="61"/>
        <v>PAGADO</v>
      </c>
      <c r="M1215" s="8"/>
    </row>
    <row r="1216" spans="3:13" customFormat="1" x14ac:dyDescent="0.25">
      <c r="C1216" t="s">
        <v>1205</v>
      </c>
      <c r="D1216" s="9" t="s">
        <v>690</v>
      </c>
      <c r="E1216" s="10"/>
      <c r="F1216" s="6">
        <v>65</v>
      </c>
      <c r="G1216" s="6">
        <f t="shared" si="63"/>
        <v>65</v>
      </c>
      <c r="H1216" s="6">
        <v>65</v>
      </c>
      <c r="I1216" s="6">
        <f t="shared" si="64"/>
        <v>0</v>
      </c>
      <c r="J1216" s="7" t="str">
        <f t="shared" si="61"/>
        <v>PAGADO</v>
      </c>
      <c r="M1216" s="8"/>
    </row>
    <row r="1217" spans="3:13" customFormat="1" x14ac:dyDescent="0.25">
      <c r="C1217" t="s">
        <v>1206</v>
      </c>
      <c r="D1217" s="9" t="s">
        <v>313</v>
      </c>
      <c r="E1217" s="10"/>
      <c r="F1217" s="6">
        <v>30</v>
      </c>
      <c r="G1217" s="6">
        <f t="shared" si="63"/>
        <v>30</v>
      </c>
      <c r="H1217" s="6">
        <v>30</v>
      </c>
      <c r="I1217" s="6">
        <f t="shared" si="64"/>
        <v>0</v>
      </c>
      <c r="J1217" s="7" t="str">
        <f t="shared" si="61"/>
        <v>PAGADO</v>
      </c>
      <c r="M1217" s="8"/>
    </row>
    <row r="1218" spans="3:13" customFormat="1" x14ac:dyDescent="0.25">
      <c r="C1218" t="s">
        <v>1207</v>
      </c>
      <c r="D1218" s="9" t="s">
        <v>1208</v>
      </c>
      <c r="E1218" s="10"/>
      <c r="F1218" s="6">
        <v>85</v>
      </c>
      <c r="G1218" s="6">
        <f t="shared" si="63"/>
        <v>85</v>
      </c>
      <c r="H1218" s="6">
        <v>85</v>
      </c>
      <c r="I1218" s="6">
        <f t="shared" si="64"/>
        <v>0</v>
      </c>
      <c r="J1218" s="7" t="str">
        <f t="shared" si="61"/>
        <v>PAGADO</v>
      </c>
      <c r="M1218" s="8"/>
    </row>
    <row r="1219" spans="3:13" customFormat="1" x14ac:dyDescent="0.25">
      <c r="C1219" s="9" t="s">
        <v>37</v>
      </c>
      <c r="D1219" s="28" t="s">
        <v>74</v>
      </c>
      <c r="E1219" s="10"/>
      <c r="F1219" s="30">
        <v>-50</v>
      </c>
      <c r="G1219" s="30">
        <f t="shared" si="63"/>
        <v>-50</v>
      </c>
      <c r="H1219" s="30">
        <v>-50</v>
      </c>
      <c r="I1219" s="30">
        <v>-50</v>
      </c>
      <c r="J1219" s="7" t="str">
        <f t="shared" si="61"/>
        <v>PAGADO</v>
      </c>
      <c r="K1219" s="28" t="s">
        <v>236</v>
      </c>
      <c r="M1219" s="8"/>
    </row>
    <row r="1220" spans="3:13" customFormat="1" x14ac:dyDescent="0.25">
      <c r="C1220" s="9" t="s">
        <v>1209</v>
      </c>
      <c r="D1220" s="9" t="s">
        <v>18</v>
      </c>
      <c r="E1220" s="10"/>
      <c r="F1220" s="6">
        <v>70</v>
      </c>
      <c r="G1220" s="6">
        <f t="shared" si="63"/>
        <v>70</v>
      </c>
      <c r="H1220" s="6">
        <f>10+40+20</f>
        <v>70</v>
      </c>
      <c r="I1220" s="6">
        <f t="shared" ref="I1220:I1245" si="65">F1220-H1220</f>
        <v>0</v>
      </c>
      <c r="J1220" s="7" t="str">
        <f t="shared" si="61"/>
        <v>PAGADO</v>
      </c>
      <c r="M1220" s="8"/>
    </row>
    <row r="1221" spans="3:13" customFormat="1" x14ac:dyDescent="0.25">
      <c r="C1221" t="s">
        <v>1210</v>
      </c>
      <c r="D1221" s="9" t="s">
        <v>33</v>
      </c>
      <c r="E1221" s="10"/>
      <c r="F1221" s="6">
        <v>70</v>
      </c>
      <c r="G1221" s="6">
        <f t="shared" si="63"/>
        <v>70</v>
      </c>
      <c r="H1221" s="6">
        <v>70</v>
      </c>
      <c r="I1221" s="12">
        <f t="shared" si="65"/>
        <v>0</v>
      </c>
      <c r="J1221" s="7" t="str">
        <f t="shared" si="61"/>
        <v>PAGADO</v>
      </c>
      <c r="M1221" s="8"/>
    </row>
    <row r="1222" spans="3:13" customFormat="1" x14ac:dyDescent="0.25">
      <c r="C1222" t="s">
        <v>1211</v>
      </c>
      <c r="D1222" s="9" t="s">
        <v>33</v>
      </c>
      <c r="E1222" s="10"/>
      <c r="F1222" s="6">
        <v>80</v>
      </c>
      <c r="G1222" s="6">
        <f t="shared" si="63"/>
        <v>80</v>
      </c>
      <c r="H1222" s="6">
        <v>80</v>
      </c>
      <c r="I1222" s="12">
        <f t="shared" si="65"/>
        <v>0</v>
      </c>
      <c r="J1222" s="7" t="str">
        <f t="shared" si="61"/>
        <v>PAGADO</v>
      </c>
      <c r="M1222" s="8"/>
    </row>
    <row r="1223" spans="3:13" customFormat="1" x14ac:dyDescent="0.25">
      <c r="C1223" t="s">
        <v>1212</v>
      </c>
      <c r="D1223" s="9" t="s">
        <v>33</v>
      </c>
      <c r="E1223" s="10"/>
      <c r="F1223" s="6">
        <v>80</v>
      </c>
      <c r="G1223" s="6">
        <f t="shared" si="63"/>
        <v>80</v>
      </c>
      <c r="H1223" s="6">
        <v>80</v>
      </c>
      <c r="I1223" s="12">
        <f t="shared" si="65"/>
        <v>0</v>
      </c>
      <c r="J1223" s="7" t="str">
        <f t="shared" si="61"/>
        <v>PAGADO</v>
      </c>
      <c r="M1223" s="8"/>
    </row>
    <row r="1224" spans="3:13" customFormat="1" x14ac:dyDescent="0.25">
      <c r="C1224" t="s">
        <v>1212</v>
      </c>
      <c r="D1224" s="9" t="s">
        <v>33</v>
      </c>
      <c r="E1224" s="10"/>
      <c r="F1224" s="6">
        <v>80</v>
      </c>
      <c r="G1224" s="6">
        <f t="shared" si="63"/>
        <v>80</v>
      </c>
      <c r="H1224" s="6">
        <v>80</v>
      </c>
      <c r="I1224" s="12">
        <f t="shared" si="65"/>
        <v>0</v>
      </c>
      <c r="J1224" s="7" t="str">
        <f t="shared" si="61"/>
        <v>PAGADO</v>
      </c>
      <c r="M1224" s="8"/>
    </row>
    <row r="1225" spans="3:13" customFormat="1" x14ac:dyDescent="0.25">
      <c r="C1225" t="s">
        <v>1212</v>
      </c>
      <c r="D1225" s="9" t="s">
        <v>33</v>
      </c>
      <c r="E1225" s="10"/>
      <c r="F1225" s="6">
        <v>80</v>
      </c>
      <c r="G1225" s="6">
        <f t="shared" si="63"/>
        <v>80</v>
      </c>
      <c r="H1225" s="6">
        <v>80</v>
      </c>
      <c r="I1225" s="12">
        <f t="shared" si="65"/>
        <v>0</v>
      </c>
      <c r="J1225" s="7" t="str">
        <f t="shared" si="61"/>
        <v>PAGADO</v>
      </c>
      <c r="M1225" s="8"/>
    </row>
    <row r="1226" spans="3:13" customFormat="1" x14ac:dyDescent="0.25">
      <c r="C1226" t="s">
        <v>1212</v>
      </c>
      <c r="D1226" s="9" t="s">
        <v>33</v>
      </c>
      <c r="E1226" s="10"/>
      <c r="F1226" s="6">
        <v>80</v>
      </c>
      <c r="G1226" s="6">
        <f t="shared" si="63"/>
        <v>80</v>
      </c>
      <c r="H1226" s="6">
        <v>80</v>
      </c>
      <c r="I1226" s="12">
        <f t="shared" si="65"/>
        <v>0</v>
      </c>
      <c r="J1226" s="7" t="str">
        <f t="shared" si="61"/>
        <v>PAGADO</v>
      </c>
      <c r="M1226" s="8"/>
    </row>
    <row r="1227" spans="3:13" customFormat="1" x14ac:dyDescent="0.25">
      <c r="C1227" t="s">
        <v>1212</v>
      </c>
      <c r="D1227" s="9" t="s">
        <v>33</v>
      </c>
      <c r="E1227" s="10"/>
      <c r="F1227" s="6">
        <v>80</v>
      </c>
      <c r="G1227" s="6">
        <f t="shared" si="63"/>
        <v>80</v>
      </c>
      <c r="H1227" s="6">
        <v>80</v>
      </c>
      <c r="I1227" s="12">
        <f t="shared" si="65"/>
        <v>0</v>
      </c>
      <c r="J1227" s="7" t="str">
        <f t="shared" si="61"/>
        <v>PAGADO</v>
      </c>
      <c r="M1227" s="8"/>
    </row>
    <row r="1228" spans="3:13" customFormat="1" x14ac:dyDescent="0.25">
      <c r="C1228" t="s">
        <v>1212</v>
      </c>
      <c r="D1228" s="9" t="s">
        <v>33</v>
      </c>
      <c r="E1228" s="10"/>
      <c r="F1228" s="6">
        <v>80</v>
      </c>
      <c r="G1228" s="6">
        <f t="shared" si="63"/>
        <v>80</v>
      </c>
      <c r="H1228" s="6">
        <v>80</v>
      </c>
      <c r="I1228" s="12">
        <f t="shared" si="65"/>
        <v>0</v>
      </c>
      <c r="J1228" s="7" t="str">
        <f t="shared" si="61"/>
        <v>PAGADO</v>
      </c>
      <c r="M1228" s="8"/>
    </row>
    <row r="1229" spans="3:13" customFormat="1" x14ac:dyDescent="0.25">
      <c r="C1229" s="9" t="s">
        <v>1213</v>
      </c>
      <c r="D1229" s="9" t="s">
        <v>74</v>
      </c>
      <c r="E1229" s="10"/>
      <c r="F1229" s="6">
        <v>140</v>
      </c>
      <c r="G1229" s="6">
        <f t="shared" si="63"/>
        <v>140</v>
      </c>
      <c r="H1229" s="6">
        <v>0</v>
      </c>
      <c r="I1229" s="6">
        <f t="shared" si="65"/>
        <v>140</v>
      </c>
      <c r="J1229" s="7" t="str">
        <f t="shared" ref="J1229:J1292" si="66">IF(I1229&gt;0,"DEBE","PAGADO")</f>
        <v>DEBE</v>
      </c>
      <c r="M1229" s="8"/>
    </row>
    <row r="1230" spans="3:13" customFormat="1" x14ac:dyDescent="0.25">
      <c r="C1230" s="9" t="s">
        <v>1214</v>
      </c>
      <c r="D1230" s="9" t="s">
        <v>238</v>
      </c>
      <c r="E1230" s="10"/>
      <c r="F1230" s="6">
        <v>600</v>
      </c>
      <c r="G1230" s="6">
        <f t="shared" si="63"/>
        <v>600</v>
      </c>
      <c r="H1230" s="6">
        <v>600</v>
      </c>
      <c r="I1230" s="26">
        <f t="shared" si="65"/>
        <v>0</v>
      </c>
      <c r="J1230" s="7" t="str">
        <f t="shared" si="66"/>
        <v>PAGADO</v>
      </c>
      <c r="K1230" s="9"/>
      <c r="M1230" s="8"/>
    </row>
    <row r="1231" spans="3:13" customFormat="1" x14ac:dyDescent="0.25">
      <c r="C1231" t="s">
        <v>1215</v>
      </c>
      <c r="D1231" s="9" t="s">
        <v>921</v>
      </c>
      <c r="E1231" s="10"/>
      <c r="F1231" s="6">
        <v>65</v>
      </c>
      <c r="G1231" s="6">
        <f t="shared" si="63"/>
        <v>65</v>
      </c>
      <c r="H1231" s="6">
        <f>50+15</f>
        <v>65</v>
      </c>
      <c r="I1231" s="6">
        <f t="shared" si="65"/>
        <v>0</v>
      </c>
      <c r="J1231" s="7" t="str">
        <f t="shared" si="66"/>
        <v>PAGADO</v>
      </c>
      <c r="M1231" s="8"/>
    </row>
    <row r="1232" spans="3:13" customFormat="1" x14ac:dyDescent="0.25">
      <c r="C1232" t="s">
        <v>1216</v>
      </c>
      <c r="D1232" s="9" t="s">
        <v>921</v>
      </c>
      <c r="E1232" s="10"/>
      <c r="F1232" s="6">
        <v>90</v>
      </c>
      <c r="G1232" s="6">
        <f t="shared" si="63"/>
        <v>90</v>
      </c>
      <c r="H1232" s="6">
        <f>50+20+20</f>
        <v>90</v>
      </c>
      <c r="I1232" s="6">
        <f t="shared" si="65"/>
        <v>0</v>
      </c>
      <c r="J1232" s="7" t="str">
        <f t="shared" si="66"/>
        <v>PAGADO</v>
      </c>
      <c r="M1232" s="8"/>
    </row>
    <row r="1233" spans="3:13" customFormat="1" x14ac:dyDescent="0.25">
      <c r="C1233" t="s">
        <v>1217</v>
      </c>
      <c r="D1233" s="9" t="s">
        <v>1218</v>
      </c>
      <c r="E1233" s="10"/>
      <c r="F1233" s="6">
        <v>65</v>
      </c>
      <c r="G1233" s="6">
        <f t="shared" si="63"/>
        <v>65</v>
      </c>
      <c r="H1233" s="6">
        <v>65</v>
      </c>
      <c r="I1233" s="6">
        <f t="shared" si="65"/>
        <v>0</v>
      </c>
      <c r="J1233" s="7" t="str">
        <f t="shared" si="66"/>
        <v>PAGADO</v>
      </c>
      <c r="M1233" s="8"/>
    </row>
    <row r="1234" spans="3:13" customFormat="1" x14ac:dyDescent="0.25">
      <c r="C1234" s="9" t="s">
        <v>1219</v>
      </c>
      <c r="D1234" s="9" t="s">
        <v>80</v>
      </c>
      <c r="E1234" s="10"/>
      <c r="F1234" s="6">
        <v>100</v>
      </c>
      <c r="G1234" s="6">
        <f t="shared" si="63"/>
        <v>100</v>
      </c>
      <c r="H1234" s="6">
        <v>100</v>
      </c>
      <c r="I1234" s="6">
        <f t="shared" si="65"/>
        <v>0</v>
      </c>
      <c r="J1234" s="7" t="str">
        <f t="shared" si="66"/>
        <v>PAGADO</v>
      </c>
      <c r="M1234" s="8"/>
    </row>
    <row r="1235" spans="3:13" customFormat="1" x14ac:dyDescent="0.25">
      <c r="C1235" s="9" t="s">
        <v>1220</v>
      </c>
      <c r="D1235" s="9" t="s">
        <v>80</v>
      </c>
      <c r="E1235" s="10"/>
      <c r="F1235" s="6">
        <v>65</v>
      </c>
      <c r="G1235" s="6">
        <f t="shared" si="63"/>
        <v>65</v>
      </c>
      <c r="H1235" s="6">
        <f>25+40</f>
        <v>65</v>
      </c>
      <c r="I1235" s="6">
        <f t="shared" si="65"/>
        <v>0</v>
      </c>
      <c r="J1235" s="7" t="str">
        <f t="shared" si="66"/>
        <v>PAGADO</v>
      </c>
      <c r="M1235" s="8"/>
    </row>
    <row r="1236" spans="3:13" customFormat="1" x14ac:dyDescent="0.25">
      <c r="C1236" s="9" t="s">
        <v>1221</v>
      </c>
      <c r="D1236" s="9" t="s">
        <v>1222</v>
      </c>
      <c r="E1236" s="10"/>
      <c r="F1236" s="6">
        <v>40</v>
      </c>
      <c r="G1236" s="6">
        <f t="shared" si="63"/>
        <v>40</v>
      </c>
      <c r="H1236" s="6">
        <v>40</v>
      </c>
      <c r="I1236" s="6">
        <f t="shared" si="65"/>
        <v>0</v>
      </c>
      <c r="J1236" s="7" t="str">
        <f t="shared" si="66"/>
        <v>PAGADO</v>
      </c>
      <c r="M1236" s="8"/>
    </row>
    <row r="1237" spans="3:13" customFormat="1" x14ac:dyDescent="0.25">
      <c r="C1237" s="9" t="s">
        <v>1223</v>
      </c>
      <c r="D1237" s="9" t="s">
        <v>1222</v>
      </c>
      <c r="E1237" s="10"/>
      <c r="F1237" s="6">
        <v>70</v>
      </c>
      <c r="G1237" s="6">
        <f t="shared" si="63"/>
        <v>70</v>
      </c>
      <c r="H1237" s="6">
        <v>70</v>
      </c>
      <c r="I1237" s="6">
        <f t="shared" si="65"/>
        <v>0</v>
      </c>
      <c r="J1237" s="7" t="str">
        <f t="shared" si="66"/>
        <v>PAGADO</v>
      </c>
      <c r="M1237" s="8"/>
    </row>
    <row r="1238" spans="3:13" customFormat="1" x14ac:dyDescent="0.25">
      <c r="C1238" s="9" t="s">
        <v>1224</v>
      </c>
      <c r="D1238" s="9" t="s">
        <v>597</v>
      </c>
      <c r="E1238" s="10"/>
      <c r="F1238" s="6">
        <v>20</v>
      </c>
      <c r="G1238" s="6">
        <f t="shared" si="63"/>
        <v>20</v>
      </c>
      <c r="H1238" s="6">
        <v>20</v>
      </c>
      <c r="I1238" s="6">
        <f t="shared" si="65"/>
        <v>0</v>
      </c>
      <c r="J1238" s="7" t="str">
        <f t="shared" si="66"/>
        <v>PAGADO</v>
      </c>
      <c r="M1238" s="8"/>
    </row>
    <row r="1239" spans="3:13" customFormat="1" x14ac:dyDescent="0.25">
      <c r="C1239" s="9" t="s">
        <v>1225</v>
      </c>
      <c r="D1239" s="9" t="s">
        <v>597</v>
      </c>
      <c r="E1239" s="10"/>
      <c r="F1239" s="6">
        <v>20</v>
      </c>
      <c r="G1239" s="6">
        <f t="shared" si="63"/>
        <v>20</v>
      </c>
      <c r="H1239" s="6">
        <v>20</v>
      </c>
      <c r="I1239" s="6">
        <f t="shared" si="65"/>
        <v>0</v>
      </c>
      <c r="J1239" s="7" t="str">
        <f t="shared" si="66"/>
        <v>PAGADO</v>
      </c>
      <c r="M1239" s="8"/>
    </row>
    <row r="1240" spans="3:13" customFormat="1" x14ac:dyDescent="0.25">
      <c r="C1240" s="9" t="s">
        <v>1226</v>
      </c>
      <c r="D1240" s="9" t="s">
        <v>816</v>
      </c>
      <c r="E1240" s="10"/>
      <c r="F1240" s="6">
        <v>140</v>
      </c>
      <c r="G1240" s="6">
        <f t="shared" si="63"/>
        <v>140</v>
      </c>
      <c r="H1240" s="6">
        <v>140</v>
      </c>
      <c r="I1240" s="26">
        <f t="shared" si="65"/>
        <v>0</v>
      </c>
      <c r="J1240" s="7" t="str">
        <f t="shared" si="66"/>
        <v>PAGADO</v>
      </c>
      <c r="M1240" s="8"/>
    </row>
    <row r="1241" spans="3:13" customFormat="1" x14ac:dyDescent="0.25">
      <c r="C1241" s="9" t="s">
        <v>1227</v>
      </c>
      <c r="D1241" s="9" t="s">
        <v>816</v>
      </c>
      <c r="E1241" s="10"/>
      <c r="F1241" s="6">
        <v>130</v>
      </c>
      <c r="G1241" s="6">
        <f t="shared" si="63"/>
        <v>130</v>
      </c>
      <c r="H1241" s="6">
        <v>130</v>
      </c>
      <c r="I1241" s="26">
        <f t="shared" si="65"/>
        <v>0</v>
      </c>
      <c r="J1241" s="7" t="str">
        <f t="shared" si="66"/>
        <v>PAGADO</v>
      </c>
      <c r="M1241" s="8"/>
    </row>
    <row r="1242" spans="3:13" customFormat="1" x14ac:dyDescent="0.25">
      <c r="C1242" s="9" t="s">
        <v>1228</v>
      </c>
      <c r="D1242" s="9" t="s">
        <v>816</v>
      </c>
      <c r="E1242" s="10"/>
      <c r="F1242" s="6">
        <v>130</v>
      </c>
      <c r="G1242" s="6">
        <f t="shared" si="63"/>
        <v>130</v>
      </c>
      <c r="H1242" s="6">
        <v>130</v>
      </c>
      <c r="I1242" s="26">
        <f t="shared" si="65"/>
        <v>0</v>
      </c>
      <c r="J1242" s="7" t="str">
        <f t="shared" si="66"/>
        <v>PAGADO</v>
      </c>
      <c r="M1242" s="8"/>
    </row>
    <row r="1243" spans="3:13" customFormat="1" x14ac:dyDescent="0.25">
      <c r="C1243" t="s">
        <v>1229</v>
      </c>
      <c r="D1243" s="9" t="s">
        <v>1230</v>
      </c>
      <c r="E1243" s="10"/>
      <c r="F1243" s="6">
        <v>5</v>
      </c>
      <c r="G1243" s="6">
        <f t="shared" si="63"/>
        <v>5</v>
      </c>
      <c r="H1243" s="6">
        <v>5</v>
      </c>
      <c r="I1243" s="6">
        <f t="shared" si="65"/>
        <v>0</v>
      </c>
      <c r="J1243" s="7" t="str">
        <f t="shared" si="66"/>
        <v>PAGADO</v>
      </c>
      <c r="M1243" s="8"/>
    </row>
    <row r="1244" spans="3:13" customFormat="1" x14ac:dyDescent="0.25">
      <c r="C1244" t="s">
        <v>1100</v>
      </c>
      <c r="D1244" s="9" t="s">
        <v>921</v>
      </c>
      <c r="E1244" s="10"/>
      <c r="F1244" s="6">
        <v>100</v>
      </c>
      <c r="G1244" s="6">
        <f t="shared" si="63"/>
        <v>100</v>
      </c>
      <c r="H1244" s="6">
        <v>100</v>
      </c>
      <c r="I1244" s="6">
        <f t="shared" si="65"/>
        <v>0</v>
      </c>
      <c r="J1244" s="7" t="str">
        <f t="shared" si="66"/>
        <v>PAGADO</v>
      </c>
      <c r="M1244" s="8"/>
    </row>
    <row r="1245" spans="3:13" customFormat="1" x14ac:dyDescent="0.25">
      <c r="C1245" t="s">
        <v>1231</v>
      </c>
      <c r="D1245" s="9" t="s">
        <v>921</v>
      </c>
      <c r="E1245" s="10"/>
      <c r="F1245" s="6">
        <v>90</v>
      </c>
      <c r="G1245" s="6">
        <f t="shared" si="63"/>
        <v>90</v>
      </c>
      <c r="H1245" s="6">
        <v>90</v>
      </c>
      <c r="I1245" s="6">
        <f t="shared" si="65"/>
        <v>0</v>
      </c>
      <c r="J1245" s="7" t="str">
        <f t="shared" si="66"/>
        <v>PAGADO</v>
      </c>
      <c r="M1245" s="8"/>
    </row>
    <row r="1246" spans="3:13" customFormat="1" x14ac:dyDescent="0.25">
      <c r="C1246" t="s">
        <v>1232</v>
      </c>
      <c r="D1246" s="28" t="s">
        <v>74</v>
      </c>
      <c r="E1246" s="10"/>
      <c r="F1246" s="30">
        <v>-50</v>
      </c>
      <c r="G1246" s="30">
        <v>-50</v>
      </c>
      <c r="H1246" s="30">
        <v>-50</v>
      </c>
      <c r="I1246" s="30">
        <v>-50</v>
      </c>
      <c r="J1246" s="7" t="str">
        <f t="shared" si="66"/>
        <v>PAGADO</v>
      </c>
      <c r="K1246" s="28" t="s">
        <v>1233</v>
      </c>
      <c r="M1246" s="8"/>
    </row>
    <row r="1247" spans="3:13" customFormat="1" x14ac:dyDescent="0.25">
      <c r="C1247" s="9" t="s">
        <v>1234</v>
      </c>
      <c r="D1247" t="s">
        <v>31</v>
      </c>
      <c r="E1247" s="10"/>
      <c r="F1247" s="6">
        <v>30</v>
      </c>
      <c r="G1247" s="6">
        <f t="shared" ref="G1247:G1310" si="67">F1247-E1247</f>
        <v>30</v>
      </c>
      <c r="H1247" s="6">
        <v>30</v>
      </c>
      <c r="I1247" s="6">
        <f t="shared" ref="I1247:I1310" si="68">F1247-H1247</f>
        <v>0</v>
      </c>
      <c r="J1247" s="7" t="str">
        <f t="shared" si="66"/>
        <v>PAGADO</v>
      </c>
      <c r="M1247" s="8"/>
    </row>
    <row r="1248" spans="3:13" customFormat="1" x14ac:dyDescent="0.25">
      <c r="C1248" s="9" t="s">
        <v>197</v>
      </c>
      <c r="D1248" t="s">
        <v>31</v>
      </c>
      <c r="E1248" s="10"/>
      <c r="F1248" s="6">
        <v>25</v>
      </c>
      <c r="G1248" s="6">
        <f t="shared" si="67"/>
        <v>25</v>
      </c>
      <c r="H1248" s="6">
        <v>25</v>
      </c>
      <c r="I1248" s="6">
        <f t="shared" si="68"/>
        <v>0</v>
      </c>
      <c r="J1248" s="7" t="str">
        <f t="shared" si="66"/>
        <v>PAGADO</v>
      </c>
      <c r="M1248" s="8"/>
    </row>
    <row r="1249" spans="3:13" customFormat="1" x14ac:dyDescent="0.25">
      <c r="C1249" s="9" t="s">
        <v>1070</v>
      </c>
      <c r="D1249" t="s">
        <v>31</v>
      </c>
      <c r="E1249" s="10"/>
      <c r="F1249" s="6">
        <v>20</v>
      </c>
      <c r="G1249" s="6">
        <f t="shared" si="67"/>
        <v>20</v>
      </c>
      <c r="H1249" s="6">
        <v>20</v>
      </c>
      <c r="I1249" s="6">
        <f t="shared" si="68"/>
        <v>0</v>
      </c>
      <c r="J1249" s="7" t="str">
        <f t="shared" si="66"/>
        <v>PAGADO</v>
      </c>
      <c r="M1249" s="8"/>
    </row>
    <row r="1250" spans="3:13" customFormat="1" x14ac:dyDescent="0.25">
      <c r="C1250" s="9" t="s">
        <v>106</v>
      </c>
      <c r="D1250" t="s">
        <v>31</v>
      </c>
      <c r="E1250" s="10"/>
      <c r="F1250" s="6">
        <v>25</v>
      </c>
      <c r="G1250" s="6">
        <f t="shared" si="67"/>
        <v>25</v>
      </c>
      <c r="H1250" s="6">
        <v>25</v>
      </c>
      <c r="I1250" s="6">
        <f t="shared" si="68"/>
        <v>0</v>
      </c>
      <c r="J1250" s="7" t="str">
        <f t="shared" si="66"/>
        <v>PAGADO</v>
      </c>
      <c r="M1250" s="8"/>
    </row>
    <row r="1251" spans="3:13" customFormat="1" x14ac:dyDescent="0.25">
      <c r="C1251" s="9" t="s">
        <v>1235</v>
      </c>
      <c r="D1251" t="s">
        <v>31</v>
      </c>
      <c r="E1251" s="10"/>
      <c r="F1251" s="6">
        <v>10</v>
      </c>
      <c r="G1251" s="6">
        <f t="shared" si="67"/>
        <v>10</v>
      </c>
      <c r="H1251" s="6">
        <v>10</v>
      </c>
      <c r="I1251" s="6">
        <f t="shared" si="68"/>
        <v>0</v>
      </c>
      <c r="J1251" s="7" t="str">
        <f t="shared" si="66"/>
        <v>PAGADO</v>
      </c>
      <c r="M1251" s="8"/>
    </row>
    <row r="1252" spans="3:13" customFormat="1" x14ac:dyDescent="0.25">
      <c r="C1252" s="9" t="s">
        <v>1236</v>
      </c>
      <c r="D1252" s="9" t="s">
        <v>1237</v>
      </c>
      <c r="E1252" s="10"/>
      <c r="F1252" s="6">
        <v>55</v>
      </c>
      <c r="G1252" s="6">
        <f t="shared" si="67"/>
        <v>55</v>
      </c>
      <c r="H1252" s="6">
        <v>55</v>
      </c>
      <c r="I1252" s="6">
        <f t="shared" si="68"/>
        <v>0</v>
      </c>
      <c r="J1252" s="7" t="str">
        <f t="shared" si="66"/>
        <v>PAGADO</v>
      </c>
      <c r="M1252" s="8"/>
    </row>
    <row r="1253" spans="3:13" customFormat="1" x14ac:dyDescent="0.25">
      <c r="C1253" s="9" t="s">
        <v>1238</v>
      </c>
      <c r="D1253" s="9" t="s">
        <v>1237</v>
      </c>
      <c r="E1253" s="10"/>
      <c r="F1253" s="6">
        <v>45</v>
      </c>
      <c r="G1253" s="6">
        <f t="shared" si="67"/>
        <v>45</v>
      </c>
      <c r="H1253" s="6">
        <v>45</v>
      </c>
      <c r="I1253" s="6">
        <f t="shared" si="68"/>
        <v>0</v>
      </c>
      <c r="J1253" s="7" t="str">
        <f t="shared" si="66"/>
        <v>PAGADO</v>
      </c>
      <c r="M1253" s="8"/>
    </row>
    <row r="1254" spans="3:13" customFormat="1" x14ac:dyDescent="0.25">
      <c r="C1254" s="9" t="s">
        <v>1239</v>
      </c>
      <c r="D1254" t="s">
        <v>783</v>
      </c>
      <c r="E1254" s="10"/>
      <c r="F1254" s="6">
        <v>100</v>
      </c>
      <c r="G1254" s="6">
        <f t="shared" si="67"/>
        <v>100</v>
      </c>
      <c r="H1254" s="6">
        <v>100</v>
      </c>
      <c r="I1254" s="6">
        <f t="shared" si="68"/>
        <v>0</v>
      </c>
      <c r="J1254" s="7" t="str">
        <f t="shared" si="66"/>
        <v>PAGADO</v>
      </c>
      <c r="M1254" s="8"/>
    </row>
    <row r="1255" spans="3:13" customFormat="1" x14ac:dyDescent="0.25">
      <c r="C1255" s="9" t="s">
        <v>1240</v>
      </c>
      <c r="D1255" t="s">
        <v>129</v>
      </c>
      <c r="E1255" s="10"/>
      <c r="F1255" s="6">
        <v>60</v>
      </c>
      <c r="G1255" s="6">
        <f t="shared" si="67"/>
        <v>60</v>
      </c>
      <c r="H1255" s="6">
        <v>60</v>
      </c>
      <c r="I1255" s="6">
        <f t="shared" si="68"/>
        <v>0</v>
      </c>
      <c r="J1255" s="7" t="str">
        <f t="shared" si="66"/>
        <v>PAGADO</v>
      </c>
      <c r="M1255" s="8"/>
    </row>
    <row r="1256" spans="3:13" customFormat="1" x14ac:dyDescent="0.25">
      <c r="C1256" s="9" t="s">
        <v>1241</v>
      </c>
      <c r="D1256" t="s">
        <v>921</v>
      </c>
      <c r="E1256" s="10"/>
      <c r="F1256" s="6">
        <v>110</v>
      </c>
      <c r="G1256" s="6">
        <f t="shared" si="67"/>
        <v>110</v>
      </c>
      <c r="H1256" s="6">
        <v>110</v>
      </c>
      <c r="I1256" s="6">
        <f t="shared" si="68"/>
        <v>0</v>
      </c>
      <c r="J1256" s="7" t="str">
        <f t="shared" si="66"/>
        <v>PAGADO</v>
      </c>
      <c r="M1256" s="8"/>
    </row>
    <row r="1257" spans="3:13" customFormat="1" x14ac:dyDescent="0.25">
      <c r="C1257" s="9" t="s">
        <v>1242</v>
      </c>
      <c r="D1257" t="s">
        <v>921</v>
      </c>
      <c r="E1257" s="10"/>
      <c r="F1257" s="6">
        <v>190</v>
      </c>
      <c r="G1257" s="6">
        <f t="shared" si="67"/>
        <v>190</v>
      </c>
      <c r="H1257" s="6">
        <v>190</v>
      </c>
      <c r="I1257" s="6">
        <f t="shared" si="68"/>
        <v>0</v>
      </c>
      <c r="J1257" s="7" t="str">
        <f t="shared" si="66"/>
        <v>PAGADO</v>
      </c>
      <c r="M1257" s="8"/>
    </row>
    <row r="1258" spans="3:13" customFormat="1" x14ac:dyDescent="0.25">
      <c r="C1258" s="9" t="s">
        <v>1243</v>
      </c>
      <c r="D1258" s="9" t="s">
        <v>313</v>
      </c>
      <c r="E1258" s="10"/>
      <c r="F1258" s="6">
        <v>80</v>
      </c>
      <c r="G1258" s="6">
        <f t="shared" si="67"/>
        <v>80</v>
      </c>
      <c r="H1258" s="6">
        <v>80</v>
      </c>
      <c r="I1258" s="6">
        <f t="shared" si="68"/>
        <v>0</v>
      </c>
      <c r="J1258" s="7" t="str">
        <f t="shared" si="66"/>
        <v>PAGADO</v>
      </c>
      <c r="K1258" s="9"/>
      <c r="M1258" s="8"/>
    </row>
    <row r="1259" spans="3:13" customFormat="1" x14ac:dyDescent="0.25">
      <c r="C1259" s="9" t="s">
        <v>1244</v>
      </c>
      <c r="D1259" s="9" t="s">
        <v>313</v>
      </c>
      <c r="E1259" s="10"/>
      <c r="F1259" s="6">
        <v>80</v>
      </c>
      <c r="G1259" s="6">
        <f t="shared" si="67"/>
        <v>80</v>
      </c>
      <c r="H1259" s="6">
        <v>80</v>
      </c>
      <c r="I1259" s="6">
        <f t="shared" si="68"/>
        <v>0</v>
      </c>
      <c r="J1259" s="7" t="str">
        <f t="shared" si="66"/>
        <v>PAGADO</v>
      </c>
      <c r="K1259" s="9"/>
      <c r="M1259" s="8"/>
    </row>
    <row r="1260" spans="3:13" customFormat="1" x14ac:dyDescent="0.25">
      <c r="C1260" s="9" t="s">
        <v>1245</v>
      </c>
      <c r="D1260" s="9" t="s">
        <v>313</v>
      </c>
      <c r="E1260" s="10"/>
      <c r="F1260" s="6">
        <v>80</v>
      </c>
      <c r="G1260" s="6">
        <f t="shared" si="67"/>
        <v>80</v>
      </c>
      <c r="H1260" s="6">
        <v>80</v>
      </c>
      <c r="I1260" s="6">
        <f t="shared" si="68"/>
        <v>0</v>
      </c>
      <c r="J1260" s="7" t="str">
        <f t="shared" si="66"/>
        <v>PAGADO</v>
      </c>
      <c r="K1260" s="9"/>
      <c r="M1260" s="8"/>
    </row>
    <row r="1261" spans="3:13" customFormat="1" x14ac:dyDescent="0.25">
      <c r="C1261" s="9" t="s">
        <v>1246</v>
      </c>
      <c r="D1261" s="9" t="s">
        <v>1247</v>
      </c>
      <c r="E1261" s="10"/>
      <c r="F1261" s="6">
        <v>250</v>
      </c>
      <c r="G1261" s="6">
        <f t="shared" si="67"/>
        <v>250</v>
      </c>
      <c r="H1261" s="6">
        <v>250</v>
      </c>
      <c r="I1261" s="6">
        <f t="shared" si="68"/>
        <v>0</v>
      </c>
      <c r="J1261" s="7" t="str">
        <f t="shared" si="66"/>
        <v>PAGADO</v>
      </c>
      <c r="M1261" s="8"/>
    </row>
    <row r="1262" spans="3:13" customFormat="1" x14ac:dyDescent="0.25">
      <c r="C1262" t="s">
        <v>1248</v>
      </c>
      <c r="D1262" s="9" t="s">
        <v>1247</v>
      </c>
      <c r="E1262" s="10"/>
      <c r="F1262" s="6">
        <v>150</v>
      </c>
      <c r="G1262" s="6">
        <f t="shared" si="67"/>
        <v>150</v>
      </c>
      <c r="H1262" s="6">
        <f>50+100</f>
        <v>150</v>
      </c>
      <c r="I1262" s="6">
        <f t="shared" si="68"/>
        <v>0</v>
      </c>
      <c r="J1262" s="7" t="str">
        <f t="shared" si="66"/>
        <v>PAGADO</v>
      </c>
      <c r="M1262" s="8"/>
    </row>
    <row r="1263" spans="3:13" customFormat="1" x14ac:dyDescent="0.25">
      <c r="C1263" t="s">
        <v>1249</v>
      </c>
      <c r="D1263" s="9" t="s">
        <v>1247</v>
      </c>
      <c r="E1263" s="10"/>
      <c r="F1263" s="6">
        <v>150</v>
      </c>
      <c r="G1263" s="6">
        <f t="shared" si="67"/>
        <v>150</v>
      </c>
      <c r="H1263" s="6">
        <f>50+100</f>
        <v>150</v>
      </c>
      <c r="I1263" s="6">
        <f t="shared" si="68"/>
        <v>0</v>
      </c>
      <c r="J1263" s="7" t="str">
        <f t="shared" si="66"/>
        <v>PAGADO</v>
      </c>
      <c r="M1263" s="8"/>
    </row>
    <row r="1264" spans="3:13" customFormat="1" x14ac:dyDescent="0.25">
      <c r="C1264" t="s">
        <v>1250</v>
      </c>
      <c r="D1264" s="9" t="s">
        <v>1251</v>
      </c>
      <c r="E1264" s="10"/>
      <c r="F1264" s="6">
        <v>75</v>
      </c>
      <c r="G1264" s="6">
        <f t="shared" si="67"/>
        <v>75</v>
      </c>
      <c r="H1264" s="6">
        <v>75</v>
      </c>
      <c r="I1264" s="6">
        <f t="shared" si="68"/>
        <v>0</v>
      </c>
      <c r="J1264" s="7" t="str">
        <f t="shared" si="66"/>
        <v>PAGADO</v>
      </c>
      <c r="M1264" s="8"/>
    </row>
    <row r="1265" spans="3:13" customFormat="1" x14ac:dyDescent="0.25">
      <c r="C1265" t="s">
        <v>1252</v>
      </c>
      <c r="D1265" s="9" t="s">
        <v>313</v>
      </c>
      <c r="E1265" s="10"/>
      <c r="F1265" s="6">
        <v>140</v>
      </c>
      <c r="G1265" s="6">
        <f t="shared" si="67"/>
        <v>140</v>
      </c>
      <c r="H1265" s="6">
        <f>50+90</f>
        <v>140</v>
      </c>
      <c r="I1265" s="6">
        <f t="shared" si="68"/>
        <v>0</v>
      </c>
      <c r="J1265" s="7" t="str">
        <f t="shared" si="66"/>
        <v>PAGADO</v>
      </c>
      <c r="M1265" s="8"/>
    </row>
    <row r="1266" spans="3:13" customFormat="1" x14ac:dyDescent="0.25">
      <c r="C1266" t="s">
        <v>1253</v>
      </c>
      <c r="D1266" s="9" t="s">
        <v>325</v>
      </c>
      <c r="E1266" s="10"/>
      <c r="F1266" s="6">
        <v>70</v>
      </c>
      <c r="G1266" s="6">
        <f t="shared" si="67"/>
        <v>70</v>
      </c>
      <c r="H1266" s="6">
        <v>70</v>
      </c>
      <c r="I1266" s="6">
        <f t="shared" si="68"/>
        <v>0</v>
      </c>
      <c r="J1266" s="7" t="str">
        <f t="shared" si="66"/>
        <v>PAGADO</v>
      </c>
      <c r="M1266" s="8"/>
    </row>
    <row r="1267" spans="3:13" customFormat="1" x14ac:dyDescent="0.25">
      <c r="C1267" t="s">
        <v>1254</v>
      </c>
      <c r="D1267" s="9" t="s">
        <v>325</v>
      </c>
      <c r="E1267" s="10"/>
      <c r="F1267" s="6">
        <v>70</v>
      </c>
      <c r="G1267" s="6">
        <f t="shared" si="67"/>
        <v>70</v>
      </c>
      <c r="H1267" s="6">
        <v>70</v>
      </c>
      <c r="I1267" s="6">
        <f t="shared" si="68"/>
        <v>0</v>
      </c>
      <c r="J1267" s="7" t="str">
        <f t="shared" si="66"/>
        <v>PAGADO</v>
      </c>
      <c r="M1267" s="8"/>
    </row>
    <row r="1268" spans="3:13" customFormat="1" x14ac:dyDescent="0.25">
      <c r="C1268" t="s">
        <v>1255</v>
      </c>
      <c r="D1268" s="9" t="s">
        <v>1152</v>
      </c>
      <c r="E1268" s="10"/>
      <c r="F1268" s="6">
        <v>400</v>
      </c>
      <c r="G1268" s="6">
        <f t="shared" si="67"/>
        <v>400</v>
      </c>
      <c r="H1268" s="6">
        <f>50+300+50</f>
        <v>400</v>
      </c>
      <c r="I1268" s="6">
        <f t="shared" si="68"/>
        <v>0</v>
      </c>
      <c r="J1268" s="7" t="str">
        <f t="shared" si="66"/>
        <v>PAGADO</v>
      </c>
      <c r="M1268" s="8"/>
    </row>
    <row r="1269" spans="3:13" customFormat="1" x14ac:dyDescent="0.25">
      <c r="C1269" t="s">
        <v>1256</v>
      </c>
      <c r="D1269" s="9" t="s">
        <v>1152</v>
      </c>
      <c r="E1269" s="10"/>
      <c r="F1269" s="6">
        <v>80</v>
      </c>
      <c r="G1269" s="6">
        <f t="shared" si="67"/>
        <v>80</v>
      </c>
      <c r="H1269" s="6">
        <f>50+30</f>
        <v>80</v>
      </c>
      <c r="I1269" s="6">
        <f t="shared" si="68"/>
        <v>0</v>
      </c>
      <c r="J1269" s="7" t="str">
        <f t="shared" si="66"/>
        <v>PAGADO</v>
      </c>
      <c r="M1269" s="8"/>
    </row>
    <row r="1270" spans="3:13" customFormat="1" x14ac:dyDescent="0.25">
      <c r="C1270" t="s">
        <v>1257</v>
      </c>
      <c r="D1270" s="9" t="s">
        <v>325</v>
      </c>
      <c r="E1270" s="10"/>
      <c r="F1270" s="6">
        <v>80</v>
      </c>
      <c r="G1270" s="6">
        <f t="shared" si="67"/>
        <v>80</v>
      </c>
      <c r="H1270" s="6">
        <v>80</v>
      </c>
      <c r="I1270" s="6">
        <f t="shared" si="68"/>
        <v>0</v>
      </c>
      <c r="J1270" s="7" t="str">
        <f t="shared" si="66"/>
        <v>PAGADO</v>
      </c>
      <c r="M1270" s="8"/>
    </row>
    <row r="1271" spans="3:13" customFormat="1" x14ac:dyDescent="0.25">
      <c r="C1271" t="s">
        <v>1258</v>
      </c>
      <c r="D1271" s="9" t="s">
        <v>325</v>
      </c>
      <c r="E1271" s="10"/>
      <c r="F1271" s="6">
        <v>100</v>
      </c>
      <c r="G1271" s="6">
        <f t="shared" si="67"/>
        <v>100</v>
      </c>
      <c r="H1271" s="6">
        <v>100</v>
      </c>
      <c r="I1271" s="6">
        <f t="shared" si="68"/>
        <v>0</v>
      </c>
      <c r="J1271" s="7" t="str">
        <f t="shared" si="66"/>
        <v>PAGADO</v>
      </c>
      <c r="M1271" s="8"/>
    </row>
    <row r="1272" spans="3:13" customFormat="1" x14ac:dyDescent="0.25">
      <c r="C1272" t="s">
        <v>1259</v>
      </c>
      <c r="D1272" s="9" t="s">
        <v>325</v>
      </c>
      <c r="E1272" s="10"/>
      <c r="F1272" s="6">
        <v>70</v>
      </c>
      <c r="G1272" s="6">
        <f t="shared" si="67"/>
        <v>70</v>
      </c>
      <c r="H1272" s="6">
        <v>70</v>
      </c>
      <c r="I1272" s="6">
        <f t="shared" si="68"/>
        <v>0</v>
      </c>
      <c r="J1272" s="7" t="str">
        <f t="shared" si="66"/>
        <v>PAGADO</v>
      </c>
      <c r="M1272" s="8"/>
    </row>
    <row r="1273" spans="3:13" customFormat="1" x14ac:dyDescent="0.25">
      <c r="C1273" s="9" t="s">
        <v>1260</v>
      </c>
      <c r="D1273" s="9" t="s">
        <v>18</v>
      </c>
      <c r="E1273" s="10"/>
      <c r="F1273" s="6">
        <v>15</v>
      </c>
      <c r="G1273" s="6">
        <f t="shared" si="67"/>
        <v>15</v>
      </c>
      <c r="H1273" s="6">
        <v>15</v>
      </c>
      <c r="I1273" s="6">
        <f t="shared" si="68"/>
        <v>0</v>
      </c>
      <c r="J1273" s="7" t="str">
        <f t="shared" si="66"/>
        <v>PAGADO</v>
      </c>
      <c r="M1273" s="8"/>
    </row>
    <row r="1274" spans="3:13" customFormat="1" x14ac:dyDescent="0.25">
      <c r="C1274" s="9" t="s">
        <v>1261</v>
      </c>
      <c r="D1274" s="9" t="s">
        <v>597</v>
      </c>
      <c r="E1274" s="10"/>
      <c r="F1274" s="6">
        <v>65</v>
      </c>
      <c r="G1274" s="6">
        <f t="shared" si="67"/>
        <v>65</v>
      </c>
      <c r="H1274" s="6">
        <v>65</v>
      </c>
      <c r="I1274" s="6">
        <f t="shared" si="68"/>
        <v>0</v>
      </c>
      <c r="J1274" s="7" t="str">
        <f t="shared" si="66"/>
        <v>PAGADO</v>
      </c>
      <c r="M1274" s="8"/>
    </row>
    <row r="1275" spans="3:13" customFormat="1" x14ac:dyDescent="0.25">
      <c r="C1275" s="9" t="s">
        <v>1262</v>
      </c>
      <c r="D1275" s="9" t="s">
        <v>1263</v>
      </c>
      <c r="E1275" s="10"/>
      <c r="F1275" s="6">
        <v>190</v>
      </c>
      <c r="G1275" s="6">
        <f t="shared" si="67"/>
        <v>190</v>
      </c>
      <c r="H1275" s="6">
        <v>190</v>
      </c>
      <c r="I1275" s="6">
        <f t="shared" si="68"/>
        <v>0</v>
      </c>
      <c r="J1275" s="7" t="str">
        <f t="shared" si="66"/>
        <v>PAGADO</v>
      </c>
      <c r="M1275" s="8"/>
    </row>
    <row r="1276" spans="3:13" customFormat="1" x14ac:dyDescent="0.25">
      <c r="C1276" s="9" t="s">
        <v>1264</v>
      </c>
      <c r="D1276" s="9" t="s">
        <v>1263</v>
      </c>
      <c r="E1276" s="10"/>
      <c r="F1276" s="6">
        <v>90</v>
      </c>
      <c r="G1276" s="6">
        <f t="shared" si="67"/>
        <v>90</v>
      </c>
      <c r="H1276" s="6">
        <v>90</v>
      </c>
      <c r="I1276" s="6">
        <f t="shared" si="68"/>
        <v>0</v>
      </c>
      <c r="J1276" s="7" t="str">
        <f t="shared" si="66"/>
        <v>PAGADO</v>
      </c>
      <c r="M1276" s="8"/>
    </row>
    <row r="1277" spans="3:13" customFormat="1" x14ac:dyDescent="0.25">
      <c r="C1277" t="s">
        <v>1265</v>
      </c>
      <c r="D1277" s="9" t="s">
        <v>33</v>
      </c>
      <c r="E1277" s="10"/>
      <c r="F1277" s="6">
        <v>80</v>
      </c>
      <c r="G1277" s="6">
        <f t="shared" si="67"/>
        <v>80</v>
      </c>
      <c r="H1277" s="6">
        <v>80</v>
      </c>
      <c r="I1277" s="12">
        <f t="shared" si="68"/>
        <v>0</v>
      </c>
      <c r="J1277" s="7" t="str">
        <f t="shared" si="66"/>
        <v>PAGADO</v>
      </c>
      <c r="M1277" s="8"/>
    </row>
    <row r="1278" spans="3:13" customFormat="1" x14ac:dyDescent="0.25">
      <c r="C1278" s="9" t="s">
        <v>1266</v>
      </c>
      <c r="D1278" s="9" t="s">
        <v>523</v>
      </c>
      <c r="E1278" s="10"/>
      <c r="F1278" s="6">
        <v>80</v>
      </c>
      <c r="G1278" s="6">
        <f t="shared" si="67"/>
        <v>80</v>
      </c>
      <c r="H1278" s="6">
        <v>80</v>
      </c>
      <c r="I1278" s="6">
        <f t="shared" si="68"/>
        <v>0</v>
      </c>
      <c r="J1278" s="7" t="str">
        <f t="shared" si="66"/>
        <v>PAGADO</v>
      </c>
      <c r="M1278" s="8"/>
    </row>
    <row r="1279" spans="3:13" customFormat="1" x14ac:dyDescent="0.25">
      <c r="C1279" s="9" t="s">
        <v>1267</v>
      </c>
      <c r="D1279" s="9" t="s">
        <v>816</v>
      </c>
      <c r="E1279" s="10"/>
      <c r="F1279" s="6">
        <v>125</v>
      </c>
      <c r="G1279" s="6">
        <f t="shared" si="67"/>
        <v>125</v>
      </c>
      <c r="H1279" s="6">
        <v>125</v>
      </c>
      <c r="I1279" s="26">
        <f t="shared" si="68"/>
        <v>0</v>
      </c>
      <c r="J1279" s="7" t="str">
        <f t="shared" si="66"/>
        <v>PAGADO</v>
      </c>
      <c r="M1279" s="8"/>
    </row>
    <row r="1280" spans="3:13" customFormat="1" x14ac:dyDescent="0.25">
      <c r="C1280" s="9" t="s">
        <v>1268</v>
      </c>
      <c r="D1280" s="9" t="s">
        <v>816</v>
      </c>
      <c r="E1280" s="10"/>
      <c r="F1280" s="6">
        <v>50</v>
      </c>
      <c r="G1280" s="6">
        <f t="shared" si="67"/>
        <v>50</v>
      </c>
      <c r="H1280" s="6">
        <v>50</v>
      </c>
      <c r="I1280" s="26">
        <f t="shared" si="68"/>
        <v>0</v>
      </c>
      <c r="J1280" s="7" t="str">
        <f t="shared" si="66"/>
        <v>PAGADO</v>
      </c>
      <c r="M1280" s="8"/>
    </row>
    <row r="1281" spans="3:13" customFormat="1" x14ac:dyDescent="0.25">
      <c r="C1281" s="9" t="s">
        <v>1269</v>
      </c>
      <c r="D1281" s="9" t="s">
        <v>816</v>
      </c>
      <c r="E1281" s="10"/>
      <c r="F1281" s="6">
        <v>30</v>
      </c>
      <c r="G1281" s="6">
        <f t="shared" si="67"/>
        <v>30</v>
      </c>
      <c r="H1281" s="6">
        <v>30</v>
      </c>
      <c r="I1281" s="26">
        <f t="shared" si="68"/>
        <v>0</v>
      </c>
      <c r="J1281" s="7" t="str">
        <f t="shared" si="66"/>
        <v>PAGADO</v>
      </c>
      <c r="M1281" s="8"/>
    </row>
    <row r="1282" spans="3:13" customFormat="1" x14ac:dyDescent="0.25">
      <c r="C1282" s="9" t="s">
        <v>1270</v>
      </c>
      <c r="D1282" t="s">
        <v>129</v>
      </c>
      <c r="E1282" s="10"/>
      <c r="F1282" s="6">
        <v>20</v>
      </c>
      <c r="G1282" s="6">
        <f t="shared" si="67"/>
        <v>20</v>
      </c>
      <c r="H1282" s="6">
        <v>20</v>
      </c>
      <c r="I1282" s="6">
        <f t="shared" si="68"/>
        <v>0</v>
      </c>
      <c r="J1282" s="7" t="str">
        <f t="shared" si="66"/>
        <v>PAGADO</v>
      </c>
      <c r="M1282" s="8"/>
    </row>
    <row r="1283" spans="3:13" customFormat="1" x14ac:dyDescent="0.25">
      <c r="C1283" s="9" t="s">
        <v>1271</v>
      </c>
      <c r="D1283" t="s">
        <v>129</v>
      </c>
      <c r="E1283" s="10"/>
      <c r="F1283" s="6">
        <v>15</v>
      </c>
      <c r="G1283" s="6">
        <f t="shared" si="67"/>
        <v>15</v>
      </c>
      <c r="H1283" s="6">
        <v>15</v>
      </c>
      <c r="I1283" s="6">
        <f t="shared" si="68"/>
        <v>0</v>
      </c>
      <c r="J1283" s="7" t="str">
        <f t="shared" si="66"/>
        <v>PAGADO</v>
      </c>
      <c r="M1283" s="8"/>
    </row>
    <row r="1284" spans="3:13" customFormat="1" x14ac:dyDescent="0.25">
      <c r="C1284" s="9" t="s">
        <v>1272</v>
      </c>
      <c r="D1284" t="s">
        <v>129</v>
      </c>
      <c r="E1284" s="10"/>
      <c r="F1284" s="6">
        <v>35</v>
      </c>
      <c r="G1284" s="6">
        <f t="shared" si="67"/>
        <v>35</v>
      </c>
      <c r="H1284" s="6">
        <v>35</v>
      </c>
      <c r="I1284" s="6">
        <f t="shared" si="68"/>
        <v>0</v>
      </c>
      <c r="J1284" s="7" t="str">
        <f t="shared" si="66"/>
        <v>PAGADO</v>
      </c>
      <c r="M1284" s="8"/>
    </row>
    <row r="1285" spans="3:13" customFormat="1" x14ac:dyDescent="0.25">
      <c r="C1285" t="s">
        <v>1273</v>
      </c>
      <c r="D1285" s="9" t="s">
        <v>74</v>
      </c>
      <c r="E1285" s="10"/>
      <c r="F1285" s="6">
        <v>25</v>
      </c>
      <c r="G1285" s="6">
        <f t="shared" si="67"/>
        <v>25</v>
      </c>
      <c r="H1285" s="6">
        <v>25</v>
      </c>
      <c r="I1285" s="43">
        <f t="shared" si="68"/>
        <v>0</v>
      </c>
      <c r="J1285" s="7" t="str">
        <f t="shared" si="66"/>
        <v>PAGADO</v>
      </c>
      <c r="M1285" s="8"/>
    </row>
    <row r="1286" spans="3:13" customFormat="1" x14ac:dyDescent="0.25">
      <c r="C1286" t="s">
        <v>1274</v>
      </c>
      <c r="D1286" s="9" t="s">
        <v>1145</v>
      </c>
      <c r="E1286" s="10"/>
      <c r="F1286" s="6">
        <v>16</v>
      </c>
      <c r="G1286" s="6">
        <f t="shared" si="67"/>
        <v>16</v>
      </c>
      <c r="H1286" s="6">
        <v>16</v>
      </c>
      <c r="I1286" s="6">
        <f t="shared" si="68"/>
        <v>0</v>
      </c>
      <c r="J1286" s="7" t="str">
        <f t="shared" si="66"/>
        <v>PAGADO</v>
      </c>
      <c r="M1286" s="8"/>
    </row>
    <row r="1287" spans="3:13" customFormat="1" x14ac:dyDescent="0.25">
      <c r="C1287" s="9" t="s">
        <v>1064</v>
      </c>
      <c r="D1287" s="9" t="s">
        <v>127</v>
      </c>
      <c r="E1287" s="10"/>
      <c r="F1287" s="6">
        <v>75</v>
      </c>
      <c r="G1287" s="6">
        <f t="shared" si="67"/>
        <v>75</v>
      </c>
      <c r="H1287" s="6">
        <v>75</v>
      </c>
      <c r="I1287" s="6">
        <f t="shared" si="68"/>
        <v>0</v>
      </c>
      <c r="J1287" s="7" t="str">
        <f t="shared" si="66"/>
        <v>PAGADO</v>
      </c>
      <c r="M1287" s="8"/>
    </row>
    <row r="1288" spans="3:13" customFormat="1" x14ac:dyDescent="0.25">
      <c r="C1288" s="9" t="s">
        <v>1275</v>
      </c>
      <c r="D1288" s="9" t="s">
        <v>816</v>
      </c>
      <c r="E1288" s="10"/>
      <c r="F1288" s="6">
        <v>80</v>
      </c>
      <c r="G1288" s="6">
        <f t="shared" si="67"/>
        <v>80</v>
      </c>
      <c r="H1288" s="6">
        <v>80</v>
      </c>
      <c r="I1288" s="26">
        <f t="shared" si="68"/>
        <v>0</v>
      </c>
      <c r="J1288" s="7" t="str">
        <f t="shared" si="66"/>
        <v>PAGADO</v>
      </c>
      <c r="M1288" s="8"/>
    </row>
    <row r="1289" spans="3:13" customFormat="1" x14ac:dyDescent="0.25">
      <c r="C1289" s="9" t="s">
        <v>1276</v>
      </c>
      <c r="D1289" s="9" t="s">
        <v>816</v>
      </c>
      <c r="E1289" s="10"/>
      <c r="F1289" s="6">
        <v>75</v>
      </c>
      <c r="G1289" s="6">
        <f t="shared" si="67"/>
        <v>75</v>
      </c>
      <c r="H1289" s="6">
        <v>75</v>
      </c>
      <c r="I1289" s="26">
        <f t="shared" si="68"/>
        <v>0</v>
      </c>
      <c r="J1289" s="7" t="str">
        <f t="shared" si="66"/>
        <v>PAGADO</v>
      </c>
      <c r="M1289" s="8"/>
    </row>
    <row r="1290" spans="3:13" customFormat="1" x14ac:dyDescent="0.25">
      <c r="C1290" s="9" t="s">
        <v>1277</v>
      </c>
      <c r="D1290" s="9" t="s">
        <v>816</v>
      </c>
      <c r="E1290" s="10"/>
      <c r="F1290" s="6">
        <v>80</v>
      </c>
      <c r="G1290" s="6">
        <f t="shared" si="67"/>
        <v>80</v>
      </c>
      <c r="H1290" s="6">
        <v>80</v>
      </c>
      <c r="I1290" s="26">
        <f t="shared" si="68"/>
        <v>0</v>
      </c>
      <c r="J1290" s="7" t="str">
        <f t="shared" si="66"/>
        <v>PAGADO</v>
      </c>
      <c r="M1290" s="8"/>
    </row>
    <row r="1291" spans="3:13" customFormat="1" x14ac:dyDescent="0.25">
      <c r="C1291" s="9" t="s">
        <v>1278</v>
      </c>
      <c r="D1291" s="9" t="s">
        <v>941</v>
      </c>
      <c r="E1291" s="10"/>
      <c r="F1291" s="6">
        <v>30</v>
      </c>
      <c r="G1291" s="6">
        <f t="shared" si="67"/>
        <v>30</v>
      </c>
      <c r="H1291" s="6">
        <v>30</v>
      </c>
      <c r="I1291" s="6">
        <f t="shared" si="68"/>
        <v>0</v>
      </c>
      <c r="J1291" s="7" t="str">
        <f t="shared" si="66"/>
        <v>PAGADO</v>
      </c>
      <c r="M1291" s="8"/>
    </row>
    <row r="1292" spans="3:13" customFormat="1" x14ac:dyDescent="0.25">
      <c r="C1292" s="9" t="s">
        <v>1279</v>
      </c>
      <c r="D1292" t="s">
        <v>680</v>
      </c>
      <c r="E1292" s="10"/>
      <c r="F1292" s="6">
        <v>60</v>
      </c>
      <c r="G1292" s="6">
        <f t="shared" si="67"/>
        <v>60</v>
      </c>
      <c r="H1292" s="6">
        <v>60</v>
      </c>
      <c r="I1292" s="6">
        <f t="shared" si="68"/>
        <v>0</v>
      </c>
      <c r="J1292" s="7" t="str">
        <f t="shared" si="66"/>
        <v>PAGADO</v>
      </c>
      <c r="M1292" s="8"/>
    </row>
    <row r="1293" spans="3:13" customFormat="1" x14ac:dyDescent="0.25">
      <c r="C1293" s="9" t="s">
        <v>1280</v>
      </c>
      <c r="D1293" t="s">
        <v>680</v>
      </c>
      <c r="E1293" s="10"/>
      <c r="F1293" s="6">
        <v>60</v>
      </c>
      <c r="G1293" s="6">
        <f t="shared" si="67"/>
        <v>60</v>
      </c>
      <c r="H1293" s="6">
        <v>60</v>
      </c>
      <c r="I1293" s="6">
        <f t="shared" si="68"/>
        <v>0</v>
      </c>
      <c r="J1293" s="7" t="str">
        <f t="shared" ref="J1293:J1356" si="69">IF(I1293&gt;0,"DEBE","PAGADO")</f>
        <v>PAGADO</v>
      </c>
      <c r="M1293" s="8"/>
    </row>
    <row r="1294" spans="3:13" customFormat="1" x14ac:dyDescent="0.25">
      <c r="C1294" t="s">
        <v>1281</v>
      </c>
      <c r="D1294" t="s">
        <v>39</v>
      </c>
      <c r="E1294" s="10"/>
      <c r="F1294" s="6">
        <v>60</v>
      </c>
      <c r="G1294" s="6">
        <f t="shared" si="67"/>
        <v>60</v>
      </c>
      <c r="H1294" s="6">
        <v>60</v>
      </c>
      <c r="I1294" s="6">
        <f t="shared" si="68"/>
        <v>0</v>
      </c>
      <c r="J1294" s="7" t="str">
        <f t="shared" si="69"/>
        <v>PAGADO</v>
      </c>
      <c r="M1294" s="8"/>
    </row>
    <row r="1295" spans="3:13" customFormat="1" x14ac:dyDescent="0.25">
      <c r="C1295" t="s">
        <v>1282</v>
      </c>
      <c r="D1295" s="9" t="s">
        <v>74</v>
      </c>
      <c r="E1295" s="10"/>
      <c r="F1295" s="6">
        <v>480</v>
      </c>
      <c r="G1295" s="6">
        <f t="shared" si="67"/>
        <v>480</v>
      </c>
      <c r="H1295" s="6">
        <v>0</v>
      </c>
      <c r="I1295" s="6">
        <f t="shared" si="68"/>
        <v>480</v>
      </c>
      <c r="J1295" s="7" t="str">
        <f t="shared" si="69"/>
        <v>DEBE</v>
      </c>
      <c r="M1295" s="8"/>
    </row>
    <row r="1296" spans="3:13" customFormat="1" x14ac:dyDescent="0.25">
      <c r="C1296" s="9" t="s">
        <v>1283</v>
      </c>
      <c r="D1296" s="9" t="s">
        <v>809</v>
      </c>
      <c r="E1296" s="10"/>
      <c r="F1296" s="6">
        <v>170</v>
      </c>
      <c r="G1296" s="6">
        <f t="shared" si="67"/>
        <v>170</v>
      </c>
      <c r="H1296" s="6">
        <v>170</v>
      </c>
      <c r="I1296" s="6">
        <f t="shared" si="68"/>
        <v>0</v>
      </c>
      <c r="J1296" s="7" t="str">
        <f t="shared" si="69"/>
        <v>PAGADO</v>
      </c>
      <c r="K1296" s="9"/>
      <c r="M1296" s="8"/>
    </row>
    <row r="1297" spans="3:13" customFormat="1" x14ac:dyDescent="0.25">
      <c r="C1297" s="9" t="s">
        <v>1284</v>
      </c>
      <c r="D1297" s="9" t="s">
        <v>597</v>
      </c>
      <c r="E1297" s="10"/>
      <c r="F1297" s="6">
        <v>170</v>
      </c>
      <c r="G1297" s="6">
        <f t="shared" si="67"/>
        <v>170</v>
      </c>
      <c r="H1297" s="6">
        <f>50+30+90</f>
        <v>170</v>
      </c>
      <c r="I1297" s="6">
        <f t="shared" si="68"/>
        <v>0</v>
      </c>
      <c r="J1297" s="7" t="str">
        <f t="shared" si="69"/>
        <v>PAGADO</v>
      </c>
      <c r="K1297" s="9"/>
      <c r="M1297" s="8"/>
    </row>
    <row r="1298" spans="3:13" customFormat="1" x14ac:dyDescent="0.25">
      <c r="C1298" s="9" t="s">
        <v>1285</v>
      </c>
      <c r="D1298" s="9" t="s">
        <v>597</v>
      </c>
      <c r="E1298" s="10"/>
      <c r="F1298" s="6">
        <v>160</v>
      </c>
      <c r="G1298" s="6">
        <f t="shared" si="67"/>
        <v>160</v>
      </c>
      <c r="H1298" s="6">
        <f>100+60</f>
        <v>160</v>
      </c>
      <c r="I1298" s="6">
        <f t="shared" si="68"/>
        <v>0</v>
      </c>
      <c r="J1298" s="7" t="str">
        <f t="shared" si="69"/>
        <v>PAGADO</v>
      </c>
      <c r="K1298" s="9"/>
      <c r="M1298" s="8"/>
    </row>
    <row r="1299" spans="3:13" customFormat="1" x14ac:dyDescent="0.25">
      <c r="C1299" s="9" t="s">
        <v>1286</v>
      </c>
      <c r="D1299" s="9" t="s">
        <v>597</v>
      </c>
      <c r="E1299" s="10"/>
      <c r="F1299" s="6">
        <v>185</v>
      </c>
      <c r="G1299" s="6">
        <f t="shared" si="67"/>
        <v>185</v>
      </c>
      <c r="H1299" s="6">
        <f>100+85</f>
        <v>185</v>
      </c>
      <c r="I1299" s="6">
        <f t="shared" si="68"/>
        <v>0</v>
      </c>
      <c r="J1299" s="7" t="str">
        <f t="shared" si="69"/>
        <v>PAGADO</v>
      </c>
      <c r="K1299" s="9"/>
      <c r="M1299" s="8"/>
    </row>
    <row r="1300" spans="3:13" customFormat="1" x14ac:dyDescent="0.25">
      <c r="C1300" s="9" t="s">
        <v>1287</v>
      </c>
      <c r="D1300" s="9" t="s">
        <v>597</v>
      </c>
      <c r="E1300" s="10"/>
      <c r="F1300" s="6">
        <v>150</v>
      </c>
      <c r="G1300" s="6">
        <f t="shared" si="67"/>
        <v>150</v>
      </c>
      <c r="H1300" s="6">
        <f>100+50</f>
        <v>150</v>
      </c>
      <c r="I1300" s="6">
        <f t="shared" si="68"/>
        <v>0</v>
      </c>
      <c r="J1300" s="7" t="str">
        <f t="shared" si="69"/>
        <v>PAGADO</v>
      </c>
      <c r="K1300" s="9"/>
      <c r="M1300" s="8"/>
    </row>
    <row r="1301" spans="3:13" customFormat="1" x14ac:dyDescent="0.25">
      <c r="C1301" t="s">
        <v>1288</v>
      </c>
      <c r="D1301" s="9" t="s">
        <v>33</v>
      </c>
      <c r="E1301" s="10"/>
      <c r="F1301" s="6">
        <v>110</v>
      </c>
      <c r="G1301" s="6">
        <f t="shared" si="67"/>
        <v>110</v>
      </c>
      <c r="H1301" s="6">
        <v>110</v>
      </c>
      <c r="I1301" s="47">
        <f t="shared" si="68"/>
        <v>0</v>
      </c>
      <c r="J1301" s="7" t="str">
        <f t="shared" si="69"/>
        <v>PAGADO</v>
      </c>
      <c r="M1301" s="8"/>
    </row>
    <row r="1302" spans="3:13" customFormat="1" x14ac:dyDescent="0.25">
      <c r="C1302" s="9" t="s">
        <v>1289</v>
      </c>
      <c r="D1302" t="s">
        <v>153</v>
      </c>
      <c r="E1302" s="10"/>
      <c r="F1302" s="6">
        <v>75</v>
      </c>
      <c r="G1302" s="6">
        <f t="shared" si="67"/>
        <v>75</v>
      </c>
      <c r="H1302" s="6">
        <f>35+40</f>
        <v>75</v>
      </c>
      <c r="I1302" s="6">
        <f t="shared" si="68"/>
        <v>0</v>
      </c>
      <c r="J1302" s="7" t="str">
        <f t="shared" si="69"/>
        <v>PAGADO</v>
      </c>
      <c r="M1302" s="8"/>
    </row>
    <row r="1303" spans="3:13" customFormat="1" x14ac:dyDescent="0.25">
      <c r="C1303" s="9" t="s">
        <v>1287</v>
      </c>
      <c r="D1303" t="s">
        <v>1290</v>
      </c>
      <c r="E1303" s="10"/>
      <c r="F1303" s="6">
        <v>150</v>
      </c>
      <c r="G1303" s="6">
        <f t="shared" si="67"/>
        <v>150</v>
      </c>
      <c r="H1303" s="6">
        <f>75+75</f>
        <v>150</v>
      </c>
      <c r="I1303" s="6">
        <f t="shared" si="68"/>
        <v>0</v>
      </c>
      <c r="J1303" s="7" t="str">
        <f t="shared" si="69"/>
        <v>PAGADO</v>
      </c>
      <c r="K1303" s="9"/>
      <c r="M1303" s="8"/>
    </row>
    <row r="1304" spans="3:13" customFormat="1" x14ac:dyDescent="0.25">
      <c r="C1304" s="9" t="s">
        <v>1291</v>
      </c>
      <c r="D1304" t="s">
        <v>781</v>
      </c>
      <c r="E1304" s="10"/>
      <c r="F1304" s="6">
        <v>170</v>
      </c>
      <c r="G1304" s="6">
        <f t="shared" si="67"/>
        <v>170</v>
      </c>
      <c r="H1304" s="6">
        <f>85+85</f>
        <v>170</v>
      </c>
      <c r="I1304" s="6">
        <f t="shared" si="68"/>
        <v>0</v>
      </c>
      <c r="J1304" s="7" t="str">
        <f t="shared" si="69"/>
        <v>PAGADO</v>
      </c>
      <c r="M1304" s="8"/>
    </row>
    <row r="1305" spans="3:13" customFormat="1" x14ac:dyDescent="0.25">
      <c r="C1305" s="9" t="s">
        <v>1291</v>
      </c>
      <c r="D1305" t="s">
        <v>67</v>
      </c>
      <c r="E1305" s="10"/>
      <c r="F1305" s="6">
        <v>170</v>
      </c>
      <c r="G1305" s="6">
        <f t="shared" si="67"/>
        <v>170</v>
      </c>
      <c r="H1305" s="6">
        <f>85+85</f>
        <v>170</v>
      </c>
      <c r="I1305" s="26">
        <f t="shared" si="68"/>
        <v>0</v>
      </c>
      <c r="J1305" s="7" t="str">
        <f t="shared" si="69"/>
        <v>PAGADO</v>
      </c>
      <c r="M1305" s="8"/>
    </row>
    <row r="1306" spans="3:13" customFormat="1" x14ac:dyDescent="0.25">
      <c r="C1306" s="9" t="s">
        <v>1291</v>
      </c>
      <c r="D1306" t="s">
        <v>1019</v>
      </c>
      <c r="E1306" s="10"/>
      <c r="F1306" s="6">
        <v>170</v>
      </c>
      <c r="G1306" s="6">
        <f t="shared" si="67"/>
        <v>170</v>
      </c>
      <c r="H1306" s="6">
        <f>85+85</f>
        <v>170</v>
      </c>
      <c r="I1306" s="6">
        <f t="shared" si="68"/>
        <v>0</v>
      </c>
      <c r="J1306" s="7" t="str">
        <f t="shared" si="69"/>
        <v>PAGADO</v>
      </c>
      <c r="M1306" s="8"/>
    </row>
    <row r="1307" spans="3:13" customFormat="1" x14ac:dyDescent="0.25">
      <c r="C1307" s="9" t="s">
        <v>1291</v>
      </c>
      <c r="D1307" t="s">
        <v>921</v>
      </c>
      <c r="E1307" s="10"/>
      <c r="F1307" s="6">
        <v>170</v>
      </c>
      <c r="G1307" s="6">
        <f t="shared" si="67"/>
        <v>170</v>
      </c>
      <c r="H1307" s="6">
        <f>130+40</f>
        <v>170</v>
      </c>
      <c r="I1307" s="6">
        <f t="shared" si="68"/>
        <v>0</v>
      </c>
      <c r="J1307" s="7" t="str">
        <f t="shared" si="69"/>
        <v>PAGADO</v>
      </c>
      <c r="M1307" s="8"/>
    </row>
    <row r="1308" spans="3:13" customFormat="1" x14ac:dyDescent="0.25">
      <c r="C1308" s="9" t="s">
        <v>1292</v>
      </c>
      <c r="D1308" t="s">
        <v>488</v>
      </c>
      <c r="E1308" s="10"/>
      <c r="F1308" s="6">
        <v>35</v>
      </c>
      <c r="G1308" s="6">
        <f t="shared" si="67"/>
        <v>35</v>
      </c>
      <c r="H1308" s="6">
        <v>35</v>
      </c>
      <c r="I1308" s="6">
        <f t="shared" si="68"/>
        <v>0</v>
      </c>
      <c r="J1308" s="7" t="str">
        <f t="shared" si="69"/>
        <v>PAGADO</v>
      </c>
      <c r="M1308" s="8"/>
    </row>
    <row r="1309" spans="3:13" customFormat="1" x14ac:dyDescent="0.25">
      <c r="C1309" s="9" t="s">
        <v>1293</v>
      </c>
      <c r="D1309" s="9" t="s">
        <v>80</v>
      </c>
      <c r="E1309" s="10"/>
      <c r="F1309" s="6">
        <v>350</v>
      </c>
      <c r="G1309" s="6">
        <f t="shared" si="67"/>
        <v>350</v>
      </c>
      <c r="H1309" s="6">
        <f>160+100+60+15+15</f>
        <v>350</v>
      </c>
      <c r="I1309" s="6">
        <f t="shared" si="68"/>
        <v>0</v>
      </c>
      <c r="J1309" s="7" t="str">
        <f t="shared" si="69"/>
        <v>PAGADO</v>
      </c>
      <c r="M1309" s="8"/>
    </row>
    <row r="1310" spans="3:13" customFormat="1" x14ac:dyDescent="0.25">
      <c r="C1310" s="9" t="s">
        <v>1294</v>
      </c>
      <c r="D1310" t="s">
        <v>781</v>
      </c>
      <c r="E1310" s="10"/>
      <c r="F1310" s="6">
        <v>90</v>
      </c>
      <c r="G1310" s="6">
        <f t="shared" si="67"/>
        <v>90</v>
      </c>
      <c r="H1310" s="6">
        <f>30+60</f>
        <v>90</v>
      </c>
      <c r="I1310" s="6">
        <f t="shared" si="68"/>
        <v>0</v>
      </c>
      <c r="J1310" s="7" t="str">
        <f t="shared" si="69"/>
        <v>PAGADO</v>
      </c>
      <c r="M1310" s="8"/>
    </row>
    <row r="1311" spans="3:13" customFormat="1" x14ac:dyDescent="0.25">
      <c r="C1311" s="9" t="s">
        <v>1295</v>
      </c>
      <c r="D1311" s="9" t="s">
        <v>1296</v>
      </c>
      <c r="E1311" s="10"/>
      <c r="F1311" s="6">
        <v>130</v>
      </c>
      <c r="G1311" s="6">
        <f t="shared" ref="G1311:G1374" si="70">F1311-E1311</f>
        <v>130</v>
      </c>
      <c r="H1311" s="6">
        <v>130</v>
      </c>
      <c r="I1311" s="6">
        <f t="shared" ref="I1311:I1374" si="71">F1311-H1311</f>
        <v>0</v>
      </c>
      <c r="J1311" s="7" t="str">
        <f t="shared" si="69"/>
        <v>PAGADO</v>
      </c>
      <c r="M1311" s="8"/>
    </row>
    <row r="1312" spans="3:13" customFormat="1" x14ac:dyDescent="0.25">
      <c r="C1312" s="9" t="s">
        <v>1297</v>
      </c>
      <c r="D1312" s="9" t="s">
        <v>1298</v>
      </c>
      <c r="E1312" s="10"/>
      <c r="F1312" s="6">
        <v>55</v>
      </c>
      <c r="G1312" s="6">
        <f t="shared" si="70"/>
        <v>55</v>
      </c>
      <c r="H1312" s="6">
        <v>55</v>
      </c>
      <c r="I1312" s="6">
        <f t="shared" si="71"/>
        <v>0</v>
      </c>
      <c r="J1312" s="7" t="str">
        <f t="shared" si="69"/>
        <v>PAGADO</v>
      </c>
      <c r="M1312" s="8"/>
    </row>
    <row r="1313" spans="3:13" customFormat="1" x14ac:dyDescent="0.25">
      <c r="C1313" s="9" t="s">
        <v>1294</v>
      </c>
      <c r="D1313" s="9" t="s">
        <v>1298</v>
      </c>
      <c r="E1313" s="10"/>
      <c r="F1313" s="6">
        <v>100</v>
      </c>
      <c r="G1313" s="6">
        <f t="shared" si="70"/>
        <v>100</v>
      </c>
      <c r="H1313" s="6">
        <v>100</v>
      </c>
      <c r="I1313" s="6">
        <f t="shared" si="71"/>
        <v>0</v>
      </c>
      <c r="J1313" s="7" t="str">
        <f t="shared" si="69"/>
        <v>PAGADO</v>
      </c>
      <c r="M1313" s="8"/>
    </row>
    <row r="1314" spans="3:13" customFormat="1" x14ac:dyDescent="0.25">
      <c r="C1314" t="s">
        <v>1064</v>
      </c>
      <c r="D1314" s="9" t="s">
        <v>814</v>
      </c>
      <c r="E1314" s="10"/>
      <c r="F1314" s="6">
        <v>75</v>
      </c>
      <c r="G1314" s="6">
        <f t="shared" si="70"/>
        <v>75</v>
      </c>
      <c r="H1314" s="6">
        <v>75</v>
      </c>
      <c r="I1314" s="6">
        <f t="shared" si="71"/>
        <v>0</v>
      </c>
      <c r="J1314" s="7" t="str">
        <f t="shared" si="69"/>
        <v>PAGADO</v>
      </c>
      <c r="M1314" s="8"/>
    </row>
    <row r="1315" spans="3:13" customFormat="1" x14ac:dyDescent="0.25">
      <c r="C1315" s="9" t="s">
        <v>1299</v>
      </c>
      <c r="D1315" s="9" t="s">
        <v>597</v>
      </c>
      <c r="E1315" s="10"/>
      <c r="F1315" s="6">
        <v>262.5</v>
      </c>
      <c r="G1315" s="6">
        <f t="shared" si="70"/>
        <v>262.5</v>
      </c>
      <c r="H1315" s="6">
        <f>225+37.5</f>
        <v>262.5</v>
      </c>
      <c r="I1315" s="6">
        <f t="shared" si="71"/>
        <v>0</v>
      </c>
      <c r="J1315" s="7" t="str">
        <f t="shared" si="69"/>
        <v>PAGADO</v>
      </c>
      <c r="K1315" s="9"/>
      <c r="M1315" s="8"/>
    </row>
    <row r="1316" spans="3:13" customFormat="1" x14ac:dyDescent="0.25">
      <c r="C1316" s="9" t="s">
        <v>1299</v>
      </c>
      <c r="D1316" s="9" t="s">
        <v>597</v>
      </c>
      <c r="E1316" s="10"/>
      <c r="F1316" s="6">
        <v>262.5</v>
      </c>
      <c r="G1316" s="6">
        <f t="shared" si="70"/>
        <v>262.5</v>
      </c>
      <c r="H1316" s="6">
        <f>225+37.5</f>
        <v>262.5</v>
      </c>
      <c r="I1316" s="6">
        <f t="shared" si="71"/>
        <v>0</v>
      </c>
      <c r="J1316" s="7" t="str">
        <f t="shared" si="69"/>
        <v>PAGADO</v>
      </c>
      <c r="K1316" s="9"/>
      <c r="M1316" s="8"/>
    </row>
    <row r="1317" spans="3:13" customFormat="1" x14ac:dyDescent="0.25">
      <c r="C1317" s="9" t="s">
        <v>1299</v>
      </c>
      <c r="D1317" s="9" t="s">
        <v>597</v>
      </c>
      <c r="E1317" s="10"/>
      <c r="F1317" s="6">
        <v>262.5</v>
      </c>
      <c r="G1317" s="6">
        <f t="shared" si="70"/>
        <v>262.5</v>
      </c>
      <c r="H1317" s="6">
        <f>225+37.5</f>
        <v>262.5</v>
      </c>
      <c r="I1317" s="6">
        <f t="shared" si="71"/>
        <v>0</v>
      </c>
      <c r="J1317" s="7" t="str">
        <f t="shared" si="69"/>
        <v>PAGADO</v>
      </c>
      <c r="K1317" s="9"/>
      <c r="M1317" s="8"/>
    </row>
    <row r="1318" spans="3:13" customFormat="1" x14ac:dyDescent="0.25">
      <c r="C1318" s="9" t="s">
        <v>1299</v>
      </c>
      <c r="D1318" s="9" t="s">
        <v>597</v>
      </c>
      <c r="E1318" s="10"/>
      <c r="F1318" s="6">
        <v>262.5</v>
      </c>
      <c r="G1318" s="6">
        <f t="shared" si="70"/>
        <v>262.5</v>
      </c>
      <c r="H1318" s="6">
        <f>225+37.5</f>
        <v>262.5</v>
      </c>
      <c r="I1318" s="26">
        <f t="shared" si="71"/>
        <v>0</v>
      </c>
      <c r="J1318" s="7" t="str">
        <f t="shared" si="69"/>
        <v>PAGADO</v>
      </c>
      <c r="K1318" s="9"/>
      <c r="M1318" s="8"/>
    </row>
    <row r="1319" spans="3:13" customFormat="1" x14ac:dyDescent="0.25">
      <c r="C1319" t="s">
        <v>1300</v>
      </c>
      <c r="D1319" s="9" t="s">
        <v>1152</v>
      </c>
      <c r="E1319" s="10"/>
      <c r="F1319" s="6">
        <v>180</v>
      </c>
      <c r="G1319" s="6">
        <f t="shared" si="70"/>
        <v>180</v>
      </c>
      <c r="H1319" s="6">
        <f>100+80</f>
        <v>180</v>
      </c>
      <c r="I1319" s="6">
        <f t="shared" si="71"/>
        <v>0</v>
      </c>
      <c r="J1319" s="7" t="str">
        <f t="shared" si="69"/>
        <v>PAGADO</v>
      </c>
      <c r="M1319" s="8"/>
    </row>
    <row r="1320" spans="3:13" customFormat="1" x14ac:dyDescent="0.25">
      <c r="C1320" s="9" t="s">
        <v>1301</v>
      </c>
      <c r="D1320" t="s">
        <v>1290</v>
      </c>
      <c r="E1320" s="10"/>
      <c r="F1320" s="6">
        <v>270</v>
      </c>
      <c r="G1320" s="6">
        <f t="shared" si="70"/>
        <v>270</v>
      </c>
      <c r="H1320" s="6">
        <v>270</v>
      </c>
      <c r="I1320" s="6">
        <f t="shared" si="71"/>
        <v>0</v>
      </c>
      <c r="J1320" s="7" t="str">
        <f t="shared" si="69"/>
        <v>PAGADO</v>
      </c>
      <c r="K1320" s="9"/>
      <c r="M1320" s="8"/>
    </row>
    <row r="1321" spans="3:13" customFormat="1" x14ac:dyDescent="0.25">
      <c r="C1321" s="9" t="s">
        <v>1302</v>
      </c>
      <c r="D1321" t="s">
        <v>202</v>
      </c>
      <c r="E1321" s="10"/>
      <c r="F1321" s="6">
        <v>480</v>
      </c>
      <c r="G1321" s="6">
        <f t="shared" si="70"/>
        <v>480</v>
      </c>
      <c r="H1321" s="6">
        <f>50+380+50</f>
        <v>480</v>
      </c>
      <c r="I1321" s="6">
        <f t="shared" si="71"/>
        <v>0</v>
      </c>
      <c r="J1321" s="7" t="str">
        <f t="shared" si="69"/>
        <v>PAGADO</v>
      </c>
      <c r="K1321" s="9"/>
      <c r="M1321" s="8"/>
    </row>
    <row r="1322" spans="3:13" customFormat="1" x14ac:dyDescent="0.25">
      <c r="C1322" s="9" t="s">
        <v>1303</v>
      </c>
      <c r="D1322" s="9" t="s">
        <v>692</v>
      </c>
      <c r="E1322" s="10"/>
      <c r="F1322" s="6">
        <v>75</v>
      </c>
      <c r="G1322" s="6">
        <f t="shared" si="70"/>
        <v>75</v>
      </c>
      <c r="H1322" s="6">
        <v>75</v>
      </c>
      <c r="I1322" s="6">
        <f t="shared" si="71"/>
        <v>0</v>
      </c>
      <c r="J1322" s="7" t="str">
        <f t="shared" si="69"/>
        <v>PAGADO</v>
      </c>
      <c r="M1322" s="8"/>
    </row>
    <row r="1323" spans="3:13" customFormat="1" x14ac:dyDescent="0.25">
      <c r="C1323" s="9" t="s">
        <v>1304</v>
      </c>
      <c r="D1323" s="9" t="s">
        <v>692</v>
      </c>
      <c r="E1323" s="10"/>
      <c r="F1323" s="6">
        <v>75</v>
      </c>
      <c r="G1323" s="6">
        <f t="shared" si="70"/>
        <v>75</v>
      </c>
      <c r="H1323" s="6">
        <v>75</v>
      </c>
      <c r="I1323" s="6">
        <f t="shared" si="71"/>
        <v>0</v>
      </c>
      <c r="J1323" s="7" t="str">
        <f t="shared" si="69"/>
        <v>PAGADO</v>
      </c>
      <c r="M1323" s="8"/>
    </row>
    <row r="1324" spans="3:13" customFormat="1" x14ac:dyDescent="0.25">
      <c r="C1324" s="9" t="s">
        <v>1305</v>
      </c>
      <c r="D1324" s="9" t="s">
        <v>1306</v>
      </c>
      <c r="E1324" s="10"/>
      <c r="F1324" s="6">
        <v>50</v>
      </c>
      <c r="G1324" s="6">
        <f t="shared" si="70"/>
        <v>50</v>
      </c>
      <c r="H1324" s="6">
        <v>50</v>
      </c>
      <c r="I1324" s="6">
        <f t="shared" si="71"/>
        <v>0</v>
      </c>
      <c r="J1324" s="7" t="str">
        <f t="shared" si="69"/>
        <v>PAGADO</v>
      </c>
      <c r="M1324" s="8"/>
    </row>
    <row r="1325" spans="3:13" customFormat="1" x14ac:dyDescent="0.25">
      <c r="C1325" s="9" t="s">
        <v>1307</v>
      </c>
      <c r="D1325" s="9" t="s">
        <v>1306</v>
      </c>
      <c r="E1325" s="10"/>
      <c r="F1325" s="6">
        <v>70</v>
      </c>
      <c r="G1325" s="6">
        <f t="shared" si="70"/>
        <v>70</v>
      </c>
      <c r="H1325" s="6">
        <v>70</v>
      </c>
      <c r="I1325" s="6">
        <f t="shared" si="71"/>
        <v>0</v>
      </c>
      <c r="J1325" s="7" t="str">
        <f t="shared" si="69"/>
        <v>PAGADO</v>
      </c>
      <c r="M1325" s="8"/>
    </row>
    <row r="1326" spans="3:13" customFormat="1" x14ac:dyDescent="0.25">
      <c r="C1326" s="9" t="s">
        <v>1308</v>
      </c>
      <c r="D1326" s="9" t="s">
        <v>1309</v>
      </c>
      <c r="E1326" s="10"/>
      <c r="F1326" s="6">
        <v>70</v>
      </c>
      <c r="G1326" s="6">
        <f t="shared" si="70"/>
        <v>70</v>
      </c>
      <c r="H1326" s="6">
        <v>70</v>
      </c>
      <c r="I1326" s="6">
        <f t="shared" si="71"/>
        <v>0</v>
      </c>
      <c r="J1326" s="7" t="str">
        <f t="shared" si="69"/>
        <v>PAGADO</v>
      </c>
      <c r="M1326" s="8"/>
    </row>
    <row r="1327" spans="3:13" customFormat="1" x14ac:dyDescent="0.25">
      <c r="C1327" s="9" t="s">
        <v>1310</v>
      </c>
      <c r="D1327" s="9" t="s">
        <v>1309</v>
      </c>
      <c r="E1327" s="10"/>
      <c r="F1327" s="6">
        <v>70</v>
      </c>
      <c r="G1327" s="6">
        <f t="shared" si="70"/>
        <v>70</v>
      </c>
      <c r="H1327" s="6">
        <v>70</v>
      </c>
      <c r="I1327" s="6">
        <f t="shared" si="71"/>
        <v>0</v>
      </c>
      <c r="J1327" s="7" t="str">
        <f t="shared" si="69"/>
        <v>PAGADO</v>
      </c>
      <c r="M1327" s="8"/>
    </row>
    <row r="1328" spans="3:13" customFormat="1" x14ac:dyDescent="0.25">
      <c r="C1328" s="9" t="s">
        <v>1311</v>
      </c>
      <c r="D1328" s="9" t="s">
        <v>1309</v>
      </c>
      <c r="E1328" s="10"/>
      <c r="F1328" s="6">
        <v>80</v>
      </c>
      <c r="G1328" s="6">
        <f t="shared" si="70"/>
        <v>80</v>
      </c>
      <c r="H1328" s="6">
        <v>80</v>
      </c>
      <c r="I1328" s="6">
        <f t="shared" si="71"/>
        <v>0</v>
      </c>
      <c r="J1328" s="7" t="str">
        <f t="shared" si="69"/>
        <v>PAGADO</v>
      </c>
      <c r="M1328" s="8"/>
    </row>
    <row r="1329" spans="3:13" customFormat="1" x14ac:dyDescent="0.25">
      <c r="C1329" s="9" t="s">
        <v>1312</v>
      </c>
      <c r="D1329" s="9" t="s">
        <v>1313</v>
      </c>
      <c r="E1329" s="10"/>
      <c r="F1329" s="6">
        <v>150</v>
      </c>
      <c r="G1329" s="6">
        <f t="shared" si="70"/>
        <v>150</v>
      </c>
      <c r="H1329" s="6">
        <v>150</v>
      </c>
      <c r="I1329" s="6">
        <f t="shared" si="71"/>
        <v>0</v>
      </c>
      <c r="J1329" s="7" t="str">
        <f t="shared" si="69"/>
        <v>PAGADO</v>
      </c>
      <c r="M1329" s="8"/>
    </row>
    <row r="1330" spans="3:13" customFormat="1" x14ac:dyDescent="0.25">
      <c r="C1330" s="9" t="s">
        <v>1314</v>
      </c>
      <c r="D1330" s="9" t="s">
        <v>202</v>
      </c>
      <c r="E1330" s="10"/>
      <c r="F1330" s="6">
        <v>350</v>
      </c>
      <c r="G1330" s="6">
        <f t="shared" si="70"/>
        <v>350</v>
      </c>
      <c r="H1330" s="6">
        <v>350</v>
      </c>
      <c r="I1330" s="6">
        <f t="shared" si="71"/>
        <v>0</v>
      </c>
      <c r="J1330" s="7" t="str">
        <f t="shared" si="69"/>
        <v>PAGADO</v>
      </c>
      <c r="M1330" s="8"/>
    </row>
    <row r="1331" spans="3:13" customFormat="1" x14ac:dyDescent="0.25">
      <c r="C1331" s="9" t="s">
        <v>1315</v>
      </c>
      <c r="D1331" s="9" t="s">
        <v>816</v>
      </c>
      <c r="E1331" s="10"/>
      <c r="F1331" s="6">
        <v>160</v>
      </c>
      <c r="G1331" s="6">
        <f t="shared" si="70"/>
        <v>160</v>
      </c>
      <c r="H1331" s="6">
        <v>160</v>
      </c>
      <c r="I1331" s="26">
        <f t="shared" si="71"/>
        <v>0</v>
      </c>
      <c r="J1331" s="7" t="str">
        <f t="shared" si="69"/>
        <v>PAGADO</v>
      </c>
      <c r="M1331" s="8"/>
    </row>
    <row r="1332" spans="3:13" customFormat="1" x14ac:dyDescent="0.25">
      <c r="C1332" s="9" t="s">
        <v>1316</v>
      </c>
      <c r="D1332" s="9" t="s">
        <v>816</v>
      </c>
      <c r="E1332" s="10"/>
      <c r="F1332" s="6">
        <v>260</v>
      </c>
      <c r="G1332" s="6">
        <f t="shared" si="70"/>
        <v>260</v>
      </c>
      <c r="H1332" s="6">
        <v>260</v>
      </c>
      <c r="I1332" s="26">
        <f t="shared" si="71"/>
        <v>0</v>
      </c>
      <c r="J1332" s="7" t="str">
        <f t="shared" si="69"/>
        <v>PAGADO</v>
      </c>
      <c r="M1332" s="8"/>
    </row>
    <row r="1333" spans="3:13" customFormat="1" x14ac:dyDescent="0.25">
      <c r="C1333" s="9" t="s">
        <v>1317</v>
      </c>
      <c r="D1333" s="9" t="s">
        <v>816</v>
      </c>
      <c r="E1333" s="10"/>
      <c r="F1333" s="6">
        <v>260</v>
      </c>
      <c r="G1333" s="6">
        <f t="shared" si="70"/>
        <v>260</v>
      </c>
      <c r="H1333" s="6">
        <v>260</v>
      </c>
      <c r="I1333" s="26">
        <f t="shared" si="71"/>
        <v>0</v>
      </c>
      <c r="J1333" s="7" t="str">
        <f t="shared" si="69"/>
        <v>PAGADO</v>
      </c>
      <c r="M1333" s="8"/>
    </row>
    <row r="1334" spans="3:13" customFormat="1" x14ac:dyDescent="0.25">
      <c r="C1334" s="9" t="s">
        <v>1318</v>
      </c>
      <c r="D1334" s="9" t="s">
        <v>45</v>
      </c>
      <c r="E1334" s="10"/>
      <c r="F1334" s="6">
        <v>35</v>
      </c>
      <c r="G1334" s="6">
        <f t="shared" si="70"/>
        <v>35</v>
      </c>
      <c r="H1334" s="6">
        <v>35</v>
      </c>
      <c r="I1334" s="6">
        <f t="shared" si="71"/>
        <v>0</v>
      </c>
      <c r="J1334" s="7" t="str">
        <f t="shared" si="69"/>
        <v>PAGADO</v>
      </c>
      <c r="M1334" s="8"/>
    </row>
    <row r="1335" spans="3:13" customFormat="1" x14ac:dyDescent="0.25">
      <c r="C1335" s="9" t="s">
        <v>1319</v>
      </c>
      <c r="D1335" s="9" t="s">
        <v>45</v>
      </c>
      <c r="E1335" s="10"/>
      <c r="F1335" s="6">
        <v>50</v>
      </c>
      <c r="G1335" s="6">
        <f t="shared" si="70"/>
        <v>50</v>
      </c>
      <c r="H1335" s="6">
        <v>50</v>
      </c>
      <c r="I1335" s="6">
        <f t="shared" si="71"/>
        <v>0</v>
      </c>
      <c r="J1335" s="7" t="str">
        <f t="shared" si="69"/>
        <v>PAGADO</v>
      </c>
      <c r="M1335" s="8"/>
    </row>
    <row r="1336" spans="3:13" customFormat="1" x14ac:dyDescent="0.25">
      <c r="C1336" s="9" t="s">
        <v>1320</v>
      </c>
      <c r="D1336" s="9" t="s">
        <v>18</v>
      </c>
      <c r="E1336" s="10"/>
      <c r="F1336" s="6">
        <v>75</v>
      </c>
      <c r="G1336" s="6">
        <f t="shared" si="70"/>
        <v>75</v>
      </c>
      <c r="H1336" s="6">
        <f>40+35</f>
        <v>75</v>
      </c>
      <c r="I1336" s="6">
        <f t="shared" si="71"/>
        <v>0</v>
      </c>
      <c r="J1336" s="7" t="str">
        <f t="shared" si="69"/>
        <v>PAGADO</v>
      </c>
      <c r="M1336" s="8"/>
    </row>
    <row r="1337" spans="3:13" customFormat="1" x14ac:dyDescent="0.25">
      <c r="C1337" s="9" t="s">
        <v>1321</v>
      </c>
      <c r="D1337" s="9" t="s">
        <v>1247</v>
      </c>
      <c r="E1337" s="10"/>
      <c r="F1337" s="6">
        <v>25</v>
      </c>
      <c r="G1337" s="6">
        <f t="shared" si="70"/>
        <v>25</v>
      </c>
      <c r="H1337" s="6">
        <v>25</v>
      </c>
      <c r="I1337" s="6">
        <f t="shared" si="71"/>
        <v>0</v>
      </c>
      <c r="J1337" s="7" t="str">
        <f t="shared" si="69"/>
        <v>PAGADO</v>
      </c>
      <c r="M1337" s="8"/>
    </row>
    <row r="1338" spans="3:13" customFormat="1" x14ac:dyDescent="0.25">
      <c r="C1338" s="9" t="s">
        <v>1322</v>
      </c>
      <c r="D1338" s="9" t="s">
        <v>1247</v>
      </c>
      <c r="E1338" s="10"/>
      <c r="F1338" s="6">
        <v>20</v>
      </c>
      <c r="G1338" s="6">
        <f t="shared" si="70"/>
        <v>20</v>
      </c>
      <c r="H1338" s="6">
        <v>20</v>
      </c>
      <c r="I1338" s="6">
        <f t="shared" si="71"/>
        <v>0</v>
      </c>
      <c r="J1338" s="7" t="str">
        <f t="shared" si="69"/>
        <v>PAGADO</v>
      </c>
      <c r="M1338" s="8"/>
    </row>
    <row r="1339" spans="3:13" customFormat="1" x14ac:dyDescent="0.25">
      <c r="C1339" s="9" t="s">
        <v>1323</v>
      </c>
      <c r="D1339" s="9" t="s">
        <v>238</v>
      </c>
      <c r="E1339" s="10"/>
      <c r="F1339" s="6">
        <v>560</v>
      </c>
      <c r="G1339" s="6">
        <f t="shared" si="70"/>
        <v>560</v>
      </c>
      <c r="H1339" s="6">
        <f>290+270</f>
        <v>560</v>
      </c>
      <c r="I1339" s="6">
        <f t="shared" si="71"/>
        <v>0</v>
      </c>
      <c r="J1339" s="7" t="str">
        <f t="shared" si="69"/>
        <v>PAGADO</v>
      </c>
      <c r="K1339" s="9"/>
      <c r="M1339" s="8"/>
    </row>
    <row r="1340" spans="3:13" customFormat="1" x14ac:dyDescent="0.25">
      <c r="C1340" s="9" t="s">
        <v>1324</v>
      </c>
      <c r="D1340" s="9" t="s">
        <v>809</v>
      </c>
      <c r="E1340" s="10"/>
      <c r="F1340" s="6">
        <v>50</v>
      </c>
      <c r="G1340" s="6">
        <f t="shared" si="70"/>
        <v>50</v>
      </c>
      <c r="H1340" s="6">
        <v>50</v>
      </c>
      <c r="I1340" s="6">
        <f t="shared" si="71"/>
        <v>0</v>
      </c>
      <c r="J1340" s="7" t="str">
        <f t="shared" si="69"/>
        <v>PAGADO</v>
      </c>
      <c r="M1340" s="8"/>
    </row>
    <row r="1341" spans="3:13" customFormat="1" x14ac:dyDescent="0.25">
      <c r="C1341" s="9" t="s">
        <v>1325</v>
      </c>
      <c r="D1341" t="s">
        <v>39</v>
      </c>
      <c r="E1341" s="10"/>
      <c r="F1341" s="6">
        <v>50</v>
      </c>
      <c r="G1341" s="6">
        <f t="shared" si="70"/>
        <v>50</v>
      </c>
      <c r="H1341" s="6">
        <v>50</v>
      </c>
      <c r="I1341" s="6">
        <f t="shared" si="71"/>
        <v>0</v>
      </c>
      <c r="J1341" s="7" t="str">
        <f t="shared" si="69"/>
        <v>PAGADO</v>
      </c>
      <c r="M1341" s="8"/>
    </row>
    <row r="1342" spans="3:13" customFormat="1" x14ac:dyDescent="0.25">
      <c r="C1342" s="9" t="s">
        <v>1326</v>
      </c>
      <c r="D1342" s="9" t="s">
        <v>1327</v>
      </c>
      <c r="E1342" s="10"/>
      <c r="F1342" s="6">
        <v>400</v>
      </c>
      <c r="G1342" s="6">
        <f t="shared" si="70"/>
        <v>400</v>
      </c>
      <c r="H1342" s="6">
        <v>400</v>
      </c>
      <c r="I1342" s="6">
        <f t="shared" si="71"/>
        <v>0</v>
      </c>
      <c r="J1342" s="7" t="str">
        <f t="shared" si="69"/>
        <v>PAGADO</v>
      </c>
      <c r="M1342" s="8"/>
    </row>
    <row r="1343" spans="3:13" customFormat="1" x14ac:dyDescent="0.25">
      <c r="C1343" s="9" t="s">
        <v>1328</v>
      </c>
      <c r="D1343" s="9" t="s">
        <v>1327</v>
      </c>
      <c r="E1343" s="10"/>
      <c r="F1343" s="6">
        <v>130</v>
      </c>
      <c r="G1343" s="6">
        <f t="shared" si="70"/>
        <v>130</v>
      </c>
      <c r="H1343" s="6">
        <v>130</v>
      </c>
      <c r="I1343" s="6">
        <f t="shared" si="71"/>
        <v>0</v>
      </c>
      <c r="J1343" s="7" t="str">
        <f t="shared" si="69"/>
        <v>PAGADO</v>
      </c>
      <c r="M1343" s="8"/>
    </row>
    <row r="1344" spans="3:13" customFormat="1" x14ac:dyDescent="0.25">
      <c r="C1344" s="9" t="s">
        <v>1329</v>
      </c>
      <c r="D1344" s="9" t="s">
        <v>1327</v>
      </c>
      <c r="E1344" s="10"/>
      <c r="F1344" s="6">
        <v>100</v>
      </c>
      <c r="G1344" s="6">
        <f t="shared" si="70"/>
        <v>100</v>
      </c>
      <c r="H1344" s="6">
        <v>100</v>
      </c>
      <c r="I1344" s="6">
        <f t="shared" si="71"/>
        <v>0</v>
      </c>
      <c r="J1344" s="7" t="str">
        <f t="shared" si="69"/>
        <v>PAGADO</v>
      </c>
      <c r="M1344" s="8"/>
    </row>
    <row r="1345" spans="3:13" customFormat="1" x14ac:dyDescent="0.25">
      <c r="C1345" s="9" t="s">
        <v>1330</v>
      </c>
      <c r="D1345" s="9" t="s">
        <v>1327</v>
      </c>
      <c r="E1345" s="10"/>
      <c r="F1345" s="6">
        <v>100</v>
      </c>
      <c r="G1345" s="6">
        <f t="shared" si="70"/>
        <v>100</v>
      </c>
      <c r="H1345" s="6">
        <v>100</v>
      </c>
      <c r="I1345" s="6">
        <f t="shared" si="71"/>
        <v>0</v>
      </c>
      <c r="J1345" s="7" t="str">
        <f t="shared" si="69"/>
        <v>PAGADO</v>
      </c>
      <c r="M1345" s="8"/>
    </row>
    <row r="1346" spans="3:13" customFormat="1" x14ac:dyDescent="0.25">
      <c r="C1346" s="9" t="s">
        <v>1331</v>
      </c>
      <c r="D1346" s="9" t="s">
        <v>816</v>
      </c>
      <c r="E1346" s="10"/>
      <c r="F1346" s="6">
        <v>160</v>
      </c>
      <c r="G1346" s="6">
        <f t="shared" si="70"/>
        <v>160</v>
      </c>
      <c r="H1346" s="6">
        <v>160</v>
      </c>
      <c r="I1346" s="26">
        <f t="shared" si="71"/>
        <v>0</v>
      </c>
      <c r="J1346" s="7" t="str">
        <f t="shared" si="69"/>
        <v>PAGADO</v>
      </c>
      <c r="M1346" s="8"/>
    </row>
    <row r="1347" spans="3:13" customFormat="1" x14ac:dyDescent="0.25">
      <c r="C1347" s="9" t="s">
        <v>1332</v>
      </c>
      <c r="D1347" s="9" t="s">
        <v>816</v>
      </c>
      <c r="E1347" s="10"/>
      <c r="F1347" s="6">
        <v>90</v>
      </c>
      <c r="G1347" s="6">
        <f t="shared" si="70"/>
        <v>90</v>
      </c>
      <c r="H1347" s="6">
        <v>90</v>
      </c>
      <c r="I1347" s="26">
        <f t="shared" si="71"/>
        <v>0</v>
      </c>
      <c r="J1347" s="7" t="str">
        <f t="shared" si="69"/>
        <v>PAGADO</v>
      </c>
      <c r="M1347" s="8"/>
    </row>
    <row r="1348" spans="3:13" customFormat="1" x14ac:dyDescent="0.25">
      <c r="C1348" s="9" t="s">
        <v>1333</v>
      </c>
      <c r="D1348" s="9" t="s">
        <v>67</v>
      </c>
      <c r="E1348" s="10"/>
      <c r="F1348" s="6">
        <v>90</v>
      </c>
      <c r="G1348" s="6">
        <f t="shared" si="70"/>
        <v>90</v>
      </c>
      <c r="H1348" s="6">
        <f>45+30+15</f>
        <v>90</v>
      </c>
      <c r="I1348" s="26">
        <f t="shared" si="71"/>
        <v>0</v>
      </c>
      <c r="J1348" s="7" t="str">
        <f t="shared" si="69"/>
        <v>PAGADO</v>
      </c>
      <c r="M1348" s="8"/>
    </row>
    <row r="1349" spans="3:13" customFormat="1" x14ac:dyDescent="0.25">
      <c r="C1349" s="9" t="s">
        <v>1334</v>
      </c>
      <c r="D1349" s="9" t="s">
        <v>33</v>
      </c>
      <c r="E1349" s="10"/>
      <c r="F1349" s="6">
        <v>780</v>
      </c>
      <c r="G1349" s="6">
        <f t="shared" si="70"/>
        <v>780</v>
      </c>
      <c r="H1349" s="6">
        <v>780</v>
      </c>
      <c r="I1349" s="12">
        <f t="shared" si="71"/>
        <v>0</v>
      </c>
      <c r="J1349" s="7" t="str">
        <f t="shared" si="69"/>
        <v>PAGADO</v>
      </c>
      <c r="M1349" s="8"/>
    </row>
    <row r="1350" spans="3:13" customFormat="1" x14ac:dyDescent="0.25">
      <c r="C1350" s="9" t="s">
        <v>1335</v>
      </c>
      <c r="D1350" s="9" t="s">
        <v>33</v>
      </c>
      <c r="E1350" s="10"/>
      <c r="F1350" s="6">
        <v>55</v>
      </c>
      <c r="G1350" s="6">
        <f t="shared" si="70"/>
        <v>55</v>
      </c>
      <c r="H1350" s="6">
        <v>55</v>
      </c>
      <c r="I1350" s="47">
        <f t="shared" si="71"/>
        <v>0</v>
      </c>
      <c r="J1350" s="7" t="str">
        <f t="shared" si="69"/>
        <v>PAGADO</v>
      </c>
      <c r="M1350" s="8"/>
    </row>
    <row r="1351" spans="3:13" customFormat="1" x14ac:dyDescent="0.25">
      <c r="C1351" s="9" t="s">
        <v>1336</v>
      </c>
      <c r="D1351" s="9" t="s">
        <v>597</v>
      </c>
      <c r="E1351" s="10"/>
      <c r="F1351" s="6">
        <v>60</v>
      </c>
      <c r="G1351" s="6">
        <f t="shared" si="70"/>
        <v>60</v>
      </c>
      <c r="H1351" s="6">
        <v>60</v>
      </c>
      <c r="I1351" s="26">
        <f t="shared" si="71"/>
        <v>0</v>
      </c>
      <c r="J1351" s="7" t="str">
        <f t="shared" si="69"/>
        <v>PAGADO</v>
      </c>
      <c r="K1351" s="9"/>
      <c r="M1351" s="8"/>
    </row>
    <row r="1352" spans="3:13" customFormat="1" x14ac:dyDescent="0.25">
      <c r="C1352" s="9" t="s">
        <v>1337</v>
      </c>
      <c r="D1352" s="9" t="s">
        <v>597</v>
      </c>
      <c r="E1352" s="10"/>
      <c r="F1352" s="6">
        <v>25</v>
      </c>
      <c r="G1352" s="6">
        <f t="shared" si="70"/>
        <v>25</v>
      </c>
      <c r="H1352" s="6">
        <v>25</v>
      </c>
      <c r="I1352" s="26">
        <f t="shared" si="71"/>
        <v>0</v>
      </c>
      <c r="J1352" s="7" t="str">
        <f t="shared" si="69"/>
        <v>PAGADO</v>
      </c>
      <c r="K1352" s="9"/>
      <c r="M1352" s="8"/>
    </row>
    <row r="1353" spans="3:13" customFormat="1" x14ac:dyDescent="0.25">
      <c r="C1353" s="9" t="s">
        <v>1338</v>
      </c>
      <c r="D1353" s="9" t="s">
        <v>597</v>
      </c>
      <c r="E1353" s="10"/>
      <c r="F1353" s="6">
        <v>25</v>
      </c>
      <c r="G1353" s="6">
        <f t="shared" si="70"/>
        <v>25</v>
      </c>
      <c r="H1353" s="6">
        <v>25</v>
      </c>
      <c r="I1353" s="26">
        <f t="shared" si="71"/>
        <v>0</v>
      </c>
      <c r="J1353" s="7" t="str">
        <f t="shared" si="69"/>
        <v>PAGADO</v>
      </c>
      <c r="K1353" s="9"/>
      <c r="M1353" s="8"/>
    </row>
    <row r="1354" spans="3:13" customFormat="1" x14ac:dyDescent="0.25">
      <c r="C1354" s="9" t="s">
        <v>1339</v>
      </c>
      <c r="D1354" s="9" t="s">
        <v>597</v>
      </c>
      <c r="E1354" s="10"/>
      <c r="F1354" s="6">
        <v>20</v>
      </c>
      <c r="G1354" s="6">
        <f t="shared" si="70"/>
        <v>20</v>
      </c>
      <c r="H1354" s="6">
        <v>20</v>
      </c>
      <c r="I1354" s="26">
        <f t="shared" si="71"/>
        <v>0</v>
      </c>
      <c r="J1354" s="7" t="str">
        <f t="shared" si="69"/>
        <v>PAGADO</v>
      </c>
      <c r="K1354" s="9"/>
      <c r="M1354" s="8"/>
    </row>
    <row r="1355" spans="3:13" customFormat="1" x14ac:dyDescent="0.25">
      <c r="C1355" s="9" t="s">
        <v>1340</v>
      </c>
      <c r="D1355" s="9" t="s">
        <v>597</v>
      </c>
      <c r="E1355" s="10"/>
      <c r="F1355" s="6">
        <v>100</v>
      </c>
      <c r="G1355" s="6">
        <f t="shared" si="70"/>
        <v>100</v>
      </c>
      <c r="H1355" s="6">
        <v>100</v>
      </c>
      <c r="I1355" s="26">
        <f t="shared" si="71"/>
        <v>0</v>
      </c>
      <c r="J1355" s="7" t="str">
        <f t="shared" si="69"/>
        <v>PAGADO</v>
      </c>
      <c r="K1355" s="9"/>
      <c r="M1355" s="8"/>
    </row>
    <row r="1356" spans="3:13" customFormat="1" x14ac:dyDescent="0.25">
      <c r="C1356" s="9" t="s">
        <v>1341</v>
      </c>
      <c r="D1356" s="9" t="s">
        <v>238</v>
      </c>
      <c r="E1356" s="10"/>
      <c r="F1356" s="6">
        <v>100</v>
      </c>
      <c r="G1356" s="6">
        <f t="shared" si="70"/>
        <v>100</v>
      </c>
      <c r="H1356" s="6">
        <v>100</v>
      </c>
      <c r="I1356" s="6">
        <f t="shared" si="71"/>
        <v>0</v>
      </c>
      <c r="J1356" s="7" t="str">
        <f t="shared" si="69"/>
        <v>PAGADO</v>
      </c>
      <c r="K1356" s="9"/>
      <c r="M1356" s="8"/>
    </row>
    <row r="1357" spans="3:13" customFormat="1" x14ac:dyDescent="0.25">
      <c r="C1357" s="9" t="s">
        <v>1342</v>
      </c>
      <c r="D1357" s="9" t="s">
        <v>1309</v>
      </c>
      <c r="E1357" s="10"/>
      <c r="F1357" s="6">
        <v>80</v>
      </c>
      <c r="G1357" s="6">
        <f t="shared" si="70"/>
        <v>80</v>
      </c>
      <c r="H1357" s="6">
        <v>80</v>
      </c>
      <c r="I1357" s="6">
        <f t="shared" si="71"/>
        <v>0</v>
      </c>
      <c r="J1357" s="7" t="str">
        <f t="shared" ref="J1357:J1420" si="72">IF(I1357&gt;0,"DEBE","PAGADO")</f>
        <v>PAGADO</v>
      </c>
      <c r="M1357" s="8"/>
    </row>
    <row r="1358" spans="3:13" customFormat="1" x14ac:dyDescent="0.25">
      <c r="C1358" s="9" t="s">
        <v>801</v>
      </c>
      <c r="D1358" s="9" t="s">
        <v>1309</v>
      </c>
      <c r="E1358" s="10"/>
      <c r="F1358" s="6">
        <v>50</v>
      </c>
      <c r="G1358" s="6">
        <f t="shared" si="70"/>
        <v>50</v>
      </c>
      <c r="H1358" s="6">
        <v>50</v>
      </c>
      <c r="I1358" s="6">
        <f t="shared" si="71"/>
        <v>0</v>
      </c>
      <c r="J1358" s="7" t="str">
        <f t="shared" si="72"/>
        <v>PAGADO</v>
      </c>
      <c r="M1358" s="8"/>
    </row>
    <row r="1359" spans="3:13" customFormat="1" x14ac:dyDescent="0.25">
      <c r="C1359" s="9" t="s">
        <v>950</v>
      </c>
      <c r="D1359" t="s">
        <v>153</v>
      </c>
      <c r="E1359" s="10"/>
      <c r="F1359" s="6">
        <v>70</v>
      </c>
      <c r="G1359" s="6">
        <f t="shared" si="70"/>
        <v>70</v>
      </c>
      <c r="H1359" s="6">
        <v>70</v>
      </c>
      <c r="I1359" s="6">
        <f t="shared" si="71"/>
        <v>0</v>
      </c>
      <c r="J1359" s="7" t="str">
        <f t="shared" si="72"/>
        <v>PAGADO</v>
      </c>
      <c r="M1359" s="8"/>
    </row>
    <row r="1360" spans="3:13" customFormat="1" x14ac:dyDescent="0.25">
      <c r="C1360" s="9" t="s">
        <v>1343</v>
      </c>
      <c r="D1360" s="9" t="s">
        <v>816</v>
      </c>
      <c r="E1360" s="10"/>
      <c r="F1360" s="6">
        <v>70</v>
      </c>
      <c r="G1360" s="6">
        <f t="shared" si="70"/>
        <v>70</v>
      </c>
      <c r="H1360" s="6">
        <v>70</v>
      </c>
      <c r="I1360" s="26">
        <f t="shared" si="71"/>
        <v>0</v>
      </c>
      <c r="J1360" s="7" t="str">
        <f t="shared" si="72"/>
        <v>PAGADO</v>
      </c>
      <c r="M1360" s="8"/>
    </row>
    <row r="1361" spans="3:13" customFormat="1" x14ac:dyDescent="0.25">
      <c r="C1361" s="9" t="s">
        <v>1344</v>
      </c>
      <c r="D1361" s="9" t="s">
        <v>1327</v>
      </c>
      <c r="E1361" s="10"/>
      <c r="F1361" s="6">
        <v>100</v>
      </c>
      <c r="G1361" s="6">
        <f t="shared" si="70"/>
        <v>100</v>
      </c>
      <c r="H1361" s="6">
        <v>100</v>
      </c>
      <c r="I1361" s="6">
        <f t="shared" si="71"/>
        <v>0</v>
      </c>
      <c r="J1361" s="7" t="str">
        <f t="shared" si="72"/>
        <v>PAGADO</v>
      </c>
      <c r="M1361" s="8"/>
    </row>
    <row r="1362" spans="3:13" customFormat="1" x14ac:dyDescent="0.25">
      <c r="C1362" s="9" t="s">
        <v>1345</v>
      </c>
      <c r="D1362" s="9" t="s">
        <v>597</v>
      </c>
      <c r="E1362" s="10"/>
      <c r="F1362" s="6">
        <v>85</v>
      </c>
      <c r="G1362" s="6">
        <f t="shared" si="70"/>
        <v>85</v>
      </c>
      <c r="H1362" s="6">
        <v>85</v>
      </c>
      <c r="I1362" s="26">
        <f t="shared" si="71"/>
        <v>0</v>
      </c>
      <c r="J1362" s="7" t="str">
        <f t="shared" si="72"/>
        <v>PAGADO</v>
      </c>
      <c r="K1362" s="9"/>
      <c r="M1362" s="8"/>
    </row>
    <row r="1363" spans="3:13" customFormat="1" x14ac:dyDescent="0.25">
      <c r="C1363" s="9" t="s">
        <v>1346</v>
      </c>
      <c r="D1363" s="9" t="s">
        <v>597</v>
      </c>
      <c r="E1363" s="10"/>
      <c r="F1363" s="6">
        <v>65</v>
      </c>
      <c r="G1363" s="6">
        <f t="shared" si="70"/>
        <v>65</v>
      </c>
      <c r="H1363" s="6">
        <v>65</v>
      </c>
      <c r="I1363" s="26">
        <f t="shared" si="71"/>
        <v>0</v>
      </c>
      <c r="J1363" s="7" t="str">
        <f t="shared" si="72"/>
        <v>PAGADO</v>
      </c>
      <c r="K1363" s="9"/>
      <c r="M1363" s="8"/>
    </row>
    <row r="1364" spans="3:13" customFormat="1" x14ac:dyDescent="0.25">
      <c r="C1364" s="9" t="s">
        <v>1347</v>
      </c>
      <c r="D1364" s="9" t="s">
        <v>809</v>
      </c>
      <c r="E1364" s="10"/>
      <c r="F1364" s="6">
        <v>130</v>
      </c>
      <c r="G1364" s="6">
        <f t="shared" si="70"/>
        <v>130</v>
      </c>
      <c r="H1364" s="6">
        <v>130</v>
      </c>
      <c r="I1364" s="6">
        <f t="shared" si="71"/>
        <v>0</v>
      </c>
      <c r="J1364" s="7" t="str">
        <f t="shared" si="72"/>
        <v>PAGADO</v>
      </c>
      <c r="K1364" s="9"/>
      <c r="M1364" s="8"/>
    </row>
    <row r="1365" spans="3:13" customFormat="1" x14ac:dyDescent="0.25">
      <c r="C1365" s="9" t="s">
        <v>1348</v>
      </c>
      <c r="D1365" s="9" t="s">
        <v>1247</v>
      </c>
      <c r="E1365" s="10"/>
      <c r="F1365" s="6">
        <v>230</v>
      </c>
      <c r="G1365" s="6">
        <f t="shared" si="70"/>
        <v>230</v>
      </c>
      <c r="H1365" s="6">
        <v>230</v>
      </c>
      <c r="I1365" s="6">
        <f t="shared" si="71"/>
        <v>0</v>
      </c>
      <c r="J1365" s="7" t="str">
        <f t="shared" si="72"/>
        <v>PAGADO</v>
      </c>
      <c r="M1365" s="8"/>
    </row>
    <row r="1366" spans="3:13" customFormat="1" x14ac:dyDescent="0.25">
      <c r="C1366" s="9" t="s">
        <v>1349</v>
      </c>
      <c r="D1366" s="9" t="s">
        <v>1247</v>
      </c>
      <c r="E1366" s="10"/>
      <c r="F1366" s="6">
        <v>270</v>
      </c>
      <c r="G1366" s="6">
        <f t="shared" si="70"/>
        <v>270</v>
      </c>
      <c r="H1366" s="6">
        <v>270</v>
      </c>
      <c r="I1366" s="6">
        <f t="shared" si="71"/>
        <v>0</v>
      </c>
      <c r="J1366" s="7" t="str">
        <f t="shared" si="72"/>
        <v>PAGADO</v>
      </c>
      <c r="M1366" s="8"/>
    </row>
    <row r="1367" spans="3:13" customFormat="1" x14ac:dyDescent="0.25">
      <c r="C1367" s="9" t="s">
        <v>1350</v>
      </c>
      <c r="D1367" t="s">
        <v>921</v>
      </c>
      <c r="E1367" s="10"/>
      <c r="F1367" s="6">
        <v>90</v>
      </c>
      <c r="G1367" s="6">
        <f t="shared" si="70"/>
        <v>90</v>
      </c>
      <c r="H1367" s="6">
        <v>90</v>
      </c>
      <c r="I1367" s="6">
        <f t="shared" si="71"/>
        <v>0</v>
      </c>
      <c r="J1367" s="7" t="str">
        <f t="shared" si="72"/>
        <v>PAGADO</v>
      </c>
      <c r="M1367" s="8"/>
    </row>
    <row r="1368" spans="3:13" customFormat="1" x14ac:dyDescent="0.25">
      <c r="C1368" s="9" t="s">
        <v>1351</v>
      </c>
      <c r="D1368" t="s">
        <v>921</v>
      </c>
      <c r="E1368" s="10"/>
      <c r="F1368" s="6">
        <v>60</v>
      </c>
      <c r="G1368" s="6">
        <f t="shared" si="70"/>
        <v>60</v>
      </c>
      <c r="H1368" s="6">
        <v>60</v>
      </c>
      <c r="I1368" s="6">
        <f t="shared" si="71"/>
        <v>0</v>
      </c>
      <c r="J1368" s="7" t="str">
        <f t="shared" si="72"/>
        <v>PAGADO</v>
      </c>
      <c r="M1368" s="8"/>
    </row>
    <row r="1369" spans="3:13" customFormat="1" x14ac:dyDescent="0.25">
      <c r="C1369" s="9" t="s">
        <v>1352</v>
      </c>
      <c r="D1369" t="s">
        <v>921</v>
      </c>
      <c r="E1369" s="10"/>
      <c r="F1369" s="6">
        <v>50</v>
      </c>
      <c r="G1369" s="6">
        <f t="shared" si="70"/>
        <v>50</v>
      </c>
      <c r="H1369" s="6">
        <v>50</v>
      </c>
      <c r="I1369" s="6">
        <f t="shared" si="71"/>
        <v>0</v>
      </c>
      <c r="J1369" s="7" t="str">
        <f t="shared" si="72"/>
        <v>PAGADO</v>
      </c>
      <c r="M1369" s="8"/>
    </row>
    <row r="1370" spans="3:13" customFormat="1" x14ac:dyDescent="0.25">
      <c r="C1370" s="9" t="s">
        <v>1353</v>
      </c>
      <c r="D1370" t="s">
        <v>921</v>
      </c>
      <c r="E1370" s="10"/>
      <c r="F1370" s="6">
        <v>50</v>
      </c>
      <c r="G1370" s="6">
        <f t="shared" si="70"/>
        <v>50</v>
      </c>
      <c r="H1370" s="6">
        <v>50</v>
      </c>
      <c r="I1370" s="6">
        <f t="shared" si="71"/>
        <v>0</v>
      </c>
      <c r="J1370" s="7" t="str">
        <f t="shared" si="72"/>
        <v>PAGADO</v>
      </c>
      <c r="M1370" s="8"/>
    </row>
    <row r="1371" spans="3:13" customFormat="1" x14ac:dyDescent="0.25">
      <c r="C1371" s="9" t="s">
        <v>163</v>
      </c>
      <c r="D1371" t="s">
        <v>921</v>
      </c>
      <c r="E1371" s="10"/>
      <c r="F1371" s="6">
        <v>50</v>
      </c>
      <c r="G1371" s="6">
        <f t="shared" si="70"/>
        <v>50</v>
      </c>
      <c r="H1371" s="6">
        <v>50</v>
      </c>
      <c r="I1371" s="6">
        <f t="shared" si="71"/>
        <v>0</v>
      </c>
      <c r="J1371" s="7" t="str">
        <f t="shared" si="72"/>
        <v>PAGADO</v>
      </c>
      <c r="M1371" s="8"/>
    </row>
    <row r="1372" spans="3:13" customFormat="1" x14ac:dyDescent="0.25">
      <c r="C1372" s="9" t="s">
        <v>1354</v>
      </c>
      <c r="D1372" t="s">
        <v>921</v>
      </c>
      <c r="E1372" s="10"/>
      <c r="F1372" s="6">
        <v>50</v>
      </c>
      <c r="G1372" s="6">
        <f t="shared" si="70"/>
        <v>50</v>
      </c>
      <c r="H1372" s="6">
        <v>50</v>
      </c>
      <c r="I1372" s="6">
        <f t="shared" si="71"/>
        <v>0</v>
      </c>
      <c r="J1372" s="7" t="str">
        <f t="shared" si="72"/>
        <v>PAGADO</v>
      </c>
      <c r="M1372" s="8"/>
    </row>
    <row r="1373" spans="3:13" customFormat="1" x14ac:dyDescent="0.25">
      <c r="C1373" s="9" t="s">
        <v>1355</v>
      </c>
      <c r="D1373" t="s">
        <v>921</v>
      </c>
      <c r="E1373" s="10"/>
      <c r="F1373" s="6">
        <v>50</v>
      </c>
      <c r="G1373" s="6">
        <f t="shared" si="70"/>
        <v>50</v>
      </c>
      <c r="H1373" s="6">
        <v>50</v>
      </c>
      <c r="I1373" s="6">
        <f t="shared" si="71"/>
        <v>0</v>
      </c>
      <c r="J1373" s="7" t="str">
        <f t="shared" si="72"/>
        <v>PAGADO</v>
      </c>
      <c r="M1373" s="8"/>
    </row>
    <row r="1374" spans="3:13" customFormat="1" x14ac:dyDescent="0.25">
      <c r="C1374" s="9" t="s">
        <v>962</v>
      </c>
      <c r="D1374" t="s">
        <v>921</v>
      </c>
      <c r="E1374" s="10"/>
      <c r="F1374" s="6">
        <v>50</v>
      </c>
      <c r="G1374" s="6">
        <f t="shared" si="70"/>
        <v>50</v>
      </c>
      <c r="H1374" s="6">
        <v>50</v>
      </c>
      <c r="I1374" s="6">
        <f t="shared" si="71"/>
        <v>0</v>
      </c>
      <c r="J1374" s="7" t="str">
        <f t="shared" si="72"/>
        <v>PAGADO</v>
      </c>
      <c r="M1374" s="8"/>
    </row>
    <row r="1375" spans="3:13" customFormat="1" x14ac:dyDescent="0.25">
      <c r="C1375" s="9" t="s">
        <v>1356</v>
      </c>
      <c r="D1375" t="s">
        <v>921</v>
      </c>
      <c r="E1375" s="10"/>
      <c r="F1375" s="6">
        <v>100</v>
      </c>
      <c r="G1375" s="6">
        <f t="shared" ref="G1375:G1438" si="73">F1375-E1375</f>
        <v>100</v>
      </c>
      <c r="H1375" s="6">
        <v>100</v>
      </c>
      <c r="I1375" s="6">
        <f t="shared" ref="I1375:I1376" si="74">F1375-H1375</f>
        <v>0</v>
      </c>
      <c r="J1375" s="7" t="str">
        <f t="shared" si="72"/>
        <v>PAGADO</v>
      </c>
      <c r="M1375" s="8"/>
    </row>
    <row r="1376" spans="3:13" customFormat="1" x14ac:dyDescent="0.25">
      <c r="C1376" s="9" t="s">
        <v>1357</v>
      </c>
      <c r="D1376" t="s">
        <v>921</v>
      </c>
      <c r="E1376" s="10"/>
      <c r="F1376" s="6">
        <v>25</v>
      </c>
      <c r="G1376" s="6">
        <f t="shared" si="73"/>
        <v>25</v>
      </c>
      <c r="H1376" s="6">
        <v>25</v>
      </c>
      <c r="I1376" s="6">
        <f t="shared" si="74"/>
        <v>0</v>
      </c>
      <c r="J1376" s="7" t="str">
        <f t="shared" si="72"/>
        <v>PAGADO</v>
      </c>
      <c r="M1376" s="8"/>
    </row>
    <row r="1377" spans="3:13" customFormat="1" x14ac:dyDescent="0.25">
      <c r="C1377" t="s">
        <v>1358</v>
      </c>
      <c r="D1377" s="9" t="s">
        <v>74</v>
      </c>
      <c r="E1377" s="10"/>
      <c r="F1377" s="30">
        <v>-40</v>
      </c>
      <c r="G1377" s="30">
        <f t="shared" si="73"/>
        <v>-40</v>
      </c>
      <c r="H1377" s="30">
        <v>-40</v>
      </c>
      <c r="I1377" s="30">
        <v>-40</v>
      </c>
      <c r="J1377" s="7" t="str">
        <f t="shared" si="72"/>
        <v>PAGADO</v>
      </c>
      <c r="K1377" s="28" t="s">
        <v>1233</v>
      </c>
      <c r="M1377" s="8"/>
    </row>
    <row r="1378" spans="3:13" customFormat="1" x14ac:dyDescent="0.25">
      <c r="C1378" t="s">
        <v>1359</v>
      </c>
      <c r="D1378" s="9" t="s">
        <v>74</v>
      </c>
      <c r="E1378" s="10"/>
      <c r="F1378" s="30">
        <v>-50</v>
      </c>
      <c r="G1378" s="30">
        <f t="shared" si="73"/>
        <v>-50</v>
      </c>
      <c r="H1378" s="30">
        <v>-50</v>
      </c>
      <c r="I1378" s="30">
        <v>-50</v>
      </c>
      <c r="J1378" s="7" t="str">
        <f t="shared" si="72"/>
        <v>PAGADO</v>
      </c>
      <c r="K1378" s="28" t="s">
        <v>1233</v>
      </c>
      <c r="M1378" s="8"/>
    </row>
    <row r="1379" spans="3:13" customFormat="1" x14ac:dyDescent="0.25">
      <c r="C1379" t="s">
        <v>163</v>
      </c>
      <c r="D1379" s="9" t="s">
        <v>74</v>
      </c>
      <c r="E1379" s="10"/>
      <c r="F1379" s="30">
        <v>-50</v>
      </c>
      <c r="G1379" s="30">
        <f t="shared" si="73"/>
        <v>-50</v>
      </c>
      <c r="H1379" s="30">
        <v>-50</v>
      </c>
      <c r="I1379" s="30">
        <v>-50</v>
      </c>
      <c r="J1379" s="7" t="str">
        <f t="shared" si="72"/>
        <v>PAGADO</v>
      </c>
      <c r="K1379" s="28" t="s">
        <v>1233</v>
      </c>
      <c r="M1379" s="8"/>
    </row>
    <row r="1380" spans="3:13" customFormat="1" x14ac:dyDescent="0.25">
      <c r="C1380" t="s">
        <v>282</v>
      </c>
      <c r="D1380" s="9" t="s">
        <v>74</v>
      </c>
      <c r="E1380" s="10"/>
      <c r="F1380" s="30">
        <v>-40</v>
      </c>
      <c r="G1380" s="30">
        <f t="shared" si="73"/>
        <v>-40</v>
      </c>
      <c r="H1380" s="30">
        <v>-40</v>
      </c>
      <c r="I1380" s="30">
        <v>-40</v>
      </c>
      <c r="J1380" s="7" t="str">
        <f t="shared" si="72"/>
        <v>PAGADO</v>
      </c>
      <c r="K1380" s="28" t="s">
        <v>1233</v>
      </c>
      <c r="M1380" s="8"/>
    </row>
    <row r="1381" spans="3:13" customFormat="1" x14ac:dyDescent="0.25">
      <c r="C1381" t="s">
        <v>962</v>
      </c>
      <c r="D1381" s="9" t="s">
        <v>74</v>
      </c>
      <c r="E1381" s="10"/>
      <c r="F1381" s="30">
        <v>-50</v>
      </c>
      <c r="G1381" s="30">
        <f t="shared" si="73"/>
        <v>-50</v>
      </c>
      <c r="H1381" s="30">
        <v>-50</v>
      </c>
      <c r="I1381" s="30">
        <v>-50</v>
      </c>
      <c r="J1381" s="7" t="str">
        <f t="shared" si="72"/>
        <v>PAGADO</v>
      </c>
      <c r="K1381" s="28" t="s">
        <v>1233</v>
      </c>
      <c r="M1381" s="8"/>
    </row>
    <row r="1382" spans="3:13" customFormat="1" x14ac:dyDescent="0.25">
      <c r="C1382" s="9" t="s">
        <v>1178</v>
      </c>
      <c r="D1382" s="9" t="s">
        <v>1360</v>
      </c>
      <c r="E1382" s="10"/>
      <c r="F1382" s="6">
        <v>70</v>
      </c>
      <c r="G1382" s="6">
        <f t="shared" si="73"/>
        <v>70</v>
      </c>
      <c r="H1382" s="6">
        <v>70</v>
      </c>
      <c r="I1382" s="6">
        <f t="shared" ref="I1382:I1445" si="75">F1382-H1382</f>
        <v>0</v>
      </c>
      <c r="J1382" s="7" t="str">
        <f t="shared" si="72"/>
        <v>PAGADO</v>
      </c>
      <c r="M1382" s="8"/>
    </row>
    <row r="1383" spans="3:13" customFormat="1" x14ac:dyDescent="0.25">
      <c r="C1383" s="9" t="s">
        <v>1361</v>
      </c>
      <c r="D1383" s="9" t="s">
        <v>1360</v>
      </c>
      <c r="E1383" s="10"/>
      <c r="F1383" s="6">
        <v>65</v>
      </c>
      <c r="G1383" s="6">
        <f t="shared" si="73"/>
        <v>65</v>
      </c>
      <c r="H1383" s="6">
        <v>65</v>
      </c>
      <c r="I1383" s="6">
        <f t="shared" si="75"/>
        <v>0</v>
      </c>
      <c r="J1383" s="7" t="str">
        <f t="shared" si="72"/>
        <v>PAGADO</v>
      </c>
      <c r="M1383" s="8"/>
    </row>
    <row r="1384" spans="3:13" customFormat="1" x14ac:dyDescent="0.25">
      <c r="C1384" s="9" t="s">
        <v>1362</v>
      </c>
      <c r="D1384" s="9" t="s">
        <v>1363</v>
      </c>
      <c r="E1384" s="10"/>
      <c r="F1384" s="6">
        <v>85</v>
      </c>
      <c r="G1384" s="6">
        <f t="shared" si="73"/>
        <v>85</v>
      </c>
      <c r="H1384" s="6">
        <v>85</v>
      </c>
      <c r="I1384" s="6">
        <f t="shared" si="75"/>
        <v>0</v>
      </c>
      <c r="J1384" s="7" t="str">
        <f t="shared" si="72"/>
        <v>PAGADO</v>
      </c>
      <c r="M1384" s="8"/>
    </row>
    <row r="1385" spans="3:13" customFormat="1" x14ac:dyDescent="0.25">
      <c r="C1385" s="9" t="s">
        <v>1364</v>
      </c>
      <c r="D1385" s="9" t="s">
        <v>1363</v>
      </c>
      <c r="E1385" s="10"/>
      <c r="F1385" s="6">
        <v>70</v>
      </c>
      <c r="G1385" s="6">
        <f t="shared" si="73"/>
        <v>70</v>
      </c>
      <c r="H1385" s="6">
        <v>70</v>
      </c>
      <c r="I1385" s="6">
        <f t="shared" si="75"/>
        <v>0</v>
      </c>
      <c r="J1385" s="7" t="str">
        <f t="shared" si="72"/>
        <v>PAGADO</v>
      </c>
      <c r="M1385" s="8"/>
    </row>
    <row r="1386" spans="3:13" customFormat="1" x14ac:dyDescent="0.25">
      <c r="C1386" s="9" t="s">
        <v>1365</v>
      </c>
      <c r="D1386" s="9" t="s">
        <v>1366</v>
      </c>
      <c r="E1386" s="10"/>
      <c r="F1386" s="6">
        <v>35</v>
      </c>
      <c r="G1386" s="6">
        <f t="shared" si="73"/>
        <v>35</v>
      </c>
      <c r="H1386" s="6">
        <v>35</v>
      </c>
      <c r="I1386" s="6">
        <f t="shared" si="75"/>
        <v>0</v>
      </c>
      <c r="J1386" s="7" t="str">
        <f t="shared" si="72"/>
        <v>PAGADO</v>
      </c>
      <c r="M1386" s="8"/>
    </row>
    <row r="1387" spans="3:13" customFormat="1" x14ac:dyDescent="0.25">
      <c r="C1387" s="9" t="s">
        <v>1367</v>
      </c>
      <c r="D1387" s="9" t="s">
        <v>1363</v>
      </c>
      <c r="E1387" s="10"/>
      <c r="F1387" s="6">
        <v>75</v>
      </c>
      <c r="G1387" s="6">
        <f t="shared" si="73"/>
        <v>75</v>
      </c>
      <c r="H1387" s="6">
        <v>75</v>
      </c>
      <c r="I1387" s="6">
        <f t="shared" si="75"/>
        <v>0</v>
      </c>
      <c r="J1387" s="7" t="str">
        <f t="shared" si="72"/>
        <v>PAGADO</v>
      </c>
      <c r="M1387" s="8"/>
    </row>
    <row r="1388" spans="3:13" customFormat="1" x14ac:dyDescent="0.25">
      <c r="C1388" s="9" t="s">
        <v>1368</v>
      </c>
      <c r="D1388" s="9" t="s">
        <v>1363</v>
      </c>
      <c r="E1388" s="10"/>
      <c r="F1388" s="6">
        <v>75</v>
      </c>
      <c r="G1388" s="6">
        <f t="shared" si="73"/>
        <v>75</v>
      </c>
      <c r="H1388" s="6">
        <v>75</v>
      </c>
      <c r="I1388" s="6">
        <f t="shared" si="75"/>
        <v>0</v>
      </c>
      <c r="J1388" s="7" t="str">
        <f t="shared" si="72"/>
        <v>PAGADO</v>
      </c>
      <c r="M1388" s="8"/>
    </row>
    <row r="1389" spans="3:13" customFormat="1" x14ac:dyDescent="0.25">
      <c r="C1389" s="9" t="s">
        <v>1369</v>
      </c>
      <c r="D1389" s="9" t="s">
        <v>1370</v>
      </c>
      <c r="E1389" s="10"/>
      <c r="F1389" s="6">
        <v>320</v>
      </c>
      <c r="G1389" s="6">
        <f t="shared" si="73"/>
        <v>320</v>
      </c>
      <c r="H1389" s="6">
        <f>100+120+100</f>
        <v>320</v>
      </c>
      <c r="I1389" s="6">
        <f t="shared" si="75"/>
        <v>0</v>
      </c>
      <c r="J1389" s="7" t="str">
        <f t="shared" si="72"/>
        <v>PAGADO</v>
      </c>
      <c r="M1389" s="8"/>
    </row>
    <row r="1390" spans="3:13" customFormat="1" x14ac:dyDescent="0.25">
      <c r="C1390" s="9" t="s">
        <v>1371</v>
      </c>
      <c r="D1390" s="9" t="s">
        <v>1372</v>
      </c>
      <c r="E1390" s="10"/>
      <c r="F1390" s="6">
        <v>70</v>
      </c>
      <c r="G1390" s="6">
        <f t="shared" si="73"/>
        <v>70</v>
      </c>
      <c r="H1390" s="6">
        <v>70</v>
      </c>
      <c r="I1390" s="6">
        <f t="shared" si="75"/>
        <v>0</v>
      </c>
      <c r="J1390" s="7" t="str">
        <f t="shared" si="72"/>
        <v>PAGADO</v>
      </c>
      <c r="M1390" s="8"/>
    </row>
    <row r="1391" spans="3:13" customFormat="1" x14ac:dyDescent="0.25">
      <c r="C1391" s="9" t="s">
        <v>1373</v>
      </c>
      <c r="D1391" s="9" t="s">
        <v>1372</v>
      </c>
      <c r="E1391" s="10"/>
      <c r="F1391" s="6">
        <v>70</v>
      </c>
      <c r="G1391" s="6">
        <f t="shared" si="73"/>
        <v>70</v>
      </c>
      <c r="H1391" s="6">
        <v>70</v>
      </c>
      <c r="I1391" s="6">
        <f t="shared" si="75"/>
        <v>0</v>
      </c>
      <c r="J1391" s="7" t="str">
        <f t="shared" si="72"/>
        <v>PAGADO</v>
      </c>
      <c r="M1391" s="8"/>
    </row>
    <row r="1392" spans="3:13" customFormat="1" x14ac:dyDescent="0.25">
      <c r="C1392" s="9" t="s">
        <v>1374</v>
      </c>
      <c r="D1392" s="9" t="s">
        <v>1372</v>
      </c>
      <c r="E1392" s="10"/>
      <c r="F1392" s="6">
        <v>70</v>
      </c>
      <c r="G1392" s="6">
        <f t="shared" si="73"/>
        <v>70</v>
      </c>
      <c r="H1392" s="6">
        <v>70</v>
      </c>
      <c r="I1392" s="6">
        <f t="shared" si="75"/>
        <v>0</v>
      </c>
      <c r="J1392" s="7" t="str">
        <f t="shared" si="72"/>
        <v>PAGADO</v>
      </c>
      <c r="M1392" s="8"/>
    </row>
    <row r="1393" spans="3:13" customFormat="1" x14ac:dyDescent="0.25">
      <c r="C1393" s="9" t="s">
        <v>1375</v>
      </c>
      <c r="D1393" s="9" t="s">
        <v>1372</v>
      </c>
      <c r="E1393" s="10"/>
      <c r="F1393" s="6">
        <v>70</v>
      </c>
      <c r="G1393" s="6">
        <f t="shared" si="73"/>
        <v>70</v>
      </c>
      <c r="H1393" s="6">
        <v>70</v>
      </c>
      <c r="I1393" s="6">
        <f t="shared" si="75"/>
        <v>0</v>
      </c>
      <c r="J1393" s="7" t="str">
        <f t="shared" si="72"/>
        <v>PAGADO</v>
      </c>
      <c r="M1393" s="8"/>
    </row>
    <row r="1394" spans="3:13" customFormat="1" x14ac:dyDescent="0.25">
      <c r="C1394" s="9" t="s">
        <v>1376</v>
      </c>
      <c r="D1394" s="9" t="s">
        <v>1372</v>
      </c>
      <c r="E1394" s="10"/>
      <c r="F1394" s="6">
        <v>70</v>
      </c>
      <c r="G1394" s="6">
        <f t="shared" si="73"/>
        <v>70</v>
      </c>
      <c r="H1394" s="6">
        <v>70</v>
      </c>
      <c r="I1394" s="6">
        <f t="shared" si="75"/>
        <v>0</v>
      </c>
      <c r="J1394" s="7" t="str">
        <f t="shared" si="72"/>
        <v>PAGADO</v>
      </c>
      <c r="M1394" s="8"/>
    </row>
    <row r="1395" spans="3:13" customFormat="1" x14ac:dyDescent="0.25">
      <c r="C1395" s="9" t="s">
        <v>1377</v>
      </c>
      <c r="D1395" s="9" t="s">
        <v>1378</v>
      </c>
      <c r="E1395" s="10"/>
      <c r="F1395" s="6">
        <v>300</v>
      </c>
      <c r="G1395" s="6">
        <f t="shared" si="73"/>
        <v>300</v>
      </c>
      <c r="H1395" s="6">
        <f>30+20+20+230</f>
        <v>300</v>
      </c>
      <c r="I1395" s="6">
        <f t="shared" si="75"/>
        <v>0</v>
      </c>
      <c r="J1395" s="7" t="str">
        <f t="shared" si="72"/>
        <v>PAGADO</v>
      </c>
      <c r="M1395" s="8"/>
    </row>
    <row r="1396" spans="3:13" customFormat="1" x14ac:dyDescent="0.25">
      <c r="C1396" s="9" t="s">
        <v>1379</v>
      </c>
      <c r="D1396" s="9" t="s">
        <v>1380</v>
      </c>
      <c r="E1396" s="10"/>
      <c r="F1396" s="6">
        <v>40</v>
      </c>
      <c r="G1396" s="6">
        <f t="shared" si="73"/>
        <v>40</v>
      </c>
      <c r="H1396" s="6">
        <v>40</v>
      </c>
      <c r="I1396" s="6">
        <f t="shared" si="75"/>
        <v>0</v>
      </c>
      <c r="J1396" s="7" t="str">
        <f t="shared" si="72"/>
        <v>PAGADO</v>
      </c>
      <c r="M1396" s="8"/>
    </row>
    <row r="1397" spans="3:13" customFormat="1" x14ac:dyDescent="0.25">
      <c r="C1397" s="9" t="s">
        <v>1381</v>
      </c>
      <c r="D1397" s="9" t="s">
        <v>1382</v>
      </c>
      <c r="E1397" s="10"/>
      <c r="F1397" s="6">
        <v>65</v>
      </c>
      <c r="G1397" s="6">
        <f t="shared" si="73"/>
        <v>65</v>
      </c>
      <c r="H1397" s="6">
        <f>30+35</f>
        <v>65</v>
      </c>
      <c r="I1397" s="6">
        <f t="shared" si="75"/>
        <v>0</v>
      </c>
      <c r="J1397" s="7" t="str">
        <f t="shared" si="72"/>
        <v>PAGADO</v>
      </c>
      <c r="M1397" s="8"/>
    </row>
    <row r="1398" spans="3:13" customFormat="1" x14ac:dyDescent="0.25">
      <c r="C1398" s="9" t="s">
        <v>547</v>
      </c>
      <c r="D1398" s="9" t="s">
        <v>18</v>
      </c>
      <c r="E1398" s="10"/>
      <c r="F1398" s="6">
        <v>80</v>
      </c>
      <c r="G1398" s="6">
        <f t="shared" si="73"/>
        <v>80</v>
      </c>
      <c r="H1398" s="6">
        <v>80</v>
      </c>
      <c r="I1398" s="6">
        <f t="shared" si="75"/>
        <v>0</v>
      </c>
      <c r="J1398" s="7" t="str">
        <f t="shared" si="72"/>
        <v>PAGADO</v>
      </c>
      <c r="M1398" s="8"/>
    </row>
    <row r="1399" spans="3:13" customFormat="1" x14ac:dyDescent="0.25">
      <c r="C1399" s="9" t="s">
        <v>1383</v>
      </c>
      <c r="D1399" t="s">
        <v>921</v>
      </c>
      <c r="E1399" s="10"/>
      <c r="F1399" s="6">
        <v>80</v>
      </c>
      <c r="G1399" s="6">
        <f t="shared" si="73"/>
        <v>80</v>
      </c>
      <c r="H1399" s="6">
        <v>80</v>
      </c>
      <c r="I1399" s="6">
        <f t="shared" si="75"/>
        <v>0</v>
      </c>
      <c r="J1399" s="7" t="str">
        <f t="shared" si="72"/>
        <v>PAGADO</v>
      </c>
      <c r="M1399" s="8"/>
    </row>
    <row r="1400" spans="3:13" customFormat="1" x14ac:dyDescent="0.25">
      <c r="C1400" s="9" t="s">
        <v>1384</v>
      </c>
      <c r="D1400" t="s">
        <v>921</v>
      </c>
      <c r="E1400" s="10"/>
      <c r="F1400" s="6">
        <v>150</v>
      </c>
      <c r="G1400" s="6">
        <f t="shared" si="73"/>
        <v>150</v>
      </c>
      <c r="H1400" s="6">
        <v>150</v>
      </c>
      <c r="I1400" s="6">
        <f t="shared" si="75"/>
        <v>0</v>
      </c>
      <c r="J1400" s="7" t="str">
        <f t="shared" si="72"/>
        <v>PAGADO</v>
      </c>
      <c r="M1400" s="8"/>
    </row>
    <row r="1401" spans="3:13" customFormat="1" x14ac:dyDescent="0.25">
      <c r="C1401" s="9" t="s">
        <v>1385</v>
      </c>
      <c r="D1401" t="s">
        <v>921</v>
      </c>
      <c r="E1401" s="10"/>
      <c r="F1401" s="6">
        <v>70</v>
      </c>
      <c r="G1401" s="6">
        <f t="shared" si="73"/>
        <v>70</v>
      </c>
      <c r="H1401" s="6">
        <v>70</v>
      </c>
      <c r="I1401" s="6">
        <f t="shared" si="75"/>
        <v>0</v>
      </c>
      <c r="J1401" s="7" t="str">
        <f t="shared" si="72"/>
        <v>PAGADO</v>
      </c>
      <c r="M1401" s="8"/>
    </row>
    <row r="1402" spans="3:13" customFormat="1" x14ac:dyDescent="0.25">
      <c r="C1402" s="9" t="s">
        <v>1386</v>
      </c>
      <c r="D1402" s="9" t="s">
        <v>1296</v>
      </c>
      <c r="E1402" s="10"/>
      <c r="F1402" s="6">
        <v>60</v>
      </c>
      <c r="G1402" s="6">
        <f t="shared" si="73"/>
        <v>60</v>
      </c>
      <c r="H1402" s="6">
        <v>60</v>
      </c>
      <c r="I1402" s="6">
        <f t="shared" si="75"/>
        <v>0</v>
      </c>
      <c r="J1402" s="7" t="str">
        <f t="shared" si="72"/>
        <v>PAGADO</v>
      </c>
      <c r="M1402" s="8"/>
    </row>
    <row r="1403" spans="3:13" customFormat="1" x14ac:dyDescent="0.25">
      <c r="C1403" s="9" t="s">
        <v>1387</v>
      </c>
      <c r="D1403" s="9" t="s">
        <v>1388</v>
      </c>
      <c r="E1403" s="10"/>
      <c r="F1403" s="6">
        <v>40</v>
      </c>
      <c r="G1403" s="6">
        <f t="shared" si="73"/>
        <v>40</v>
      </c>
      <c r="H1403" s="6">
        <v>40</v>
      </c>
      <c r="I1403" s="6">
        <f t="shared" si="75"/>
        <v>0</v>
      </c>
      <c r="J1403" s="7" t="str">
        <f t="shared" si="72"/>
        <v>PAGADO</v>
      </c>
      <c r="M1403" s="8"/>
    </row>
    <row r="1404" spans="3:13" customFormat="1" x14ac:dyDescent="0.25">
      <c r="C1404" s="9" t="s">
        <v>1389</v>
      </c>
      <c r="D1404" s="9" t="s">
        <v>1388</v>
      </c>
      <c r="E1404" s="10"/>
      <c r="F1404" s="6">
        <v>60</v>
      </c>
      <c r="G1404" s="6">
        <f t="shared" si="73"/>
        <v>60</v>
      </c>
      <c r="H1404" s="6">
        <v>60</v>
      </c>
      <c r="I1404" s="6">
        <f t="shared" si="75"/>
        <v>0</v>
      </c>
      <c r="J1404" s="7" t="str">
        <f t="shared" si="72"/>
        <v>PAGADO</v>
      </c>
      <c r="M1404" s="8"/>
    </row>
    <row r="1405" spans="3:13" customFormat="1" x14ac:dyDescent="0.25">
      <c r="C1405" s="9" t="s">
        <v>846</v>
      </c>
      <c r="D1405" s="9" t="s">
        <v>1390</v>
      </c>
      <c r="E1405" s="10"/>
      <c r="F1405" s="6">
        <v>50</v>
      </c>
      <c r="G1405" s="6">
        <f t="shared" si="73"/>
        <v>50</v>
      </c>
      <c r="H1405" s="6">
        <v>50</v>
      </c>
      <c r="I1405" s="6">
        <f t="shared" si="75"/>
        <v>0</v>
      </c>
      <c r="J1405" s="7" t="str">
        <f t="shared" si="72"/>
        <v>PAGADO</v>
      </c>
      <c r="M1405" s="8"/>
    </row>
    <row r="1406" spans="3:13" customFormat="1" x14ac:dyDescent="0.25">
      <c r="C1406" s="9" t="s">
        <v>1391</v>
      </c>
      <c r="D1406" s="9" t="s">
        <v>1392</v>
      </c>
      <c r="E1406" s="10"/>
      <c r="F1406" s="6">
        <v>80</v>
      </c>
      <c r="G1406" s="6">
        <f t="shared" si="73"/>
        <v>80</v>
      </c>
      <c r="H1406" s="6">
        <v>80</v>
      </c>
      <c r="I1406" s="6">
        <f t="shared" si="75"/>
        <v>0</v>
      </c>
      <c r="J1406" s="7" t="str">
        <f t="shared" si="72"/>
        <v>PAGADO</v>
      </c>
      <c r="M1406" s="8"/>
    </row>
    <row r="1407" spans="3:13" customFormat="1" x14ac:dyDescent="0.25">
      <c r="C1407" s="9" t="s">
        <v>1393</v>
      </c>
      <c r="D1407" s="9" t="s">
        <v>1394</v>
      </c>
      <c r="E1407" s="10"/>
      <c r="F1407" s="6">
        <v>240</v>
      </c>
      <c r="G1407" s="6">
        <f t="shared" si="73"/>
        <v>240</v>
      </c>
      <c r="H1407" s="6">
        <v>240</v>
      </c>
      <c r="I1407" s="6">
        <f t="shared" si="75"/>
        <v>0</v>
      </c>
      <c r="J1407" s="7" t="str">
        <f t="shared" si="72"/>
        <v>PAGADO</v>
      </c>
      <c r="M1407" s="8"/>
    </row>
    <row r="1408" spans="3:13" customFormat="1" x14ac:dyDescent="0.25">
      <c r="C1408" s="9" t="s">
        <v>1395</v>
      </c>
      <c r="D1408" s="9" t="s">
        <v>1327</v>
      </c>
      <c r="E1408" s="10"/>
      <c r="F1408" s="6">
        <v>300</v>
      </c>
      <c r="G1408" s="6">
        <f t="shared" si="73"/>
        <v>300</v>
      </c>
      <c r="H1408" s="6">
        <f>150+150</f>
        <v>300</v>
      </c>
      <c r="I1408" s="6">
        <f t="shared" si="75"/>
        <v>0</v>
      </c>
      <c r="J1408" s="7" t="str">
        <f t="shared" si="72"/>
        <v>PAGADO</v>
      </c>
      <c r="M1408" s="8"/>
    </row>
    <row r="1409" spans="3:13" customFormat="1" x14ac:dyDescent="0.25">
      <c r="C1409" s="9" t="s">
        <v>1396</v>
      </c>
      <c r="D1409" s="9" t="s">
        <v>1327</v>
      </c>
      <c r="E1409" s="10"/>
      <c r="F1409" s="6">
        <v>350</v>
      </c>
      <c r="G1409" s="6">
        <f t="shared" si="73"/>
        <v>350</v>
      </c>
      <c r="H1409" s="6">
        <f>175+175</f>
        <v>350</v>
      </c>
      <c r="I1409" s="6">
        <f t="shared" si="75"/>
        <v>0</v>
      </c>
      <c r="J1409" s="7" t="str">
        <f t="shared" si="72"/>
        <v>PAGADO</v>
      </c>
      <c r="M1409" s="8"/>
    </row>
    <row r="1410" spans="3:13" customFormat="1" x14ac:dyDescent="0.25">
      <c r="C1410" s="9" t="s">
        <v>86</v>
      </c>
      <c r="D1410" s="9" t="s">
        <v>1309</v>
      </c>
      <c r="E1410" s="10"/>
      <c r="F1410" s="6">
        <v>50</v>
      </c>
      <c r="G1410" s="6">
        <f t="shared" si="73"/>
        <v>50</v>
      </c>
      <c r="H1410" s="6">
        <v>50</v>
      </c>
      <c r="I1410" s="6">
        <f t="shared" si="75"/>
        <v>0</v>
      </c>
      <c r="J1410" s="7" t="str">
        <f t="shared" si="72"/>
        <v>PAGADO</v>
      </c>
      <c r="M1410" s="8"/>
    </row>
    <row r="1411" spans="3:13" customFormat="1" x14ac:dyDescent="0.25">
      <c r="C1411" s="9" t="s">
        <v>1175</v>
      </c>
      <c r="D1411" s="9" t="s">
        <v>1309</v>
      </c>
      <c r="E1411" s="10"/>
      <c r="F1411" s="6">
        <v>60</v>
      </c>
      <c r="G1411" s="6">
        <f t="shared" si="73"/>
        <v>60</v>
      </c>
      <c r="H1411" s="6">
        <v>60</v>
      </c>
      <c r="I1411" s="6">
        <f t="shared" si="75"/>
        <v>0</v>
      </c>
      <c r="J1411" s="7" t="str">
        <f t="shared" si="72"/>
        <v>PAGADO</v>
      </c>
      <c r="M1411" s="8"/>
    </row>
    <row r="1412" spans="3:13" customFormat="1" x14ac:dyDescent="0.25">
      <c r="C1412" s="9" t="s">
        <v>1397</v>
      </c>
      <c r="D1412" s="9" t="s">
        <v>692</v>
      </c>
      <c r="E1412" s="10"/>
      <c r="F1412" s="6">
        <v>240</v>
      </c>
      <c r="G1412" s="6">
        <f t="shared" si="73"/>
        <v>240</v>
      </c>
      <c r="H1412" s="6">
        <f>140+50+50</f>
        <v>240</v>
      </c>
      <c r="I1412" s="6">
        <f t="shared" si="75"/>
        <v>0</v>
      </c>
      <c r="J1412" s="7" t="str">
        <f t="shared" si="72"/>
        <v>PAGADO</v>
      </c>
      <c r="M1412" s="8"/>
    </row>
    <row r="1413" spans="3:13" customFormat="1" x14ac:dyDescent="0.25">
      <c r="C1413" s="9" t="s">
        <v>1398</v>
      </c>
      <c r="D1413" s="9" t="s">
        <v>1399</v>
      </c>
      <c r="E1413" s="10"/>
      <c r="F1413" s="6">
        <v>25</v>
      </c>
      <c r="G1413" s="6">
        <f t="shared" si="73"/>
        <v>25</v>
      </c>
      <c r="H1413" s="6">
        <v>25</v>
      </c>
      <c r="I1413" s="6">
        <f t="shared" si="75"/>
        <v>0</v>
      </c>
      <c r="J1413" s="7" t="str">
        <f t="shared" si="72"/>
        <v>PAGADO</v>
      </c>
      <c r="M1413" s="8"/>
    </row>
    <row r="1414" spans="3:13" customFormat="1" x14ac:dyDescent="0.25">
      <c r="C1414" t="s">
        <v>1400</v>
      </c>
      <c r="D1414" t="s">
        <v>488</v>
      </c>
      <c r="E1414" s="10"/>
      <c r="F1414" s="6">
        <v>80</v>
      </c>
      <c r="G1414" s="6">
        <f t="shared" si="73"/>
        <v>80</v>
      </c>
      <c r="H1414" s="6">
        <f>40+40</f>
        <v>80</v>
      </c>
      <c r="I1414" s="6">
        <f t="shared" si="75"/>
        <v>0</v>
      </c>
      <c r="J1414" s="7" t="str">
        <f t="shared" si="72"/>
        <v>PAGADO</v>
      </c>
      <c r="M1414" s="8"/>
    </row>
    <row r="1415" spans="3:13" customFormat="1" x14ac:dyDescent="0.25">
      <c r="C1415" s="9" t="s">
        <v>1401</v>
      </c>
      <c r="D1415" s="9" t="s">
        <v>67</v>
      </c>
      <c r="E1415" s="10"/>
      <c r="F1415" s="6">
        <v>110</v>
      </c>
      <c r="G1415" s="6">
        <f t="shared" si="73"/>
        <v>110</v>
      </c>
      <c r="H1415" s="6">
        <v>110</v>
      </c>
      <c r="I1415" s="26">
        <f t="shared" si="75"/>
        <v>0</v>
      </c>
      <c r="J1415" s="7" t="str">
        <f t="shared" si="72"/>
        <v>PAGADO</v>
      </c>
      <c r="M1415" s="8"/>
    </row>
    <row r="1416" spans="3:13" customFormat="1" x14ac:dyDescent="0.25">
      <c r="C1416" s="9" t="s">
        <v>1402</v>
      </c>
      <c r="D1416" s="9" t="s">
        <v>816</v>
      </c>
      <c r="E1416" s="10"/>
      <c r="F1416" s="6">
        <v>130</v>
      </c>
      <c r="G1416" s="6">
        <f t="shared" si="73"/>
        <v>130</v>
      </c>
      <c r="H1416" s="6">
        <v>130</v>
      </c>
      <c r="I1416" s="26">
        <f t="shared" si="75"/>
        <v>0</v>
      </c>
      <c r="J1416" s="7" t="str">
        <f t="shared" si="72"/>
        <v>PAGADO</v>
      </c>
      <c r="M1416" s="8"/>
    </row>
    <row r="1417" spans="3:13" customFormat="1" x14ac:dyDescent="0.25">
      <c r="C1417" s="9" t="s">
        <v>1403</v>
      </c>
      <c r="D1417" s="9" t="s">
        <v>816</v>
      </c>
      <c r="E1417" s="10"/>
      <c r="F1417" s="6">
        <v>130</v>
      </c>
      <c r="G1417" s="6">
        <f t="shared" si="73"/>
        <v>130</v>
      </c>
      <c r="H1417" s="6">
        <v>130</v>
      </c>
      <c r="I1417" s="26">
        <f t="shared" si="75"/>
        <v>0</v>
      </c>
      <c r="J1417" s="7" t="str">
        <f t="shared" si="72"/>
        <v>PAGADO</v>
      </c>
      <c r="M1417" s="8"/>
    </row>
    <row r="1418" spans="3:13" customFormat="1" x14ac:dyDescent="0.25">
      <c r="C1418" s="9" t="s">
        <v>1404</v>
      </c>
      <c r="D1418" s="9" t="s">
        <v>816</v>
      </c>
      <c r="E1418" s="10"/>
      <c r="F1418" s="6">
        <v>130</v>
      </c>
      <c r="G1418" s="6">
        <f t="shared" si="73"/>
        <v>130</v>
      </c>
      <c r="H1418" s="6">
        <v>130</v>
      </c>
      <c r="I1418" s="26">
        <f t="shared" si="75"/>
        <v>0</v>
      </c>
      <c r="J1418" s="7" t="str">
        <f t="shared" si="72"/>
        <v>PAGADO</v>
      </c>
      <c r="M1418" s="8"/>
    </row>
    <row r="1419" spans="3:13" customFormat="1" x14ac:dyDescent="0.25">
      <c r="C1419" s="9" t="s">
        <v>1405</v>
      </c>
      <c r="D1419" s="9" t="s">
        <v>816</v>
      </c>
      <c r="E1419" s="10"/>
      <c r="F1419" s="6">
        <v>130</v>
      </c>
      <c r="G1419" s="6">
        <f t="shared" si="73"/>
        <v>130</v>
      </c>
      <c r="H1419" s="6">
        <v>130</v>
      </c>
      <c r="I1419" s="26">
        <f t="shared" si="75"/>
        <v>0</v>
      </c>
      <c r="J1419" s="7" t="str">
        <f t="shared" si="72"/>
        <v>PAGADO</v>
      </c>
      <c r="M1419" s="8"/>
    </row>
    <row r="1420" spans="3:13" customFormat="1" x14ac:dyDescent="0.25">
      <c r="C1420" s="9" t="s">
        <v>1406</v>
      </c>
      <c r="D1420" s="9" t="s">
        <v>816</v>
      </c>
      <c r="E1420" s="10"/>
      <c r="F1420" s="6">
        <v>130</v>
      </c>
      <c r="G1420" s="6">
        <f t="shared" si="73"/>
        <v>130</v>
      </c>
      <c r="H1420" s="6">
        <v>130</v>
      </c>
      <c r="I1420" s="26">
        <f t="shared" si="75"/>
        <v>0</v>
      </c>
      <c r="J1420" s="7" t="str">
        <f t="shared" si="72"/>
        <v>PAGADO</v>
      </c>
      <c r="M1420" s="8"/>
    </row>
    <row r="1421" spans="3:13" customFormat="1" x14ac:dyDescent="0.25">
      <c r="C1421" s="9" t="s">
        <v>1407</v>
      </c>
      <c r="D1421" s="9" t="s">
        <v>816</v>
      </c>
      <c r="E1421" s="10"/>
      <c r="F1421" s="6">
        <v>140</v>
      </c>
      <c r="G1421" s="6">
        <f t="shared" si="73"/>
        <v>140</v>
      </c>
      <c r="H1421" s="6">
        <v>140</v>
      </c>
      <c r="I1421" s="26">
        <f t="shared" si="75"/>
        <v>0</v>
      </c>
      <c r="J1421" s="7" t="str">
        <f t="shared" ref="J1421:J1484" si="76">IF(I1421&gt;0,"DEBE","PAGADO")</f>
        <v>PAGADO</v>
      </c>
      <c r="M1421" s="8"/>
    </row>
    <row r="1422" spans="3:13" customFormat="1" x14ac:dyDescent="0.25">
      <c r="C1422" s="9" t="s">
        <v>1408</v>
      </c>
      <c r="D1422" s="9" t="s">
        <v>816</v>
      </c>
      <c r="E1422" s="10"/>
      <c r="F1422" s="6">
        <v>220</v>
      </c>
      <c r="G1422" s="6">
        <f t="shared" si="73"/>
        <v>220</v>
      </c>
      <c r="H1422" s="6">
        <v>220</v>
      </c>
      <c r="I1422" s="26">
        <f t="shared" si="75"/>
        <v>0</v>
      </c>
      <c r="J1422" s="7" t="str">
        <f t="shared" si="76"/>
        <v>PAGADO</v>
      </c>
      <c r="M1422" s="8"/>
    </row>
    <row r="1423" spans="3:13" customFormat="1" x14ac:dyDescent="0.25">
      <c r="C1423" s="9" t="s">
        <v>1409</v>
      </c>
      <c r="D1423" s="9" t="s">
        <v>816</v>
      </c>
      <c r="E1423" s="10"/>
      <c r="F1423" s="6">
        <v>1000</v>
      </c>
      <c r="G1423" s="6">
        <f t="shared" si="73"/>
        <v>1000</v>
      </c>
      <c r="H1423" s="6">
        <f>590+400+10</f>
        <v>1000</v>
      </c>
      <c r="I1423" s="26">
        <f t="shared" si="75"/>
        <v>0</v>
      </c>
      <c r="J1423" s="7" t="str">
        <f t="shared" si="76"/>
        <v>PAGADO</v>
      </c>
      <c r="M1423" s="8"/>
    </row>
    <row r="1424" spans="3:13" customFormat="1" x14ac:dyDescent="0.25">
      <c r="C1424" s="9" t="s">
        <v>1410</v>
      </c>
      <c r="D1424" s="9" t="s">
        <v>1290</v>
      </c>
      <c r="E1424" s="10"/>
      <c r="F1424" s="6">
        <v>20</v>
      </c>
      <c r="G1424" s="6">
        <f t="shared" si="73"/>
        <v>20</v>
      </c>
      <c r="H1424" s="6">
        <v>20</v>
      </c>
      <c r="I1424" s="6">
        <f t="shared" si="75"/>
        <v>0</v>
      </c>
      <c r="J1424" s="7" t="str">
        <f t="shared" si="76"/>
        <v>PAGADO</v>
      </c>
      <c r="K1424" s="9"/>
      <c r="M1424" s="8"/>
    </row>
    <row r="1425" spans="3:13" customFormat="1" x14ac:dyDescent="0.25">
      <c r="C1425" s="9" t="s">
        <v>1411</v>
      </c>
      <c r="D1425" s="9" t="s">
        <v>1290</v>
      </c>
      <c r="E1425" s="10"/>
      <c r="F1425" s="6">
        <v>35</v>
      </c>
      <c r="G1425" s="6">
        <f t="shared" si="73"/>
        <v>35</v>
      </c>
      <c r="H1425" s="6">
        <v>35</v>
      </c>
      <c r="I1425" s="6">
        <f t="shared" si="75"/>
        <v>0</v>
      </c>
      <c r="J1425" s="7" t="str">
        <f t="shared" si="76"/>
        <v>PAGADO</v>
      </c>
      <c r="K1425" s="9"/>
      <c r="M1425" s="8"/>
    </row>
    <row r="1426" spans="3:13" customFormat="1" x14ac:dyDescent="0.25">
      <c r="C1426" s="9" t="s">
        <v>1412</v>
      </c>
      <c r="D1426" s="9" t="s">
        <v>816</v>
      </c>
      <c r="E1426" s="10"/>
      <c r="F1426" s="6">
        <v>80</v>
      </c>
      <c r="G1426" s="6">
        <f t="shared" si="73"/>
        <v>80</v>
      </c>
      <c r="H1426" s="6">
        <v>80</v>
      </c>
      <c r="I1426" s="26">
        <f t="shared" si="75"/>
        <v>0</v>
      </c>
      <c r="J1426" s="7" t="str">
        <f t="shared" si="76"/>
        <v>PAGADO</v>
      </c>
      <c r="K1426" s="9"/>
      <c r="M1426" s="8"/>
    </row>
    <row r="1427" spans="3:13" customFormat="1" x14ac:dyDescent="0.25">
      <c r="C1427" s="9" t="s">
        <v>1413</v>
      </c>
      <c r="D1427" s="9" t="s">
        <v>816</v>
      </c>
      <c r="E1427" s="10"/>
      <c r="F1427" s="6">
        <v>65</v>
      </c>
      <c r="G1427" s="6">
        <f t="shared" si="73"/>
        <v>65</v>
      </c>
      <c r="H1427" s="6">
        <v>65</v>
      </c>
      <c r="I1427" s="26">
        <f t="shared" si="75"/>
        <v>0</v>
      </c>
      <c r="J1427" s="7" t="str">
        <f t="shared" si="76"/>
        <v>PAGADO</v>
      </c>
      <c r="K1427" s="9"/>
      <c r="M1427" s="8"/>
    </row>
    <row r="1428" spans="3:13" customFormat="1" x14ac:dyDescent="0.25">
      <c r="C1428" s="9" t="s">
        <v>1414</v>
      </c>
      <c r="D1428" s="9" t="s">
        <v>816</v>
      </c>
      <c r="E1428" s="10"/>
      <c r="F1428" s="6">
        <v>70</v>
      </c>
      <c r="G1428" s="6">
        <f t="shared" si="73"/>
        <v>70</v>
      </c>
      <c r="H1428" s="6">
        <f>60+10</f>
        <v>70</v>
      </c>
      <c r="I1428" s="48">
        <f t="shared" si="75"/>
        <v>0</v>
      </c>
      <c r="J1428" s="7" t="str">
        <f t="shared" si="76"/>
        <v>PAGADO</v>
      </c>
      <c r="K1428" s="9"/>
      <c r="M1428" s="8"/>
    </row>
    <row r="1429" spans="3:13" customFormat="1" x14ac:dyDescent="0.25">
      <c r="C1429" s="9" t="s">
        <v>1415</v>
      </c>
      <c r="D1429" s="9" t="s">
        <v>816</v>
      </c>
      <c r="E1429" s="10"/>
      <c r="F1429" s="6">
        <v>80</v>
      </c>
      <c r="G1429" s="6">
        <f t="shared" si="73"/>
        <v>80</v>
      </c>
      <c r="H1429" s="6">
        <v>80</v>
      </c>
      <c r="I1429" s="26">
        <f t="shared" si="75"/>
        <v>0</v>
      </c>
      <c r="J1429" s="7" t="str">
        <f t="shared" si="76"/>
        <v>PAGADO</v>
      </c>
      <c r="K1429" s="9"/>
      <c r="M1429" s="8"/>
    </row>
    <row r="1430" spans="3:13" customFormat="1" x14ac:dyDescent="0.25">
      <c r="C1430" s="9" t="s">
        <v>1416</v>
      </c>
      <c r="D1430" s="9" t="s">
        <v>816</v>
      </c>
      <c r="E1430" s="10"/>
      <c r="F1430" s="6">
        <v>80</v>
      </c>
      <c r="G1430" s="6">
        <f t="shared" si="73"/>
        <v>80</v>
      </c>
      <c r="H1430" s="6">
        <v>80</v>
      </c>
      <c r="I1430" s="26">
        <f t="shared" si="75"/>
        <v>0</v>
      </c>
      <c r="J1430" s="7" t="str">
        <f t="shared" si="76"/>
        <v>PAGADO</v>
      </c>
      <c r="K1430" s="9"/>
      <c r="M1430" s="8"/>
    </row>
    <row r="1431" spans="3:13" customFormat="1" x14ac:dyDescent="0.25">
      <c r="C1431" s="9" t="s">
        <v>1417</v>
      </c>
      <c r="D1431" s="9" t="s">
        <v>816</v>
      </c>
      <c r="E1431" s="10"/>
      <c r="F1431" s="6">
        <v>80</v>
      </c>
      <c r="G1431" s="6">
        <f t="shared" si="73"/>
        <v>80</v>
      </c>
      <c r="H1431" s="6">
        <v>80</v>
      </c>
      <c r="I1431" s="26">
        <f t="shared" si="75"/>
        <v>0</v>
      </c>
      <c r="J1431" s="7" t="str">
        <f t="shared" si="76"/>
        <v>PAGADO</v>
      </c>
      <c r="K1431" s="9"/>
      <c r="M1431" s="8"/>
    </row>
    <row r="1432" spans="3:13" customFormat="1" x14ac:dyDescent="0.25">
      <c r="C1432" s="9" t="s">
        <v>1418</v>
      </c>
      <c r="D1432" s="9" t="s">
        <v>816</v>
      </c>
      <c r="E1432" s="10"/>
      <c r="F1432" s="6">
        <v>100</v>
      </c>
      <c r="G1432" s="6">
        <f t="shared" si="73"/>
        <v>100</v>
      </c>
      <c r="H1432" s="6">
        <f>75+25</f>
        <v>100</v>
      </c>
      <c r="I1432" s="26">
        <f t="shared" si="75"/>
        <v>0</v>
      </c>
      <c r="J1432" s="7" t="str">
        <f t="shared" si="76"/>
        <v>PAGADO</v>
      </c>
      <c r="K1432" s="9"/>
      <c r="M1432" s="8"/>
    </row>
    <row r="1433" spans="3:13" customFormat="1" x14ac:dyDescent="0.25">
      <c r="C1433" t="s">
        <v>1419</v>
      </c>
      <c r="D1433" s="9" t="s">
        <v>1399</v>
      </c>
      <c r="E1433" s="10"/>
      <c r="F1433" s="6">
        <v>80</v>
      </c>
      <c r="G1433" s="6">
        <f t="shared" si="73"/>
        <v>80</v>
      </c>
      <c r="H1433" s="6">
        <v>80</v>
      </c>
      <c r="I1433" s="6">
        <f t="shared" si="75"/>
        <v>0</v>
      </c>
      <c r="J1433" s="7" t="str">
        <f t="shared" si="76"/>
        <v>PAGADO</v>
      </c>
      <c r="M1433" s="8"/>
    </row>
    <row r="1434" spans="3:13" customFormat="1" x14ac:dyDescent="0.25">
      <c r="C1434" t="s">
        <v>1420</v>
      </c>
      <c r="D1434" s="9" t="s">
        <v>1399</v>
      </c>
      <c r="E1434" s="10"/>
      <c r="F1434" s="6">
        <v>80</v>
      </c>
      <c r="G1434" s="6">
        <f t="shared" si="73"/>
        <v>80</v>
      </c>
      <c r="H1434" s="6">
        <v>80</v>
      </c>
      <c r="I1434" s="6">
        <f t="shared" si="75"/>
        <v>0</v>
      </c>
      <c r="J1434" s="7" t="str">
        <f t="shared" si="76"/>
        <v>PAGADO</v>
      </c>
      <c r="M1434" s="8"/>
    </row>
    <row r="1435" spans="3:13" customFormat="1" x14ac:dyDescent="0.25">
      <c r="C1435" t="s">
        <v>1421</v>
      </c>
      <c r="D1435" s="9" t="s">
        <v>1399</v>
      </c>
      <c r="E1435" s="10"/>
      <c r="F1435" s="6">
        <v>80</v>
      </c>
      <c r="G1435" s="6">
        <f t="shared" si="73"/>
        <v>80</v>
      </c>
      <c r="H1435" s="6">
        <v>80</v>
      </c>
      <c r="I1435" s="6">
        <f t="shared" si="75"/>
        <v>0</v>
      </c>
      <c r="J1435" s="7" t="str">
        <f t="shared" si="76"/>
        <v>PAGADO</v>
      </c>
      <c r="M1435" s="8"/>
    </row>
    <row r="1436" spans="3:13" customFormat="1" x14ac:dyDescent="0.25">
      <c r="C1436" s="9" t="s">
        <v>1422</v>
      </c>
      <c r="D1436" s="9" t="s">
        <v>816</v>
      </c>
      <c r="E1436" s="10"/>
      <c r="F1436" s="6">
        <v>120</v>
      </c>
      <c r="G1436" s="6">
        <f t="shared" si="73"/>
        <v>120</v>
      </c>
      <c r="H1436" s="6">
        <v>120</v>
      </c>
      <c r="I1436" s="26">
        <f t="shared" si="75"/>
        <v>0</v>
      </c>
      <c r="J1436" s="7" t="str">
        <f t="shared" si="76"/>
        <v>PAGADO</v>
      </c>
      <c r="K1436" s="9"/>
      <c r="M1436" s="8"/>
    </row>
    <row r="1437" spans="3:13" customFormat="1" x14ac:dyDescent="0.25">
      <c r="C1437" s="9" t="s">
        <v>1423</v>
      </c>
      <c r="D1437" s="9" t="s">
        <v>816</v>
      </c>
      <c r="E1437" s="10"/>
      <c r="F1437" s="6">
        <v>85</v>
      </c>
      <c r="G1437" s="6">
        <f t="shared" si="73"/>
        <v>85</v>
      </c>
      <c r="H1437" s="6">
        <v>85</v>
      </c>
      <c r="I1437" s="26">
        <f t="shared" si="75"/>
        <v>0</v>
      </c>
      <c r="J1437" s="7" t="str">
        <f t="shared" si="76"/>
        <v>PAGADO</v>
      </c>
      <c r="K1437" s="9"/>
      <c r="M1437" s="8"/>
    </row>
    <row r="1438" spans="3:13" customFormat="1" x14ac:dyDescent="0.25">
      <c r="C1438" s="9" t="s">
        <v>1424</v>
      </c>
      <c r="D1438" s="9" t="s">
        <v>1425</v>
      </c>
      <c r="E1438" s="10"/>
      <c r="F1438" s="6">
        <v>350</v>
      </c>
      <c r="G1438" s="6">
        <f t="shared" si="73"/>
        <v>350</v>
      </c>
      <c r="H1438" s="6">
        <v>350</v>
      </c>
      <c r="I1438" s="6">
        <f t="shared" si="75"/>
        <v>0</v>
      </c>
      <c r="J1438" s="7" t="str">
        <f t="shared" si="76"/>
        <v>PAGADO</v>
      </c>
      <c r="K1438" s="9"/>
      <c r="M1438" s="8"/>
    </row>
    <row r="1439" spans="3:13" customFormat="1" x14ac:dyDescent="0.25">
      <c r="C1439" s="9" t="s">
        <v>1426</v>
      </c>
      <c r="D1439" s="9" t="s">
        <v>488</v>
      </c>
      <c r="E1439" s="10"/>
      <c r="F1439" s="6">
        <v>60</v>
      </c>
      <c r="G1439" s="6">
        <f t="shared" ref="G1439:G1502" si="77">F1439-E1439</f>
        <v>60</v>
      </c>
      <c r="H1439" s="6">
        <v>60</v>
      </c>
      <c r="I1439" s="6">
        <f t="shared" si="75"/>
        <v>0</v>
      </c>
      <c r="J1439" s="7" t="str">
        <f t="shared" si="76"/>
        <v>PAGADO</v>
      </c>
      <c r="M1439" s="8"/>
    </row>
    <row r="1440" spans="3:13" customFormat="1" x14ac:dyDescent="0.25">
      <c r="C1440" s="9" t="s">
        <v>1427</v>
      </c>
      <c r="D1440" s="9" t="s">
        <v>1372</v>
      </c>
      <c r="E1440" s="10"/>
      <c r="F1440" s="6">
        <v>70</v>
      </c>
      <c r="G1440" s="6">
        <f t="shared" si="77"/>
        <v>70</v>
      </c>
      <c r="H1440" s="6">
        <v>70</v>
      </c>
      <c r="I1440" s="6">
        <f t="shared" si="75"/>
        <v>0</v>
      </c>
      <c r="J1440" s="7" t="str">
        <f t="shared" si="76"/>
        <v>PAGADO</v>
      </c>
      <c r="M1440" s="8"/>
    </row>
    <row r="1441" spans="3:13" customFormat="1" x14ac:dyDescent="0.25">
      <c r="C1441" s="9" t="s">
        <v>1428</v>
      </c>
      <c r="D1441" s="9" t="s">
        <v>1372</v>
      </c>
      <c r="E1441" s="10"/>
      <c r="F1441" s="6">
        <v>70</v>
      </c>
      <c r="G1441" s="6">
        <f t="shared" si="77"/>
        <v>70</v>
      </c>
      <c r="H1441" s="6">
        <v>70</v>
      </c>
      <c r="I1441" s="6">
        <f t="shared" si="75"/>
        <v>0</v>
      </c>
      <c r="J1441" s="7" t="str">
        <f t="shared" si="76"/>
        <v>PAGADO</v>
      </c>
      <c r="M1441" s="8"/>
    </row>
    <row r="1442" spans="3:13" customFormat="1" x14ac:dyDescent="0.25">
      <c r="C1442" t="s">
        <v>1429</v>
      </c>
      <c r="D1442" s="9" t="s">
        <v>1145</v>
      </c>
      <c r="E1442" s="10"/>
      <c r="F1442" s="6">
        <v>95</v>
      </c>
      <c r="G1442" s="6">
        <f t="shared" si="77"/>
        <v>95</v>
      </c>
      <c r="H1442" s="6">
        <v>95</v>
      </c>
      <c r="I1442" s="6">
        <f t="shared" si="75"/>
        <v>0</v>
      </c>
      <c r="J1442" s="7" t="str">
        <f t="shared" si="76"/>
        <v>PAGADO</v>
      </c>
      <c r="M1442" s="8"/>
    </row>
    <row r="1443" spans="3:13" customFormat="1" x14ac:dyDescent="0.25">
      <c r="C1443" t="s">
        <v>1430</v>
      </c>
      <c r="D1443" s="9" t="s">
        <v>1431</v>
      </c>
      <c r="E1443" s="10"/>
      <c r="F1443" s="6">
        <v>130</v>
      </c>
      <c r="G1443" s="6">
        <f t="shared" si="77"/>
        <v>130</v>
      </c>
      <c r="H1443" s="6">
        <v>130</v>
      </c>
      <c r="I1443" s="6">
        <f t="shared" si="75"/>
        <v>0</v>
      </c>
      <c r="J1443" s="7" t="str">
        <f t="shared" si="76"/>
        <v>PAGADO</v>
      </c>
      <c r="M1443" s="8"/>
    </row>
    <row r="1444" spans="3:13" customFormat="1" x14ac:dyDescent="0.25">
      <c r="C1444" s="9" t="s">
        <v>1432</v>
      </c>
      <c r="D1444" s="9" t="s">
        <v>1309</v>
      </c>
      <c r="E1444" s="10"/>
      <c r="F1444" s="6">
        <v>55</v>
      </c>
      <c r="G1444" s="6">
        <f t="shared" si="77"/>
        <v>55</v>
      </c>
      <c r="H1444" s="6">
        <v>55</v>
      </c>
      <c r="I1444" s="6">
        <f t="shared" si="75"/>
        <v>0</v>
      </c>
      <c r="J1444" s="7" t="str">
        <f t="shared" si="76"/>
        <v>PAGADO</v>
      </c>
      <c r="M1444" s="8"/>
    </row>
    <row r="1445" spans="3:13" customFormat="1" x14ac:dyDescent="0.25">
      <c r="C1445" s="9" t="s">
        <v>1433</v>
      </c>
      <c r="D1445" s="9" t="s">
        <v>1309</v>
      </c>
      <c r="E1445" s="10"/>
      <c r="F1445" s="6">
        <v>55</v>
      </c>
      <c r="G1445" s="6">
        <f t="shared" si="77"/>
        <v>55</v>
      </c>
      <c r="H1445" s="6">
        <v>55</v>
      </c>
      <c r="I1445" s="6">
        <f t="shared" si="75"/>
        <v>0</v>
      </c>
      <c r="J1445" s="7" t="str">
        <f t="shared" si="76"/>
        <v>PAGADO</v>
      </c>
      <c r="M1445" s="8"/>
    </row>
    <row r="1446" spans="3:13" customFormat="1" x14ac:dyDescent="0.25">
      <c r="C1446" s="9" t="s">
        <v>1434</v>
      </c>
      <c r="D1446" s="9" t="s">
        <v>1309</v>
      </c>
      <c r="E1446" s="10"/>
      <c r="F1446" s="6">
        <v>55</v>
      </c>
      <c r="G1446" s="6">
        <f t="shared" si="77"/>
        <v>55</v>
      </c>
      <c r="H1446" s="6">
        <v>55</v>
      </c>
      <c r="I1446" s="6">
        <f t="shared" ref="I1446:I1484" si="78">F1446-H1446</f>
        <v>0</v>
      </c>
      <c r="J1446" s="7" t="str">
        <f t="shared" si="76"/>
        <v>PAGADO</v>
      </c>
      <c r="M1446" s="8"/>
    </row>
    <row r="1447" spans="3:13" customFormat="1" x14ac:dyDescent="0.25">
      <c r="C1447" s="9" t="s">
        <v>1435</v>
      </c>
      <c r="D1447" s="9" t="s">
        <v>1425</v>
      </c>
      <c r="E1447" s="10"/>
      <c r="F1447" s="6">
        <v>65</v>
      </c>
      <c r="G1447" s="6">
        <f t="shared" si="77"/>
        <v>65</v>
      </c>
      <c r="H1447" s="6">
        <v>65</v>
      </c>
      <c r="I1447" s="6">
        <f t="shared" si="78"/>
        <v>0</v>
      </c>
      <c r="J1447" s="7" t="str">
        <f t="shared" si="76"/>
        <v>PAGADO</v>
      </c>
      <c r="M1447" s="8"/>
    </row>
    <row r="1448" spans="3:13" customFormat="1" x14ac:dyDescent="0.25">
      <c r="C1448" s="9" t="s">
        <v>1436</v>
      </c>
      <c r="D1448" s="9" t="s">
        <v>1425</v>
      </c>
      <c r="E1448" s="10"/>
      <c r="F1448" s="6">
        <v>240</v>
      </c>
      <c r="G1448" s="6">
        <f t="shared" si="77"/>
        <v>240</v>
      </c>
      <c r="H1448" s="6">
        <f>120+67.5+52.5</f>
        <v>240</v>
      </c>
      <c r="I1448" s="26">
        <f t="shared" si="78"/>
        <v>0</v>
      </c>
      <c r="J1448" s="7" t="str">
        <f t="shared" si="76"/>
        <v>PAGADO</v>
      </c>
      <c r="M1448" s="8"/>
    </row>
    <row r="1449" spans="3:13" customFormat="1" x14ac:dyDescent="0.25">
      <c r="C1449" s="9" t="s">
        <v>1437</v>
      </c>
      <c r="D1449" s="9" t="s">
        <v>1438</v>
      </c>
      <c r="E1449" s="10"/>
      <c r="F1449" s="6">
        <v>70</v>
      </c>
      <c r="G1449" s="6">
        <f t="shared" si="77"/>
        <v>70</v>
      </c>
      <c r="H1449" s="6">
        <f>20+50</f>
        <v>70</v>
      </c>
      <c r="I1449" s="6">
        <f t="shared" si="78"/>
        <v>0</v>
      </c>
      <c r="J1449" s="7" t="str">
        <f t="shared" si="76"/>
        <v>PAGADO</v>
      </c>
      <c r="M1449" s="8"/>
    </row>
    <row r="1450" spans="3:13" customFormat="1" x14ac:dyDescent="0.25">
      <c r="C1450" s="9" t="s">
        <v>303</v>
      </c>
      <c r="D1450" s="9" t="s">
        <v>938</v>
      </c>
      <c r="E1450" s="10"/>
      <c r="F1450" s="6">
        <v>75</v>
      </c>
      <c r="G1450" s="6">
        <f t="shared" si="77"/>
        <v>75</v>
      </c>
      <c r="H1450" s="6">
        <v>75</v>
      </c>
      <c r="I1450" s="6">
        <f t="shared" si="78"/>
        <v>0</v>
      </c>
      <c r="J1450" s="7" t="str">
        <f t="shared" si="76"/>
        <v>PAGADO</v>
      </c>
      <c r="M1450" s="8"/>
    </row>
    <row r="1451" spans="3:13" customFormat="1" x14ac:dyDescent="0.25">
      <c r="C1451" s="9" t="s">
        <v>851</v>
      </c>
      <c r="D1451" s="9" t="s">
        <v>67</v>
      </c>
      <c r="E1451" s="10"/>
      <c r="F1451" s="6">
        <v>110</v>
      </c>
      <c r="G1451" s="6">
        <f t="shared" si="77"/>
        <v>110</v>
      </c>
      <c r="H1451" s="6">
        <f>100+10</f>
        <v>110</v>
      </c>
      <c r="I1451" s="26">
        <f t="shared" si="78"/>
        <v>0</v>
      </c>
      <c r="J1451" s="7" t="str">
        <f t="shared" si="76"/>
        <v>PAGADO</v>
      </c>
      <c r="M1451" s="8"/>
    </row>
    <row r="1452" spans="3:13" customFormat="1" x14ac:dyDescent="0.25">
      <c r="C1452" s="9" t="s">
        <v>1439</v>
      </c>
      <c r="D1452" s="9" t="s">
        <v>67</v>
      </c>
      <c r="E1452" s="10"/>
      <c r="F1452" s="6">
        <v>110</v>
      </c>
      <c r="G1452" s="6">
        <f t="shared" si="77"/>
        <v>110</v>
      </c>
      <c r="H1452" s="6">
        <f>100+10</f>
        <v>110</v>
      </c>
      <c r="I1452" s="26">
        <f t="shared" si="78"/>
        <v>0</v>
      </c>
      <c r="J1452" s="7" t="str">
        <f t="shared" si="76"/>
        <v>PAGADO</v>
      </c>
      <c r="M1452" s="8"/>
    </row>
    <row r="1453" spans="3:13" customFormat="1" x14ac:dyDescent="0.25">
      <c r="C1453" s="9" t="s">
        <v>1440</v>
      </c>
      <c r="D1453" s="9" t="s">
        <v>1309</v>
      </c>
      <c r="E1453" s="10"/>
      <c r="F1453" s="6">
        <v>110</v>
      </c>
      <c r="G1453" s="6">
        <f t="shared" si="77"/>
        <v>110</v>
      </c>
      <c r="H1453" s="6">
        <v>110</v>
      </c>
      <c r="I1453" s="6">
        <f t="shared" si="78"/>
        <v>0</v>
      </c>
      <c r="J1453" s="7" t="str">
        <f t="shared" si="76"/>
        <v>PAGADO</v>
      </c>
      <c r="K1453" s="33"/>
      <c r="M1453" s="8"/>
    </row>
    <row r="1454" spans="3:13" customFormat="1" x14ac:dyDescent="0.25">
      <c r="C1454" s="9" t="s">
        <v>1422</v>
      </c>
      <c r="D1454" s="9" t="s">
        <v>1247</v>
      </c>
      <c r="E1454" s="10"/>
      <c r="F1454" s="6">
        <v>120</v>
      </c>
      <c r="G1454" s="6">
        <f t="shared" si="77"/>
        <v>120</v>
      </c>
      <c r="H1454" s="6">
        <v>120</v>
      </c>
      <c r="I1454" s="6">
        <f t="shared" si="78"/>
        <v>0</v>
      </c>
      <c r="J1454" s="7" t="str">
        <f t="shared" si="76"/>
        <v>PAGADO</v>
      </c>
      <c r="M1454" s="8"/>
    </row>
    <row r="1455" spans="3:13" customFormat="1" x14ac:dyDescent="0.25">
      <c r="C1455" s="9" t="s">
        <v>1439</v>
      </c>
      <c r="D1455" s="9" t="s">
        <v>816</v>
      </c>
      <c r="E1455" s="10"/>
      <c r="F1455" s="6">
        <v>110</v>
      </c>
      <c r="G1455" s="6">
        <f t="shared" si="77"/>
        <v>110</v>
      </c>
      <c r="H1455" s="6">
        <v>110</v>
      </c>
      <c r="I1455" s="26">
        <f t="shared" si="78"/>
        <v>0</v>
      </c>
      <c r="J1455" s="7" t="str">
        <f t="shared" si="76"/>
        <v>PAGADO</v>
      </c>
      <c r="K1455" s="33"/>
      <c r="M1455" s="8"/>
    </row>
    <row r="1456" spans="3:13" customFormat="1" x14ac:dyDescent="0.25">
      <c r="C1456" s="9" t="s">
        <v>851</v>
      </c>
      <c r="D1456" s="9" t="s">
        <v>816</v>
      </c>
      <c r="E1456" s="10"/>
      <c r="F1456" s="6">
        <v>110</v>
      </c>
      <c r="G1456" s="6">
        <f t="shared" si="77"/>
        <v>110</v>
      </c>
      <c r="H1456" s="6">
        <v>110</v>
      </c>
      <c r="I1456" s="26">
        <f t="shared" si="78"/>
        <v>0</v>
      </c>
      <c r="J1456" s="7" t="str">
        <f t="shared" si="76"/>
        <v>PAGADO</v>
      </c>
      <c r="K1456" s="9"/>
      <c r="M1456" s="8"/>
    </row>
    <row r="1457" spans="3:13" customFormat="1" x14ac:dyDescent="0.25">
      <c r="C1457" s="9" t="s">
        <v>1441</v>
      </c>
      <c r="D1457" s="9" t="s">
        <v>70</v>
      </c>
      <c r="E1457" s="10"/>
      <c r="F1457" s="6">
        <v>40</v>
      </c>
      <c r="G1457" s="6">
        <f t="shared" si="77"/>
        <v>40</v>
      </c>
      <c r="H1457" s="6">
        <v>40</v>
      </c>
      <c r="I1457" s="6">
        <f t="shared" si="78"/>
        <v>0</v>
      </c>
      <c r="J1457" s="7" t="str">
        <f t="shared" si="76"/>
        <v>PAGADO</v>
      </c>
      <c r="M1457" s="8"/>
    </row>
    <row r="1458" spans="3:13" customFormat="1" x14ac:dyDescent="0.25">
      <c r="C1458" s="9" t="s">
        <v>1442</v>
      </c>
      <c r="D1458" t="s">
        <v>921</v>
      </c>
      <c r="E1458" s="10"/>
      <c r="F1458" s="6">
        <v>140</v>
      </c>
      <c r="G1458" s="6">
        <f t="shared" si="77"/>
        <v>140</v>
      </c>
      <c r="H1458" s="6">
        <v>140</v>
      </c>
      <c r="I1458" s="6">
        <f t="shared" si="78"/>
        <v>0</v>
      </c>
      <c r="J1458" s="7" t="str">
        <f t="shared" si="76"/>
        <v>PAGADO</v>
      </c>
      <c r="M1458" s="8"/>
    </row>
    <row r="1459" spans="3:13" customFormat="1" x14ac:dyDescent="0.25">
      <c r="C1459" s="9" t="s">
        <v>1443</v>
      </c>
      <c r="D1459" t="s">
        <v>921</v>
      </c>
      <c r="E1459" s="10"/>
      <c r="F1459" s="6">
        <v>150</v>
      </c>
      <c r="G1459" s="6">
        <f t="shared" si="77"/>
        <v>150</v>
      </c>
      <c r="H1459" s="6">
        <f>100+50</f>
        <v>150</v>
      </c>
      <c r="I1459" s="6">
        <f t="shared" si="78"/>
        <v>0</v>
      </c>
      <c r="J1459" s="7" t="str">
        <f t="shared" si="76"/>
        <v>PAGADO</v>
      </c>
      <c r="M1459" s="8"/>
    </row>
    <row r="1460" spans="3:13" customFormat="1" x14ac:dyDescent="0.25">
      <c r="C1460" s="14" t="s">
        <v>1444</v>
      </c>
      <c r="D1460" t="s">
        <v>921</v>
      </c>
      <c r="E1460" s="10"/>
      <c r="F1460" s="6">
        <v>240</v>
      </c>
      <c r="G1460" s="6">
        <f t="shared" si="77"/>
        <v>240</v>
      </c>
      <c r="H1460" s="6">
        <f>100+140</f>
        <v>240</v>
      </c>
      <c r="I1460" s="6">
        <f t="shared" si="78"/>
        <v>0</v>
      </c>
      <c r="J1460" s="7" t="str">
        <f t="shared" si="76"/>
        <v>PAGADO</v>
      </c>
      <c r="M1460" s="8"/>
    </row>
    <row r="1461" spans="3:13" customFormat="1" x14ac:dyDescent="0.25">
      <c r="C1461" s="9" t="s">
        <v>1445</v>
      </c>
      <c r="D1461" s="9" t="s">
        <v>488</v>
      </c>
      <c r="E1461" s="10"/>
      <c r="F1461" s="6">
        <v>15</v>
      </c>
      <c r="G1461" s="6">
        <f t="shared" si="77"/>
        <v>15</v>
      </c>
      <c r="H1461" s="6">
        <v>15</v>
      </c>
      <c r="I1461" s="6">
        <f t="shared" si="78"/>
        <v>0</v>
      </c>
      <c r="J1461" s="7" t="str">
        <f t="shared" si="76"/>
        <v>PAGADO</v>
      </c>
      <c r="M1461" s="8"/>
    </row>
    <row r="1462" spans="3:13" customFormat="1" x14ac:dyDescent="0.25">
      <c r="C1462" s="9" t="s">
        <v>1446</v>
      </c>
      <c r="D1462" s="9" t="s">
        <v>1447</v>
      </c>
      <c r="E1462" s="10"/>
      <c r="F1462" s="6">
        <v>160</v>
      </c>
      <c r="G1462" s="6">
        <f t="shared" si="77"/>
        <v>160</v>
      </c>
      <c r="H1462" s="6">
        <v>160</v>
      </c>
      <c r="I1462" s="6">
        <f t="shared" si="78"/>
        <v>0</v>
      </c>
      <c r="J1462" s="7" t="str">
        <f t="shared" si="76"/>
        <v>PAGADO</v>
      </c>
      <c r="M1462" s="8"/>
    </row>
    <row r="1463" spans="3:13" customFormat="1" x14ac:dyDescent="0.25">
      <c r="C1463" s="9" t="s">
        <v>1448</v>
      </c>
      <c r="D1463" s="9" t="s">
        <v>1449</v>
      </c>
      <c r="E1463" s="10"/>
      <c r="F1463" s="6">
        <v>60</v>
      </c>
      <c r="G1463" s="6">
        <f t="shared" si="77"/>
        <v>60</v>
      </c>
      <c r="H1463" s="6">
        <v>60</v>
      </c>
      <c r="I1463" s="6">
        <f t="shared" si="78"/>
        <v>0</v>
      </c>
      <c r="J1463" s="7" t="str">
        <f t="shared" si="76"/>
        <v>PAGADO</v>
      </c>
      <c r="M1463" s="8"/>
    </row>
    <row r="1464" spans="3:13" customFormat="1" x14ac:dyDescent="0.25">
      <c r="C1464" s="9" t="s">
        <v>1204</v>
      </c>
      <c r="D1464" s="9" t="s">
        <v>816</v>
      </c>
      <c r="E1464" s="10"/>
      <c r="F1464" s="6">
        <v>230</v>
      </c>
      <c r="G1464" s="6">
        <f t="shared" si="77"/>
        <v>230</v>
      </c>
      <c r="H1464" s="6">
        <v>230</v>
      </c>
      <c r="I1464" s="26">
        <f t="shared" si="78"/>
        <v>0</v>
      </c>
      <c r="J1464" s="7" t="str">
        <f t="shared" si="76"/>
        <v>PAGADO</v>
      </c>
      <c r="M1464" s="8"/>
    </row>
    <row r="1465" spans="3:13" customFormat="1" x14ac:dyDescent="0.25">
      <c r="C1465" s="9" t="s">
        <v>1450</v>
      </c>
      <c r="D1465" s="9" t="s">
        <v>1451</v>
      </c>
      <c r="E1465" s="10"/>
      <c r="F1465" s="6">
        <v>220</v>
      </c>
      <c r="G1465" s="6">
        <f t="shared" si="77"/>
        <v>220</v>
      </c>
      <c r="H1465" s="6">
        <v>220</v>
      </c>
      <c r="I1465" s="6">
        <f t="shared" si="78"/>
        <v>0</v>
      </c>
      <c r="J1465" s="7" t="str">
        <f t="shared" si="76"/>
        <v>PAGADO</v>
      </c>
      <c r="M1465" s="8"/>
    </row>
    <row r="1466" spans="3:13" customFormat="1" x14ac:dyDescent="0.25">
      <c r="C1466" s="9" t="s">
        <v>1116</v>
      </c>
      <c r="D1466" s="9" t="s">
        <v>692</v>
      </c>
      <c r="E1466" s="10"/>
      <c r="F1466" s="6">
        <v>15</v>
      </c>
      <c r="G1466" s="6">
        <f t="shared" si="77"/>
        <v>15</v>
      </c>
      <c r="H1466" s="6">
        <v>15</v>
      </c>
      <c r="I1466" s="6">
        <f t="shared" si="78"/>
        <v>0</v>
      </c>
      <c r="J1466" s="7" t="str">
        <f t="shared" si="76"/>
        <v>PAGADO</v>
      </c>
      <c r="M1466" s="8"/>
    </row>
    <row r="1467" spans="3:13" customFormat="1" x14ac:dyDescent="0.25">
      <c r="C1467" s="9" t="s">
        <v>1452</v>
      </c>
      <c r="D1467" s="9" t="s">
        <v>1363</v>
      </c>
      <c r="E1467" s="10"/>
      <c r="F1467" s="6">
        <v>30</v>
      </c>
      <c r="G1467" s="6">
        <f t="shared" si="77"/>
        <v>30</v>
      </c>
      <c r="H1467" s="6">
        <v>30</v>
      </c>
      <c r="I1467" s="6">
        <f t="shared" si="78"/>
        <v>0</v>
      </c>
      <c r="J1467" s="7" t="str">
        <f t="shared" si="76"/>
        <v>PAGADO</v>
      </c>
      <c r="M1467" s="8"/>
    </row>
    <row r="1468" spans="3:13" customFormat="1" x14ac:dyDescent="0.25">
      <c r="C1468" s="9" t="s">
        <v>1453</v>
      </c>
      <c r="D1468" s="9" t="s">
        <v>1392</v>
      </c>
      <c r="E1468" s="10"/>
      <c r="F1468" s="6">
        <v>60</v>
      </c>
      <c r="G1468" s="6">
        <f t="shared" si="77"/>
        <v>60</v>
      </c>
      <c r="H1468" s="6">
        <v>60</v>
      </c>
      <c r="I1468" s="6">
        <f t="shared" si="78"/>
        <v>0</v>
      </c>
      <c r="J1468" s="7" t="str">
        <f t="shared" si="76"/>
        <v>PAGADO</v>
      </c>
      <c r="M1468" s="8"/>
    </row>
    <row r="1469" spans="3:13" customFormat="1" x14ac:dyDescent="0.25">
      <c r="C1469" s="9" t="s">
        <v>1454</v>
      </c>
      <c r="D1469" s="9" t="s">
        <v>1392</v>
      </c>
      <c r="E1469" s="10"/>
      <c r="F1469" s="6">
        <v>70</v>
      </c>
      <c r="G1469" s="6">
        <f t="shared" si="77"/>
        <v>70</v>
      </c>
      <c r="H1469" s="6">
        <v>70</v>
      </c>
      <c r="I1469" s="6">
        <f t="shared" si="78"/>
        <v>0</v>
      </c>
      <c r="J1469" s="7" t="str">
        <f t="shared" si="76"/>
        <v>PAGADO</v>
      </c>
      <c r="M1469" s="8"/>
    </row>
    <row r="1470" spans="3:13" customFormat="1" x14ac:dyDescent="0.25">
      <c r="C1470" s="9" t="s">
        <v>1455</v>
      </c>
      <c r="D1470" s="9" t="s">
        <v>597</v>
      </c>
      <c r="E1470" s="10"/>
      <c r="F1470" s="6">
        <v>20</v>
      </c>
      <c r="G1470" s="6">
        <f t="shared" si="77"/>
        <v>20</v>
      </c>
      <c r="H1470" s="6">
        <v>20</v>
      </c>
      <c r="I1470" s="26">
        <f t="shared" si="78"/>
        <v>0</v>
      </c>
      <c r="J1470" s="7" t="str">
        <f t="shared" si="76"/>
        <v>PAGADO</v>
      </c>
      <c r="M1470" s="8"/>
    </row>
    <row r="1471" spans="3:13" customFormat="1" x14ac:dyDescent="0.25">
      <c r="C1471" t="s">
        <v>1456</v>
      </c>
      <c r="D1471" s="9" t="s">
        <v>1451</v>
      </c>
      <c r="E1471" s="10"/>
      <c r="F1471" s="6">
        <v>50</v>
      </c>
      <c r="G1471" s="6">
        <f t="shared" si="77"/>
        <v>50</v>
      </c>
      <c r="H1471" s="6">
        <v>50</v>
      </c>
      <c r="I1471" s="6">
        <f t="shared" si="78"/>
        <v>0</v>
      </c>
      <c r="J1471" s="7" t="str">
        <f t="shared" si="76"/>
        <v>PAGADO</v>
      </c>
      <c r="M1471" s="8"/>
    </row>
    <row r="1472" spans="3:13" customFormat="1" x14ac:dyDescent="0.25">
      <c r="C1472" s="9" t="s">
        <v>1457</v>
      </c>
      <c r="D1472" s="9" t="s">
        <v>18</v>
      </c>
      <c r="E1472" s="10"/>
      <c r="F1472" s="6">
        <v>40</v>
      </c>
      <c r="G1472" s="6">
        <f t="shared" si="77"/>
        <v>40</v>
      </c>
      <c r="H1472" s="6">
        <v>40</v>
      </c>
      <c r="I1472" s="6">
        <f t="shared" si="78"/>
        <v>0</v>
      </c>
      <c r="J1472" s="7" t="str">
        <f t="shared" si="76"/>
        <v>PAGADO</v>
      </c>
      <c r="M1472" s="8"/>
    </row>
    <row r="1473" spans="1:11" x14ac:dyDescent="0.25">
      <c r="A1473"/>
      <c r="C1473" s="9" t="s">
        <v>1458</v>
      </c>
      <c r="D1473" s="9" t="s">
        <v>807</v>
      </c>
      <c r="F1473" s="6">
        <v>35</v>
      </c>
      <c r="G1473" s="6">
        <f t="shared" si="77"/>
        <v>35</v>
      </c>
      <c r="H1473" s="6">
        <v>35</v>
      </c>
      <c r="I1473" s="6">
        <f t="shared" si="78"/>
        <v>0</v>
      </c>
      <c r="J1473" s="7" t="str">
        <f t="shared" si="76"/>
        <v>PAGADO</v>
      </c>
    </row>
    <row r="1474" spans="1:11" x14ac:dyDescent="0.25">
      <c r="A1474"/>
      <c r="C1474" s="9" t="s">
        <v>1459</v>
      </c>
      <c r="D1474" s="9" t="s">
        <v>488</v>
      </c>
      <c r="F1474" s="6">
        <v>25</v>
      </c>
      <c r="G1474" s="6">
        <f t="shared" si="77"/>
        <v>25</v>
      </c>
      <c r="H1474" s="6">
        <v>25</v>
      </c>
      <c r="I1474" s="6">
        <f t="shared" si="78"/>
        <v>0</v>
      </c>
      <c r="J1474" s="7" t="str">
        <f t="shared" si="76"/>
        <v>PAGADO</v>
      </c>
    </row>
    <row r="1475" spans="1:11" x14ac:dyDescent="0.25">
      <c r="A1475">
        <v>2025</v>
      </c>
      <c r="C1475" s="9" t="s">
        <v>1047</v>
      </c>
      <c r="D1475" s="9" t="s">
        <v>1460</v>
      </c>
      <c r="F1475" s="6">
        <v>70</v>
      </c>
      <c r="G1475" s="6">
        <f t="shared" si="77"/>
        <v>70</v>
      </c>
      <c r="H1475" s="6">
        <v>70</v>
      </c>
      <c r="I1475" s="6">
        <f t="shared" si="78"/>
        <v>0</v>
      </c>
      <c r="J1475" s="7" t="str">
        <f t="shared" si="76"/>
        <v>PAGADO</v>
      </c>
    </row>
    <row r="1476" spans="1:11" x14ac:dyDescent="0.25">
      <c r="A1476">
        <v>2025</v>
      </c>
      <c r="C1476" s="9" t="s">
        <v>1461</v>
      </c>
      <c r="D1476" s="9" t="s">
        <v>1460</v>
      </c>
      <c r="F1476" s="6">
        <v>70</v>
      </c>
      <c r="G1476" s="6">
        <f t="shared" si="77"/>
        <v>70</v>
      </c>
      <c r="H1476" s="6">
        <v>70</v>
      </c>
      <c r="I1476" s="6">
        <f t="shared" si="78"/>
        <v>0</v>
      </c>
      <c r="J1476" s="7" t="str">
        <f t="shared" si="76"/>
        <v>PAGADO</v>
      </c>
    </row>
    <row r="1477" spans="1:11" x14ac:dyDescent="0.25">
      <c r="A1477">
        <v>2025</v>
      </c>
      <c r="C1477" s="9" t="s">
        <v>1462</v>
      </c>
      <c r="D1477" s="9" t="s">
        <v>1460</v>
      </c>
      <c r="F1477" s="6">
        <v>110</v>
      </c>
      <c r="G1477" s="6">
        <f t="shared" si="77"/>
        <v>110</v>
      </c>
      <c r="H1477" s="6">
        <v>110</v>
      </c>
      <c r="I1477" s="6">
        <f t="shared" si="78"/>
        <v>0</v>
      </c>
      <c r="J1477" s="7" t="str">
        <f t="shared" si="76"/>
        <v>PAGADO</v>
      </c>
    </row>
    <row r="1478" spans="1:11" x14ac:dyDescent="0.25">
      <c r="A1478">
        <v>2025</v>
      </c>
      <c r="C1478" s="9" t="s">
        <v>1463</v>
      </c>
      <c r="D1478" s="9" t="s">
        <v>1399</v>
      </c>
      <c r="F1478" s="6">
        <v>70</v>
      </c>
      <c r="G1478" s="6">
        <f t="shared" si="77"/>
        <v>70</v>
      </c>
      <c r="H1478" s="6">
        <v>70</v>
      </c>
      <c r="I1478" s="6">
        <f t="shared" si="78"/>
        <v>0</v>
      </c>
      <c r="J1478" s="7" t="str">
        <f t="shared" si="76"/>
        <v>PAGADO</v>
      </c>
    </row>
    <row r="1479" spans="1:11" x14ac:dyDescent="0.25">
      <c r="A1479">
        <v>2025</v>
      </c>
      <c r="C1479" s="9" t="s">
        <v>1464</v>
      </c>
      <c r="D1479" s="9" t="s">
        <v>1399</v>
      </c>
      <c r="F1479" s="6">
        <v>50</v>
      </c>
      <c r="G1479" s="6">
        <f t="shared" si="77"/>
        <v>50</v>
      </c>
      <c r="H1479" s="6">
        <v>50</v>
      </c>
      <c r="I1479" s="6">
        <f t="shared" si="78"/>
        <v>0</v>
      </c>
      <c r="J1479" s="7" t="str">
        <f t="shared" si="76"/>
        <v>PAGADO</v>
      </c>
    </row>
    <row r="1480" spans="1:11" x14ac:dyDescent="0.25">
      <c r="A1480">
        <v>2025</v>
      </c>
      <c r="C1480" s="9" t="s">
        <v>1465</v>
      </c>
      <c r="D1480" s="9" t="s">
        <v>1466</v>
      </c>
      <c r="F1480" s="6">
        <v>25</v>
      </c>
      <c r="G1480" s="6">
        <f t="shared" si="77"/>
        <v>25</v>
      </c>
      <c r="H1480" s="6">
        <v>25</v>
      </c>
      <c r="I1480" s="6">
        <f t="shared" si="78"/>
        <v>0</v>
      </c>
      <c r="J1480" s="7" t="str">
        <f t="shared" si="76"/>
        <v>PAGADO</v>
      </c>
    </row>
    <row r="1481" spans="1:11" x14ac:dyDescent="0.25">
      <c r="A1481">
        <v>2025</v>
      </c>
      <c r="C1481" t="s">
        <v>1467</v>
      </c>
      <c r="D1481" s="9" t="s">
        <v>423</v>
      </c>
      <c r="F1481" s="6">
        <v>90</v>
      </c>
      <c r="G1481" s="6">
        <f t="shared" si="77"/>
        <v>90</v>
      </c>
      <c r="H1481" s="6">
        <v>90</v>
      </c>
      <c r="I1481" s="6">
        <f t="shared" si="78"/>
        <v>0</v>
      </c>
      <c r="J1481" s="7" t="str">
        <f t="shared" si="76"/>
        <v>PAGADO</v>
      </c>
    </row>
    <row r="1482" spans="1:11" x14ac:dyDescent="0.25">
      <c r="A1482">
        <v>2025</v>
      </c>
      <c r="C1482" t="s">
        <v>1468</v>
      </c>
      <c r="D1482" s="9" t="s">
        <v>423</v>
      </c>
      <c r="F1482" s="6">
        <v>70</v>
      </c>
      <c r="G1482" s="6">
        <f t="shared" si="77"/>
        <v>70</v>
      </c>
      <c r="H1482" s="6">
        <v>70</v>
      </c>
      <c r="I1482" s="6">
        <f t="shared" si="78"/>
        <v>0</v>
      </c>
      <c r="J1482" s="7" t="str">
        <f t="shared" si="76"/>
        <v>PAGADO</v>
      </c>
    </row>
    <row r="1483" spans="1:11" x14ac:dyDescent="0.25">
      <c r="A1483">
        <v>2025</v>
      </c>
      <c r="C1483" t="s">
        <v>1469</v>
      </c>
      <c r="D1483" s="9" t="s">
        <v>1309</v>
      </c>
      <c r="F1483" s="6">
        <v>30</v>
      </c>
      <c r="G1483" s="6">
        <f t="shared" si="77"/>
        <v>30</v>
      </c>
      <c r="H1483" s="6">
        <v>30</v>
      </c>
      <c r="I1483" s="6">
        <f t="shared" si="78"/>
        <v>0</v>
      </c>
      <c r="J1483" s="7" t="str">
        <f t="shared" si="76"/>
        <v>PAGADO</v>
      </c>
    </row>
    <row r="1484" spans="1:11" x14ac:dyDescent="0.25">
      <c r="A1484">
        <v>2025</v>
      </c>
      <c r="C1484" t="s">
        <v>1470</v>
      </c>
      <c r="D1484" s="9" t="s">
        <v>680</v>
      </c>
      <c r="F1484" s="6">
        <v>100</v>
      </c>
      <c r="G1484" s="6">
        <f t="shared" si="77"/>
        <v>100</v>
      </c>
      <c r="H1484" s="6">
        <v>100</v>
      </c>
      <c r="I1484" s="6">
        <f t="shared" si="78"/>
        <v>0</v>
      </c>
      <c r="J1484" s="7" t="str">
        <f t="shared" si="76"/>
        <v>PAGADO</v>
      </c>
    </row>
    <row r="1485" spans="1:11" x14ac:dyDescent="0.25">
      <c r="A1485">
        <v>2025</v>
      </c>
      <c r="C1485" t="s">
        <v>1047</v>
      </c>
      <c r="D1485" s="9" t="s">
        <v>74</v>
      </c>
      <c r="F1485" s="30">
        <v>-50</v>
      </c>
      <c r="G1485" s="30">
        <f t="shared" si="77"/>
        <v>-50</v>
      </c>
      <c r="H1485" s="30">
        <v>-50</v>
      </c>
      <c r="I1485" s="30">
        <v>-50</v>
      </c>
      <c r="J1485" s="7" t="str">
        <f t="shared" ref="J1485:J1548" si="79">IF(I1485&gt;0,"DEBE","PAGADO")</f>
        <v>PAGADO</v>
      </c>
      <c r="K1485" s="28" t="s">
        <v>1471</v>
      </c>
    </row>
    <row r="1486" spans="1:11" x14ac:dyDescent="0.25">
      <c r="A1486">
        <v>2025</v>
      </c>
      <c r="C1486" t="s">
        <v>1461</v>
      </c>
      <c r="D1486" s="9" t="s">
        <v>74</v>
      </c>
      <c r="F1486" s="30">
        <v>-50</v>
      </c>
      <c r="G1486" s="30">
        <f t="shared" si="77"/>
        <v>-50</v>
      </c>
      <c r="H1486" s="30">
        <v>-50</v>
      </c>
      <c r="I1486" s="30">
        <v>-50</v>
      </c>
      <c r="J1486" s="7" t="str">
        <f t="shared" si="79"/>
        <v>PAGADO</v>
      </c>
      <c r="K1486" s="28" t="s">
        <v>1471</v>
      </c>
    </row>
    <row r="1487" spans="1:11" x14ac:dyDescent="0.25">
      <c r="A1487">
        <v>2025</v>
      </c>
      <c r="C1487" t="s">
        <v>1472</v>
      </c>
      <c r="D1487" s="9" t="s">
        <v>1473</v>
      </c>
      <c r="F1487" s="6">
        <v>50</v>
      </c>
      <c r="G1487" s="6">
        <f t="shared" si="77"/>
        <v>50</v>
      </c>
      <c r="H1487" s="6">
        <v>50</v>
      </c>
      <c r="I1487" s="6">
        <f t="shared" ref="I1487:I1550" si="80">F1487-H1487</f>
        <v>0</v>
      </c>
      <c r="J1487" s="7" t="str">
        <f t="shared" si="79"/>
        <v>PAGADO</v>
      </c>
    </row>
    <row r="1488" spans="1:11" x14ac:dyDescent="0.25">
      <c r="A1488">
        <v>2025</v>
      </c>
      <c r="C1488" t="s">
        <v>1028</v>
      </c>
      <c r="D1488" s="9" t="s">
        <v>1474</v>
      </c>
      <c r="F1488" s="6">
        <v>60</v>
      </c>
      <c r="G1488" s="6">
        <f t="shared" si="77"/>
        <v>60</v>
      </c>
      <c r="H1488" s="6">
        <v>60</v>
      </c>
      <c r="I1488" s="6">
        <f t="shared" si="80"/>
        <v>0</v>
      </c>
      <c r="J1488" s="7" t="str">
        <f t="shared" si="79"/>
        <v>PAGADO</v>
      </c>
    </row>
    <row r="1489" spans="1:10" x14ac:dyDescent="0.25">
      <c r="A1489">
        <v>2025</v>
      </c>
      <c r="C1489" t="s">
        <v>1475</v>
      </c>
      <c r="D1489" s="9" t="s">
        <v>1476</v>
      </c>
      <c r="F1489" s="6">
        <v>80</v>
      </c>
      <c r="G1489" s="6">
        <f t="shared" si="77"/>
        <v>80</v>
      </c>
      <c r="H1489" s="6">
        <v>80</v>
      </c>
      <c r="I1489" s="6">
        <f t="shared" si="80"/>
        <v>0</v>
      </c>
      <c r="J1489" s="7" t="str">
        <f t="shared" si="79"/>
        <v>PAGADO</v>
      </c>
    </row>
    <row r="1490" spans="1:10" x14ac:dyDescent="0.25">
      <c r="A1490">
        <v>2025</v>
      </c>
      <c r="C1490" t="s">
        <v>1477</v>
      </c>
      <c r="D1490" s="9" t="s">
        <v>1476</v>
      </c>
      <c r="F1490" s="6">
        <v>50</v>
      </c>
      <c r="G1490" s="6">
        <f t="shared" si="77"/>
        <v>50</v>
      </c>
      <c r="H1490" s="6">
        <v>50</v>
      </c>
      <c r="I1490" s="6">
        <f t="shared" si="80"/>
        <v>0</v>
      </c>
      <c r="J1490" s="7" t="str">
        <f t="shared" si="79"/>
        <v>PAGADO</v>
      </c>
    </row>
    <row r="1491" spans="1:10" x14ac:dyDescent="0.25">
      <c r="A1491">
        <v>2025</v>
      </c>
      <c r="C1491" t="s">
        <v>1478</v>
      </c>
      <c r="D1491" s="9" t="s">
        <v>1237</v>
      </c>
      <c r="F1491" s="6">
        <v>15</v>
      </c>
      <c r="G1491" s="6">
        <f t="shared" si="77"/>
        <v>15</v>
      </c>
      <c r="H1491" s="6">
        <v>15</v>
      </c>
      <c r="I1491" s="6">
        <f t="shared" si="80"/>
        <v>0</v>
      </c>
      <c r="J1491" s="7" t="str">
        <f t="shared" si="79"/>
        <v>PAGADO</v>
      </c>
    </row>
    <row r="1492" spans="1:10" x14ac:dyDescent="0.25">
      <c r="A1492">
        <v>2025</v>
      </c>
      <c r="C1492" t="s">
        <v>418</v>
      </c>
      <c r="D1492" s="9" t="s">
        <v>1237</v>
      </c>
      <c r="F1492" s="6">
        <v>15</v>
      </c>
      <c r="G1492" s="6">
        <f t="shared" si="77"/>
        <v>15</v>
      </c>
      <c r="H1492" s="6">
        <v>15</v>
      </c>
      <c r="I1492" s="6">
        <f t="shared" si="80"/>
        <v>0</v>
      </c>
      <c r="J1492" s="7" t="str">
        <f t="shared" si="79"/>
        <v>PAGADO</v>
      </c>
    </row>
    <row r="1493" spans="1:10" x14ac:dyDescent="0.25">
      <c r="A1493">
        <v>2025</v>
      </c>
      <c r="C1493" t="s">
        <v>87</v>
      </c>
      <c r="D1493" s="9" t="s">
        <v>1237</v>
      </c>
      <c r="F1493" s="6">
        <v>15</v>
      </c>
      <c r="G1493" s="6">
        <f t="shared" si="77"/>
        <v>15</v>
      </c>
      <c r="H1493" s="6">
        <v>15</v>
      </c>
      <c r="I1493" s="6">
        <f t="shared" si="80"/>
        <v>0</v>
      </c>
      <c r="J1493" s="7" t="str">
        <f t="shared" si="79"/>
        <v>PAGADO</v>
      </c>
    </row>
    <row r="1494" spans="1:10" x14ac:dyDescent="0.25">
      <c r="A1494">
        <v>2025</v>
      </c>
      <c r="C1494" t="s">
        <v>1479</v>
      </c>
      <c r="D1494" s="9" t="s">
        <v>1237</v>
      </c>
      <c r="F1494" s="6">
        <v>25</v>
      </c>
      <c r="G1494" s="6">
        <f t="shared" si="77"/>
        <v>25</v>
      </c>
      <c r="H1494" s="6">
        <v>25</v>
      </c>
      <c r="I1494" s="6">
        <f t="shared" si="80"/>
        <v>0</v>
      </c>
      <c r="J1494" s="7" t="str">
        <f t="shared" si="79"/>
        <v>PAGADO</v>
      </c>
    </row>
    <row r="1495" spans="1:10" x14ac:dyDescent="0.25">
      <c r="A1495">
        <v>2025</v>
      </c>
      <c r="C1495" t="s">
        <v>1480</v>
      </c>
      <c r="D1495" s="9" t="s">
        <v>1237</v>
      </c>
      <c r="F1495" s="6">
        <v>45</v>
      </c>
      <c r="G1495" s="6">
        <f t="shared" si="77"/>
        <v>45</v>
      </c>
      <c r="H1495" s="6">
        <v>45</v>
      </c>
      <c r="I1495" s="6">
        <f t="shared" si="80"/>
        <v>0</v>
      </c>
      <c r="J1495" s="7" t="str">
        <f t="shared" si="79"/>
        <v>PAGADO</v>
      </c>
    </row>
    <row r="1496" spans="1:10" x14ac:dyDescent="0.25">
      <c r="A1496">
        <v>2025</v>
      </c>
      <c r="C1496" t="s">
        <v>1481</v>
      </c>
      <c r="D1496" s="9" t="s">
        <v>1237</v>
      </c>
      <c r="F1496" s="6">
        <v>15</v>
      </c>
      <c r="G1496" s="6">
        <f t="shared" si="77"/>
        <v>15</v>
      </c>
      <c r="H1496" s="6">
        <v>15</v>
      </c>
      <c r="I1496" s="6">
        <f t="shared" si="80"/>
        <v>0</v>
      </c>
      <c r="J1496" s="7" t="str">
        <f t="shared" si="79"/>
        <v>PAGADO</v>
      </c>
    </row>
    <row r="1497" spans="1:10" x14ac:dyDescent="0.25">
      <c r="A1497">
        <v>2025</v>
      </c>
      <c r="C1497" s="9" t="s">
        <v>1482</v>
      </c>
      <c r="D1497" s="9" t="s">
        <v>1290</v>
      </c>
      <c r="F1497" s="6">
        <v>25</v>
      </c>
      <c r="G1497" s="6">
        <f t="shared" si="77"/>
        <v>25</v>
      </c>
      <c r="H1497" s="6">
        <v>25</v>
      </c>
      <c r="I1497" s="6">
        <f t="shared" si="80"/>
        <v>0</v>
      </c>
      <c r="J1497" s="7" t="str">
        <f t="shared" si="79"/>
        <v>PAGADO</v>
      </c>
    </row>
    <row r="1498" spans="1:10" x14ac:dyDescent="0.25">
      <c r="A1498">
        <v>2025</v>
      </c>
      <c r="C1498" s="9" t="s">
        <v>1483</v>
      </c>
      <c r="D1498" s="9" t="s">
        <v>1290</v>
      </c>
      <c r="F1498" s="6">
        <v>45</v>
      </c>
      <c r="G1498" s="6">
        <f t="shared" si="77"/>
        <v>45</v>
      </c>
      <c r="H1498" s="6">
        <v>45</v>
      </c>
      <c r="I1498" s="6">
        <f t="shared" si="80"/>
        <v>0</v>
      </c>
      <c r="J1498" s="7" t="str">
        <f t="shared" si="79"/>
        <v>PAGADO</v>
      </c>
    </row>
    <row r="1499" spans="1:10" x14ac:dyDescent="0.25">
      <c r="A1499">
        <v>2025</v>
      </c>
      <c r="C1499" t="s">
        <v>1484</v>
      </c>
      <c r="D1499" s="9" t="s">
        <v>1390</v>
      </c>
      <c r="F1499" s="6">
        <v>250</v>
      </c>
      <c r="G1499" s="6">
        <f t="shared" si="77"/>
        <v>250</v>
      </c>
      <c r="H1499" s="6">
        <v>250</v>
      </c>
      <c r="I1499" s="6">
        <f t="shared" si="80"/>
        <v>0</v>
      </c>
      <c r="J1499" s="7" t="str">
        <f t="shared" si="79"/>
        <v>PAGADO</v>
      </c>
    </row>
    <row r="1500" spans="1:10" x14ac:dyDescent="0.25">
      <c r="A1500">
        <v>2025</v>
      </c>
      <c r="C1500" t="s">
        <v>1485</v>
      </c>
      <c r="D1500" s="9" t="s">
        <v>1486</v>
      </c>
      <c r="F1500" s="6">
        <v>60</v>
      </c>
      <c r="G1500" s="6">
        <f t="shared" si="77"/>
        <v>60</v>
      </c>
      <c r="H1500" s="6">
        <v>60</v>
      </c>
      <c r="I1500" s="6">
        <f t="shared" si="80"/>
        <v>0</v>
      </c>
      <c r="J1500" s="7" t="str">
        <f t="shared" si="79"/>
        <v>PAGADO</v>
      </c>
    </row>
    <row r="1501" spans="1:10" x14ac:dyDescent="0.25">
      <c r="A1501">
        <v>2025</v>
      </c>
      <c r="C1501" t="s">
        <v>1487</v>
      </c>
      <c r="D1501" s="9" t="s">
        <v>1486</v>
      </c>
      <c r="F1501" s="6">
        <v>60</v>
      </c>
      <c r="G1501" s="6">
        <f t="shared" si="77"/>
        <v>60</v>
      </c>
      <c r="H1501" s="6">
        <v>60</v>
      </c>
      <c r="I1501" s="6">
        <f t="shared" si="80"/>
        <v>0</v>
      </c>
      <c r="J1501" s="7" t="str">
        <f t="shared" si="79"/>
        <v>PAGADO</v>
      </c>
    </row>
    <row r="1502" spans="1:10" x14ac:dyDescent="0.25">
      <c r="A1502">
        <v>2025</v>
      </c>
      <c r="C1502" t="s">
        <v>1488</v>
      </c>
      <c r="D1502" s="9" t="s">
        <v>1363</v>
      </c>
      <c r="F1502" s="6">
        <v>210</v>
      </c>
      <c r="G1502" s="6">
        <f t="shared" si="77"/>
        <v>210</v>
      </c>
      <c r="H1502" s="6">
        <v>210</v>
      </c>
      <c r="I1502" s="6">
        <f t="shared" si="80"/>
        <v>0</v>
      </c>
      <c r="J1502" s="7" t="str">
        <f t="shared" si="79"/>
        <v>PAGADO</v>
      </c>
    </row>
    <row r="1503" spans="1:10" x14ac:dyDescent="0.25">
      <c r="A1503">
        <v>2025</v>
      </c>
      <c r="C1503" s="9" t="s">
        <v>955</v>
      </c>
      <c r="D1503" s="9" t="s">
        <v>1327</v>
      </c>
      <c r="F1503" s="6">
        <v>70</v>
      </c>
      <c r="G1503" s="6">
        <f t="shared" ref="G1503:G1566" si="81">F1503-E1503</f>
        <v>70</v>
      </c>
      <c r="H1503" s="6">
        <v>70</v>
      </c>
      <c r="I1503" s="6">
        <f t="shared" si="80"/>
        <v>0</v>
      </c>
      <c r="J1503" s="7" t="str">
        <f t="shared" si="79"/>
        <v>PAGADO</v>
      </c>
    </row>
    <row r="1504" spans="1:10" x14ac:dyDescent="0.25">
      <c r="A1504">
        <v>2025</v>
      </c>
      <c r="C1504" t="s">
        <v>1489</v>
      </c>
      <c r="D1504" s="9" t="s">
        <v>1390</v>
      </c>
      <c r="F1504" s="6">
        <v>20</v>
      </c>
      <c r="G1504" s="6">
        <f t="shared" si="81"/>
        <v>20</v>
      </c>
      <c r="H1504" s="6">
        <v>20</v>
      </c>
      <c r="I1504" s="6">
        <f t="shared" si="80"/>
        <v>0</v>
      </c>
      <c r="J1504" s="7" t="str">
        <f t="shared" si="79"/>
        <v>PAGADO</v>
      </c>
    </row>
    <row r="1505" spans="1:11" x14ac:dyDescent="0.25">
      <c r="A1505">
        <v>2025</v>
      </c>
      <c r="C1505" t="s">
        <v>1490</v>
      </c>
      <c r="D1505" s="9" t="s">
        <v>1378</v>
      </c>
      <c r="F1505" s="6">
        <v>40</v>
      </c>
      <c r="G1505" s="6">
        <f t="shared" si="81"/>
        <v>40</v>
      </c>
      <c r="H1505" s="6">
        <v>40</v>
      </c>
      <c r="I1505" s="6">
        <f t="shared" si="80"/>
        <v>0</v>
      </c>
      <c r="J1505" s="7" t="str">
        <f t="shared" si="79"/>
        <v>PAGADO</v>
      </c>
    </row>
    <row r="1506" spans="1:11" x14ac:dyDescent="0.25">
      <c r="A1506">
        <v>2025</v>
      </c>
      <c r="C1506" t="s">
        <v>340</v>
      </c>
      <c r="D1506" s="9" t="s">
        <v>1378</v>
      </c>
      <c r="F1506" s="6">
        <v>40</v>
      </c>
      <c r="G1506" s="6">
        <f t="shared" si="81"/>
        <v>40</v>
      </c>
      <c r="H1506" s="6">
        <v>40</v>
      </c>
      <c r="I1506" s="6">
        <f t="shared" si="80"/>
        <v>0</v>
      </c>
      <c r="J1506" s="7" t="str">
        <f t="shared" si="79"/>
        <v>PAGADO</v>
      </c>
    </row>
    <row r="1507" spans="1:11" x14ac:dyDescent="0.25">
      <c r="A1507">
        <v>2025</v>
      </c>
      <c r="C1507" t="s">
        <v>1491</v>
      </c>
      <c r="D1507" s="9" t="s">
        <v>1055</v>
      </c>
      <c r="F1507" s="6">
        <v>35</v>
      </c>
      <c r="G1507" s="6">
        <f t="shared" si="81"/>
        <v>35</v>
      </c>
      <c r="H1507" s="6">
        <f>10+10+15</f>
        <v>35</v>
      </c>
      <c r="I1507" s="6">
        <f t="shared" si="80"/>
        <v>0</v>
      </c>
      <c r="J1507" s="7" t="str">
        <f t="shared" si="79"/>
        <v>PAGADO</v>
      </c>
      <c r="K1507" s="45" t="s">
        <v>1056</v>
      </c>
    </row>
    <row r="1508" spans="1:11" x14ac:dyDescent="0.25">
      <c r="A1508">
        <v>2025</v>
      </c>
      <c r="C1508" t="s">
        <v>1492</v>
      </c>
      <c r="D1508" s="9" t="s">
        <v>1055</v>
      </c>
      <c r="F1508" s="6">
        <v>10</v>
      </c>
      <c r="G1508" s="6">
        <f t="shared" si="81"/>
        <v>10</v>
      </c>
      <c r="H1508" s="6">
        <v>10</v>
      </c>
      <c r="I1508" s="6">
        <f t="shared" si="80"/>
        <v>0</v>
      </c>
      <c r="J1508" s="7" t="str">
        <f t="shared" si="79"/>
        <v>PAGADO</v>
      </c>
      <c r="K1508" s="45" t="s">
        <v>1056</v>
      </c>
    </row>
    <row r="1509" spans="1:11" x14ac:dyDescent="0.25">
      <c r="A1509">
        <v>2025</v>
      </c>
      <c r="C1509" s="9" t="s">
        <v>1493</v>
      </c>
      <c r="D1509" t="s">
        <v>31</v>
      </c>
      <c r="F1509" s="6">
        <v>65</v>
      </c>
      <c r="G1509" s="6">
        <f t="shared" si="81"/>
        <v>65</v>
      </c>
      <c r="H1509" s="6">
        <v>65</v>
      </c>
      <c r="I1509" s="6">
        <f t="shared" si="80"/>
        <v>0</v>
      </c>
      <c r="J1509" s="7" t="str">
        <f t="shared" si="79"/>
        <v>PAGADO</v>
      </c>
    </row>
    <row r="1510" spans="1:11" x14ac:dyDescent="0.25">
      <c r="A1510">
        <v>2025</v>
      </c>
      <c r="C1510" s="9" t="s">
        <v>1494</v>
      </c>
      <c r="D1510" t="s">
        <v>31</v>
      </c>
      <c r="F1510" s="6">
        <v>65</v>
      </c>
      <c r="G1510" s="6">
        <f t="shared" si="81"/>
        <v>65</v>
      </c>
      <c r="H1510" s="6">
        <v>65</v>
      </c>
      <c r="I1510" s="6">
        <f t="shared" si="80"/>
        <v>0</v>
      </c>
      <c r="J1510" s="7" t="str">
        <f t="shared" si="79"/>
        <v>PAGADO</v>
      </c>
    </row>
    <row r="1511" spans="1:11" x14ac:dyDescent="0.25">
      <c r="A1511">
        <v>2025</v>
      </c>
      <c r="C1511" s="9" t="s">
        <v>1495</v>
      </c>
      <c r="D1511" t="s">
        <v>31</v>
      </c>
      <c r="F1511" s="6">
        <v>70</v>
      </c>
      <c r="G1511" s="6">
        <f t="shared" si="81"/>
        <v>70</v>
      </c>
      <c r="H1511" s="6">
        <v>70</v>
      </c>
      <c r="I1511" s="6">
        <f t="shared" si="80"/>
        <v>0</v>
      </c>
      <c r="J1511" s="7" t="str">
        <f t="shared" si="79"/>
        <v>PAGADO</v>
      </c>
    </row>
    <row r="1512" spans="1:11" x14ac:dyDescent="0.25">
      <c r="A1512">
        <v>2025</v>
      </c>
      <c r="C1512" t="s">
        <v>1204</v>
      </c>
      <c r="D1512" s="9" t="s">
        <v>1237</v>
      </c>
      <c r="F1512" s="6">
        <v>230</v>
      </c>
      <c r="G1512" s="6">
        <f t="shared" si="81"/>
        <v>230</v>
      </c>
      <c r="H1512" s="6">
        <f>50+180</f>
        <v>230</v>
      </c>
      <c r="I1512" s="6">
        <f t="shared" si="80"/>
        <v>0</v>
      </c>
      <c r="J1512" s="7" t="str">
        <f t="shared" si="79"/>
        <v>PAGADO</v>
      </c>
    </row>
    <row r="1513" spans="1:11" x14ac:dyDescent="0.25">
      <c r="A1513">
        <v>2025</v>
      </c>
      <c r="C1513" t="s">
        <v>695</v>
      </c>
      <c r="D1513" s="9" t="s">
        <v>1496</v>
      </c>
      <c r="F1513" s="6">
        <v>60</v>
      </c>
      <c r="G1513" s="6">
        <f t="shared" si="81"/>
        <v>60</v>
      </c>
      <c r="H1513" s="6">
        <v>60</v>
      </c>
      <c r="I1513" s="6">
        <f t="shared" si="80"/>
        <v>0</v>
      </c>
      <c r="J1513" s="7" t="str">
        <f t="shared" si="79"/>
        <v>PAGADO</v>
      </c>
    </row>
    <row r="1514" spans="1:11" x14ac:dyDescent="0.25">
      <c r="A1514">
        <v>2025</v>
      </c>
      <c r="C1514" t="s">
        <v>1497</v>
      </c>
      <c r="D1514" s="9" t="s">
        <v>1496</v>
      </c>
      <c r="F1514" s="6">
        <v>85</v>
      </c>
      <c r="G1514" s="6">
        <f t="shared" si="81"/>
        <v>85</v>
      </c>
      <c r="H1514" s="6">
        <v>85</v>
      </c>
      <c r="I1514" s="6">
        <f t="shared" si="80"/>
        <v>0</v>
      </c>
      <c r="J1514" s="7" t="str">
        <f t="shared" si="79"/>
        <v>PAGADO</v>
      </c>
    </row>
    <row r="1515" spans="1:11" x14ac:dyDescent="0.25">
      <c r="A1515">
        <v>2025</v>
      </c>
      <c r="C1515" t="s">
        <v>1498</v>
      </c>
      <c r="D1515" s="9" t="s">
        <v>680</v>
      </c>
      <c r="F1515" s="6">
        <v>70</v>
      </c>
      <c r="G1515" s="6">
        <f t="shared" si="81"/>
        <v>70</v>
      </c>
      <c r="H1515" s="6">
        <v>70</v>
      </c>
      <c r="I1515" s="6">
        <f t="shared" si="80"/>
        <v>0</v>
      </c>
      <c r="J1515" s="7" t="str">
        <f t="shared" si="79"/>
        <v>PAGADO</v>
      </c>
    </row>
    <row r="1516" spans="1:11" x14ac:dyDescent="0.25">
      <c r="A1516">
        <v>2025</v>
      </c>
      <c r="C1516" t="s">
        <v>1499</v>
      </c>
      <c r="D1516" s="9" t="s">
        <v>680</v>
      </c>
      <c r="F1516" s="6">
        <v>80</v>
      </c>
      <c r="G1516" s="6">
        <f t="shared" si="81"/>
        <v>80</v>
      </c>
      <c r="H1516" s="6">
        <v>80</v>
      </c>
      <c r="I1516" s="6">
        <f t="shared" si="80"/>
        <v>0</v>
      </c>
      <c r="J1516" s="7" t="str">
        <f t="shared" si="79"/>
        <v>PAGADO</v>
      </c>
    </row>
    <row r="1517" spans="1:11" x14ac:dyDescent="0.25">
      <c r="A1517">
        <v>2025</v>
      </c>
      <c r="C1517" t="s">
        <v>1500</v>
      </c>
      <c r="D1517" s="9" t="s">
        <v>1501</v>
      </c>
      <c r="F1517" s="6">
        <v>65</v>
      </c>
      <c r="G1517" s="6">
        <f t="shared" si="81"/>
        <v>65</v>
      </c>
      <c r="H1517" s="6">
        <v>65</v>
      </c>
      <c r="I1517" s="6">
        <f t="shared" si="80"/>
        <v>0</v>
      </c>
      <c r="J1517" s="7" t="str">
        <f t="shared" si="79"/>
        <v>PAGADO</v>
      </c>
    </row>
    <row r="1518" spans="1:11" x14ac:dyDescent="0.25">
      <c r="A1518">
        <v>2025</v>
      </c>
      <c r="C1518" t="s">
        <v>1502</v>
      </c>
      <c r="D1518" s="9" t="s">
        <v>1501</v>
      </c>
      <c r="F1518" s="6">
        <v>20</v>
      </c>
      <c r="G1518" s="6">
        <f t="shared" si="81"/>
        <v>20</v>
      </c>
      <c r="H1518" s="6">
        <v>20</v>
      </c>
      <c r="I1518" s="6">
        <f t="shared" si="80"/>
        <v>0</v>
      </c>
      <c r="J1518" s="7" t="str">
        <f t="shared" si="79"/>
        <v>PAGADO</v>
      </c>
    </row>
    <row r="1519" spans="1:11" x14ac:dyDescent="0.25">
      <c r="A1519">
        <v>2025</v>
      </c>
      <c r="C1519" t="s">
        <v>1503</v>
      </c>
      <c r="D1519" s="9" t="s">
        <v>1504</v>
      </c>
      <c r="F1519" s="6">
        <v>75</v>
      </c>
      <c r="G1519" s="6">
        <f t="shared" si="81"/>
        <v>75</v>
      </c>
      <c r="H1519" s="6">
        <v>75</v>
      </c>
      <c r="I1519" s="6">
        <f t="shared" si="80"/>
        <v>0</v>
      </c>
      <c r="J1519" s="7" t="str">
        <f t="shared" si="79"/>
        <v>PAGADO</v>
      </c>
      <c r="K1519" t="s">
        <v>693</v>
      </c>
    </row>
    <row r="1520" spans="1:11" x14ac:dyDescent="0.25">
      <c r="A1520">
        <v>2025</v>
      </c>
      <c r="C1520" t="s">
        <v>1505</v>
      </c>
      <c r="D1520" s="9" t="s">
        <v>1504</v>
      </c>
      <c r="F1520" s="6">
        <v>80</v>
      </c>
      <c r="G1520" s="6">
        <f t="shared" si="81"/>
        <v>80</v>
      </c>
      <c r="H1520" s="6">
        <v>80</v>
      </c>
      <c r="I1520" s="6">
        <f t="shared" si="80"/>
        <v>0</v>
      </c>
      <c r="J1520" s="7" t="str">
        <f t="shared" si="79"/>
        <v>PAGADO</v>
      </c>
      <c r="K1520" t="s">
        <v>693</v>
      </c>
    </row>
    <row r="1521" spans="1:11" x14ac:dyDescent="0.25">
      <c r="A1521">
        <v>2025</v>
      </c>
      <c r="C1521" t="s">
        <v>1506</v>
      </c>
      <c r="D1521" s="9" t="s">
        <v>1504</v>
      </c>
      <c r="F1521" s="6">
        <v>80</v>
      </c>
      <c r="G1521" s="6">
        <f t="shared" si="81"/>
        <v>80</v>
      </c>
      <c r="H1521" s="6">
        <v>80</v>
      </c>
      <c r="I1521" s="6">
        <f t="shared" si="80"/>
        <v>0</v>
      </c>
      <c r="J1521" s="7" t="str">
        <f t="shared" si="79"/>
        <v>PAGADO</v>
      </c>
      <c r="K1521" t="s">
        <v>693</v>
      </c>
    </row>
    <row r="1522" spans="1:11" x14ac:dyDescent="0.25">
      <c r="A1522">
        <v>2025</v>
      </c>
      <c r="C1522" t="s">
        <v>1507</v>
      </c>
      <c r="D1522" s="9" t="s">
        <v>1360</v>
      </c>
      <c r="F1522" s="6">
        <v>90</v>
      </c>
      <c r="G1522" s="6">
        <f t="shared" si="81"/>
        <v>90</v>
      </c>
      <c r="H1522" s="6">
        <v>90</v>
      </c>
      <c r="I1522" s="6">
        <f t="shared" si="80"/>
        <v>0</v>
      </c>
      <c r="J1522" s="7" t="str">
        <f t="shared" si="79"/>
        <v>PAGADO</v>
      </c>
    </row>
    <row r="1523" spans="1:11" x14ac:dyDescent="0.25">
      <c r="A1523">
        <v>2025</v>
      </c>
      <c r="C1523" t="s">
        <v>1508</v>
      </c>
      <c r="D1523" s="9" t="s">
        <v>1390</v>
      </c>
      <c r="F1523" s="6">
        <v>290</v>
      </c>
      <c r="G1523" s="6">
        <f t="shared" si="81"/>
        <v>290</v>
      </c>
      <c r="H1523" s="6">
        <v>290</v>
      </c>
      <c r="I1523" s="6">
        <f t="shared" si="80"/>
        <v>0</v>
      </c>
      <c r="J1523" s="7" t="str">
        <f t="shared" si="79"/>
        <v>PAGADO</v>
      </c>
    </row>
    <row r="1524" spans="1:11" x14ac:dyDescent="0.25">
      <c r="A1524">
        <v>2025</v>
      </c>
      <c r="C1524" t="s">
        <v>1509</v>
      </c>
      <c r="D1524" s="9" t="s">
        <v>1510</v>
      </c>
      <c r="F1524" s="6">
        <v>100</v>
      </c>
      <c r="G1524" s="6">
        <f t="shared" si="81"/>
        <v>100</v>
      </c>
      <c r="H1524" s="6">
        <v>100</v>
      </c>
      <c r="I1524" s="6">
        <f t="shared" si="80"/>
        <v>0</v>
      </c>
      <c r="J1524" s="7" t="str">
        <f t="shared" si="79"/>
        <v>PAGADO</v>
      </c>
    </row>
    <row r="1525" spans="1:11" x14ac:dyDescent="0.25">
      <c r="A1525">
        <v>2025</v>
      </c>
      <c r="C1525" t="s">
        <v>1511</v>
      </c>
      <c r="D1525" s="9" t="s">
        <v>1510</v>
      </c>
      <c r="F1525" s="6">
        <v>80</v>
      </c>
      <c r="G1525" s="6">
        <f t="shared" si="81"/>
        <v>80</v>
      </c>
      <c r="H1525" s="6">
        <v>80</v>
      </c>
      <c r="I1525" s="6">
        <f t="shared" si="80"/>
        <v>0</v>
      </c>
      <c r="J1525" s="7" t="str">
        <f t="shared" si="79"/>
        <v>PAGADO</v>
      </c>
    </row>
    <row r="1526" spans="1:11" x14ac:dyDescent="0.25">
      <c r="A1526">
        <v>2025</v>
      </c>
      <c r="C1526" t="s">
        <v>1512</v>
      </c>
      <c r="D1526" s="9" t="s">
        <v>1247</v>
      </c>
      <c r="F1526" s="6">
        <v>270</v>
      </c>
      <c r="G1526" s="6">
        <f t="shared" si="81"/>
        <v>270</v>
      </c>
      <c r="H1526" s="6">
        <v>270</v>
      </c>
      <c r="I1526" s="6">
        <f t="shared" si="80"/>
        <v>0</v>
      </c>
      <c r="J1526" s="7" t="str">
        <f t="shared" si="79"/>
        <v>PAGADO</v>
      </c>
    </row>
    <row r="1527" spans="1:11" x14ac:dyDescent="0.25">
      <c r="A1527">
        <v>2025</v>
      </c>
      <c r="C1527" t="s">
        <v>1513</v>
      </c>
      <c r="D1527" s="9" t="s">
        <v>1247</v>
      </c>
      <c r="F1527" s="6">
        <v>280</v>
      </c>
      <c r="G1527" s="6">
        <f t="shared" si="81"/>
        <v>280</v>
      </c>
      <c r="H1527" s="6">
        <v>280</v>
      </c>
      <c r="I1527" s="6">
        <f t="shared" si="80"/>
        <v>0</v>
      </c>
      <c r="J1527" s="7" t="str">
        <f t="shared" si="79"/>
        <v>PAGADO</v>
      </c>
    </row>
    <row r="1528" spans="1:11" x14ac:dyDescent="0.25">
      <c r="A1528">
        <v>2025</v>
      </c>
      <c r="C1528" t="s">
        <v>1514</v>
      </c>
      <c r="D1528" s="9" t="s">
        <v>1451</v>
      </c>
      <c r="F1528" s="6">
        <v>50</v>
      </c>
      <c r="G1528" s="6">
        <f t="shared" si="81"/>
        <v>50</v>
      </c>
      <c r="H1528" s="6">
        <v>50</v>
      </c>
      <c r="I1528" s="6">
        <f t="shared" si="80"/>
        <v>0</v>
      </c>
      <c r="J1528" s="7" t="str">
        <f t="shared" si="79"/>
        <v>PAGADO</v>
      </c>
    </row>
    <row r="1529" spans="1:11" x14ac:dyDescent="0.25">
      <c r="A1529">
        <v>2025</v>
      </c>
      <c r="C1529" t="s">
        <v>1515</v>
      </c>
      <c r="D1529" s="9" t="s">
        <v>1451</v>
      </c>
      <c r="F1529" s="6">
        <v>50</v>
      </c>
      <c r="G1529" s="6">
        <f t="shared" si="81"/>
        <v>50</v>
      </c>
      <c r="H1529" s="6">
        <v>50</v>
      </c>
      <c r="I1529" s="6">
        <f t="shared" si="80"/>
        <v>0</v>
      </c>
      <c r="J1529" s="7" t="str">
        <f t="shared" si="79"/>
        <v>PAGADO</v>
      </c>
    </row>
    <row r="1530" spans="1:11" x14ac:dyDescent="0.25">
      <c r="A1530">
        <v>2025</v>
      </c>
      <c r="C1530" t="s">
        <v>1516</v>
      </c>
      <c r="D1530" s="9" t="s">
        <v>1451</v>
      </c>
      <c r="F1530" s="6">
        <v>50</v>
      </c>
      <c r="G1530" s="6">
        <f t="shared" si="81"/>
        <v>50</v>
      </c>
      <c r="H1530" s="6">
        <v>50</v>
      </c>
      <c r="I1530" s="6">
        <f t="shared" si="80"/>
        <v>0</v>
      </c>
      <c r="J1530" s="7" t="str">
        <f t="shared" si="79"/>
        <v>PAGADO</v>
      </c>
    </row>
    <row r="1531" spans="1:11" x14ac:dyDescent="0.25">
      <c r="A1531">
        <v>2025</v>
      </c>
      <c r="C1531" t="s">
        <v>1517</v>
      </c>
      <c r="D1531" s="9" t="s">
        <v>1451</v>
      </c>
      <c r="F1531" s="6">
        <v>50</v>
      </c>
      <c r="G1531" s="6">
        <f t="shared" si="81"/>
        <v>50</v>
      </c>
      <c r="H1531" s="6">
        <v>50</v>
      </c>
      <c r="I1531" s="6">
        <f t="shared" si="80"/>
        <v>0</v>
      </c>
      <c r="J1531" s="7" t="str">
        <f t="shared" si="79"/>
        <v>PAGADO</v>
      </c>
    </row>
    <row r="1532" spans="1:11" x14ac:dyDescent="0.25">
      <c r="A1532">
        <v>2025</v>
      </c>
      <c r="C1532" t="s">
        <v>1518</v>
      </c>
      <c r="D1532" s="9" t="s">
        <v>1519</v>
      </c>
      <c r="F1532" s="6">
        <v>73</v>
      </c>
      <c r="G1532" s="6">
        <f t="shared" si="81"/>
        <v>73</v>
      </c>
      <c r="H1532" s="6">
        <v>73</v>
      </c>
      <c r="I1532" s="6">
        <f t="shared" si="80"/>
        <v>0</v>
      </c>
      <c r="J1532" s="7" t="str">
        <f t="shared" si="79"/>
        <v>PAGADO</v>
      </c>
    </row>
    <row r="1533" spans="1:11" x14ac:dyDescent="0.25">
      <c r="A1533">
        <v>2025</v>
      </c>
      <c r="C1533" t="s">
        <v>1520</v>
      </c>
      <c r="D1533" s="9" t="s">
        <v>1510</v>
      </c>
      <c r="F1533" s="6">
        <v>70</v>
      </c>
      <c r="G1533" s="6">
        <f t="shared" si="81"/>
        <v>70</v>
      </c>
      <c r="H1533" s="6">
        <f>10+60</f>
        <v>70</v>
      </c>
      <c r="I1533" s="6">
        <f t="shared" si="80"/>
        <v>0</v>
      </c>
      <c r="J1533" s="7" t="str">
        <f t="shared" si="79"/>
        <v>PAGADO</v>
      </c>
    </row>
    <row r="1534" spans="1:11" x14ac:dyDescent="0.25">
      <c r="A1534">
        <v>2025</v>
      </c>
      <c r="C1534" s="9" t="s">
        <v>1521</v>
      </c>
      <c r="D1534" s="9" t="s">
        <v>816</v>
      </c>
      <c r="F1534" s="6">
        <v>320</v>
      </c>
      <c r="G1534" s="6">
        <f t="shared" si="81"/>
        <v>320</v>
      </c>
      <c r="H1534" s="6">
        <v>320</v>
      </c>
      <c r="I1534" s="26">
        <f t="shared" si="80"/>
        <v>0</v>
      </c>
      <c r="J1534" s="7" t="str">
        <f t="shared" si="79"/>
        <v>PAGADO</v>
      </c>
    </row>
    <row r="1535" spans="1:11" x14ac:dyDescent="0.25">
      <c r="A1535">
        <v>2025</v>
      </c>
      <c r="C1535" s="9" t="s">
        <v>1521</v>
      </c>
      <c r="D1535" s="9" t="s">
        <v>816</v>
      </c>
      <c r="F1535" s="6">
        <v>320</v>
      </c>
      <c r="G1535" s="6">
        <f t="shared" si="81"/>
        <v>320</v>
      </c>
      <c r="H1535" s="6">
        <v>320</v>
      </c>
      <c r="I1535" s="26">
        <f t="shared" si="80"/>
        <v>0</v>
      </c>
      <c r="J1535" s="7" t="str">
        <f t="shared" si="79"/>
        <v>PAGADO</v>
      </c>
    </row>
    <row r="1536" spans="1:11" x14ac:dyDescent="0.25">
      <c r="A1536">
        <v>2025</v>
      </c>
      <c r="C1536" t="s">
        <v>1481</v>
      </c>
      <c r="D1536" s="9" t="s">
        <v>1237</v>
      </c>
      <c r="F1536" s="6">
        <v>15</v>
      </c>
      <c r="G1536" s="6">
        <f t="shared" si="81"/>
        <v>15</v>
      </c>
      <c r="H1536" s="6">
        <v>15</v>
      </c>
      <c r="I1536" s="6">
        <f t="shared" si="80"/>
        <v>0</v>
      </c>
      <c r="J1536" s="7" t="str">
        <f t="shared" si="79"/>
        <v>PAGADO</v>
      </c>
    </row>
    <row r="1537" spans="1:11" x14ac:dyDescent="0.25">
      <c r="A1537">
        <v>2025</v>
      </c>
      <c r="C1537" t="s">
        <v>1522</v>
      </c>
      <c r="D1537" s="9" t="s">
        <v>1523</v>
      </c>
      <c r="F1537" s="6">
        <v>60</v>
      </c>
      <c r="G1537" s="6">
        <f t="shared" si="81"/>
        <v>60</v>
      </c>
      <c r="H1537" s="6">
        <v>60</v>
      </c>
      <c r="I1537" s="6">
        <f t="shared" si="80"/>
        <v>0</v>
      </c>
      <c r="J1537" s="7" t="str">
        <f t="shared" si="79"/>
        <v>PAGADO</v>
      </c>
    </row>
    <row r="1538" spans="1:11" x14ac:dyDescent="0.25">
      <c r="A1538">
        <v>2025</v>
      </c>
      <c r="C1538" t="s">
        <v>1524</v>
      </c>
      <c r="D1538" t="s">
        <v>1525</v>
      </c>
      <c r="F1538" s="6">
        <v>25</v>
      </c>
      <c r="G1538" s="6">
        <f t="shared" si="81"/>
        <v>25</v>
      </c>
      <c r="H1538" s="6">
        <v>25</v>
      </c>
      <c r="I1538" s="6">
        <f t="shared" si="80"/>
        <v>0</v>
      </c>
      <c r="J1538" s="7" t="str">
        <f t="shared" si="79"/>
        <v>PAGADO</v>
      </c>
    </row>
    <row r="1539" spans="1:11" x14ac:dyDescent="0.25">
      <c r="A1539">
        <v>2025</v>
      </c>
      <c r="C1539" s="9" t="s">
        <v>1526</v>
      </c>
      <c r="D1539" t="s">
        <v>921</v>
      </c>
      <c r="F1539" s="6">
        <v>90</v>
      </c>
      <c r="G1539" s="6">
        <f t="shared" si="81"/>
        <v>90</v>
      </c>
      <c r="H1539" s="6">
        <v>90</v>
      </c>
      <c r="I1539" s="6">
        <f t="shared" si="80"/>
        <v>0</v>
      </c>
      <c r="J1539" s="7" t="str">
        <f t="shared" si="79"/>
        <v>PAGADO</v>
      </c>
    </row>
    <row r="1540" spans="1:11" x14ac:dyDescent="0.25">
      <c r="A1540">
        <v>2025</v>
      </c>
      <c r="C1540" s="9" t="s">
        <v>1527</v>
      </c>
      <c r="D1540" s="9" t="s">
        <v>1528</v>
      </c>
      <c r="F1540" s="6">
        <v>70</v>
      </c>
      <c r="G1540" s="6">
        <f t="shared" si="81"/>
        <v>70</v>
      </c>
      <c r="H1540" s="6">
        <v>70</v>
      </c>
      <c r="I1540" s="6">
        <f t="shared" si="80"/>
        <v>0</v>
      </c>
      <c r="J1540" s="7" t="str">
        <f t="shared" si="79"/>
        <v>PAGADO</v>
      </c>
    </row>
    <row r="1541" spans="1:11" x14ac:dyDescent="0.25">
      <c r="A1541">
        <v>2025</v>
      </c>
      <c r="C1541" s="9" t="s">
        <v>1529</v>
      </c>
      <c r="D1541" s="9" t="s">
        <v>1476</v>
      </c>
      <c r="F1541" s="6">
        <v>160</v>
      </c>
      <c r="G1541" s="6">
        <f t="shared" si="81"/>
        <v>160</v>
      </c>
      <c r="H1541" s="6">
        <v>160</v>
      </c>
      <c r="I1541" s="6">
        <f t="shared" si="80"/>
        <v>0</v>
      </c>
      <c r="J1541" s="7" t="str">
        <f t="shared" si="79"/>
        <v>PAGADO</v>
      </c>
    </row>
    <row r="1542" spans="1:11" x14ac:dyDescent="0.25">
      <c r="A1542">
        <v>2025</v>
      </c>
      <c r="C1542" s="9" t="s">
        <v>1530</v>
      </c>
      <c r="D1542" s="9" t="s">
        <v>816</v>
      </c>
      <c r="F1542" s="6">
        <v>510</v>
      </c>
      <c r="G1542" s="6">
        <f t="shared" si="81"/>
        <v>510</v>
      </c>
      <c r="H1542" s="6">
        <f>250+250+10</f>
        <v>510</v>
      </c>
      <c r="I1542" s="16">
        <f t="shared" si="80"/>
        <v>0</v>
      </c>
      <c r="J1542" s="7" t="str">
        <f t="shared" si="79"/>
        <v>PAGADO</v>
      </c>
    </row>
    <row r="1543" spans="1:11" x14ac:dyDescent="0.25">
      <c r="A1543">
        <v>2025</v>
      </c>
      <c r="C1543" s="9" t="s">
        <v>1531</v>
      </c>
      <c r="D1543" s="9" t="s">
        <v>705</v>
      </c>
      <c r="F1543" s="6">
        <v>35</v>
      </c>
      <c r="G1543" s="6">
        <f t="shared" si="81"/>
        <v>35</v>
      </c>
      <c r="H1543" s="6">
        <v>35</v>
      </c>
      <c r="I1543" s="6">
        <f t="shared" si="80"/>
        <v>0</v>
      </c>
      <c r="J1543" s="7" t="str">
        <f t="shared" si="79"/>
        <v>PAGADO</v>
      </c>
    </row>
    <row r="1544" spans="1:11" x14ac:dyDescent="0.25">
      <c r="A1544">
        <v>2025</v>
      </c>
      <c r="C1544" s="9" t="s">
        <v>1532</v>
      </c>
      <c r="D1544" s="9" t="s">
        <v>488</v>
      </c>
      <c r="F1544" s="6">
        <v>15</v>
      </c>
      <c r="G1544" s="6">
        <f t="shared" si="81"/>
        <v>15</v>
      </c>
      <c r="H1544" s="6">
        <v>15</v>
      </c>
      <c r="I1544" s="6">
        <f t="shared" si="80"/>
        <v>0</v>
      </c>
      <c r="J1544" s="7" t="str">
        <f t="shared" si="79"/>
        <v>PAGADO</v>
      </c>
      <c r="K1544" s="9" t="s">
        <v>1533</v>
      </c>
    </row>
    <row r="1545" spans="1:11" x14ac:dyDescent="0.25">
      <c r="A1545">
        <v>2025</v>
      </c>
      <c r="C1545" s="9" t="s">
        <v>1534</v>
      </c>
      <c r="D1545" s="9" t="s">
        <v>1535</v>
      </c>
      <c r="F1545" s="6">
        <v>100</v>
      </c>
      <c r="G1545" s="6">
        <f t="shared" si="81"/>
        <v>100</v>
      </c>
      <c r="H1545" s="6">
        <v>100</v>
      </c>
      <c r="I1545" s="6">
        <f t="shared" si="80"/>
        <v>0</v>
      </c>
      <c r="J1545" s="7" t="str">
        <f t="shared" si="79"/>
        <v>PAGADO</v>
      </c>
    </row>
    <row r="1546" spans="1:11" x14ac:dyDescent="0.25">
      <c r="A1546">
        <v>2025</v>
      </c>
      <c r="C1546" s="9" t="s">
        <v>1536</v>
      </c>
      <c r="D1546" s="9" t="s">
        <v>1309</v>
      </c>
      <c r="F1546" s="6">
        <v>20</v>
      </c>
      <c r="G1546" s="6">
        <f t="shared" si="81"/>
        <v>20</v>
      </c>
      <c r="H1546" s="6">
        <v>20</v>
      </c>
      <c r="I1546" s="6">
        <f t="shared" si="80"/>
        <v>0</v>
      </c>
      <c r="J1546" s="7" t="str">
        <f t="shared" si="79"/>
        <v>PAGADO</v>
      </c>
    </row>
    <row r="1547" spans="1:11" x14ac:dyDescent="0.25">
      <c r="A1547">
        <v>2025</v>
      </c>
      <c r="C1547" s="9" t="s">
        <v>113</v>
      </c>
      <c r="D1547" s="9" t="s">
        <v>1309</v>
      </c>
      <c r="F1547" s="6">
        <v>25</v>
      </c>
      <c r="G1547" s="6">
        <f t="shared" si="81"/>
        <v>25</v>
      </c>
      <c r="H1547" s="6">
        <v>25</v>
      </c>
      <c r="I1547" s="6">
        <f t="shared" si="80"/>
        <v>0</v>
      </c>
      <c r="J1547" s="7" t="str">
        <f t="shared" si="79"/>
        <v>PAGADO</v>
      </c>
    </row>
    <row r="1548" spans="1:11" x14ac:dyDescent="0.25">
      <c r="A1548">
        <v>2025</v>
      </c>
      <c r="C1548" s="9" t="s">
        <v>1537</v>
      </c>
      <c r="D1548" s="9" t="s">
        <v>1309</v>
      </c>
      <c r="F1548" s="6">
        <v>20</v>
      </c>
      <c r="G1548" s="6">
        <f t="shared" si="81"/>
        <v>20</v>
      </c>
      <c r="H1548" s="6">
        <v>20</v>
      </c>
      <c r="I1548" s="6">
        <f t="shared" si="80"/>
        <v>0</v>
      </c>
      <c r="J1548" s="7" t="str">
        <f t="shared" si="79"/>
        <v>PAGADO</v>
      </c>
    </row>
    <row r="1549" spans="1:11" x14ac:dyDescent="0.25">
      <c r="A1549">
        <v>2025</v>
      </c>
      <c r="C1549" s="9" t="s">
        <v>1538</v>
      </c>
      <c r="D1549" s="9" t="s">
        <v>1309</v>
      </c>
      <c r="F1549" s="6">
        <v>20</v>
      </c>
      <c r="G1549" s="6">
        <f t="shared" si="81"/>
        <v>20</v>
      </c>
      <c r="H1549" s="6">
        <v>20</v>
      </c>
      <c r="I1549" s="6">
        <f t="shared" si="80"/>
        <v>0</v>
      </c>
      <c r="J1549" s="7" t="str">
        <f t="shared" ref="J1549:J1612" si="82">IF(I1549&gt;0,"DEBE","PAGADO")</f>
        <v>PAGADO</v>
      </c>
    </row>
    <row r="1550" spans="1:11" x14ac:dyDescent="0.25">
      <c r="A1550">
        <v>2025</v>
      </c>
      <c r="C1550" s="9" t="s">
        <v>1539</v>
      </c>
      <c r="D1550" s="9" t="s">
        <v>1390</v>
      </c>
      <c r="F1550" s="6">
        <v>20</v>
      </c>
      <c r="G1550" s="6">
        <f t="shared" si="81"/>
        <v>20</v>
      </c>
      <c r="H1550" s="6">
        <f>10+10</f>
        <v>20</v>
      </c>
      <c r="I1550" s="6">
        <f t="shared" si="80"/>
        <v>0</v>
      </c>
      <c r="J1550" s="7" t="str">
        <f t="shared" si="82"/>
        <v>PAGADO</v>
      </c>
    </row>
    <row r="1551" spans="1:11" x14ac:dyDescent="0.25">
      <c r="A1551">
        <v>2025</v>
      </c>
      <c r="C1551" s="9" t="s">
        <v>1540</v>
      </c>
      <c r="D1551" s="9" t="s">
        <v>942</v>
      </c>
      <c r="F1551" s="6">
        <v>5</v>
      </c>
      <c r="G1551" s="6">
        <f t="shared" si="81"/>
        <v>5</v>
      </c>
      <c r="H1551" s="6">
        <v>5</v>
      </c>
      <c r="I1551" s="6">
        <f t="shared" ref="I1551:I1614" si="83">F1551-H1551</f>
        <v>0</v>
      </c>
      <c r="J1551" s="7" t="str">
        <f t="shared" si="82"/>
        <v>PAGADO</v>
      </c>
    </row>
    <row r="1552" spans="1:11" x14ac:dyDescent="0.25">
      <c r="A1552">
        <v>2025</v>
      </c>
      <c r="C1552" s="9" t="s">
        <v>1541</v>
      </c>
      <c r="D1552" s="9" t="s">
        <v>202</v>
      </c>
      <c r="F1552" s="6">
        <v>20</v>
      </c>
      <c r="G1552" s="6">
        <f t="shared" si="81"/>
        <v>20</v>
      </c>
      <c r="H1552" s="6">
        <v>20</v>
      </c>
      <c r="I1552" s="6">
        <f t="shared" si="83"/>
        <v>0</v>
      </c>
      <c r="J1552" s="7" t="str">
        <f t="shared" si="82"/>
        <v>PAGADO</v>
      </c>
    </row>
    <row r="1553" spans="1:11" x14ac:dyDescent="0.25">
      <c r="A1553">
        <v>2025</v>
      </c>
      <c r="C1553" s="9" t="s">
        <v>1542</v>
      </c>
      <c r="D1553" s="9" t="s">
        <v>783</v>
      </c>
      <c r="F1553" s="6">
        <v>70</v>
      </c>
      <c r="G1553" s="6">
        <f t="shared" si="81"/>
        <v>70</v>
      </c>
      <c r="H1553" s="6">
        <v>70</v>
      </c>
      <c r="I1553" s="6">
        <f t="shared" si="83"/>
        <v>0</v>
      </c>
      <c r="J1553" s="7" t="str">
        <f t="shared" si="82"/>
        <v>PAGADO</v>
      </c>
    </row>
    <row r="1554" spans="1:11" x14ac:dyDescent="0.25">
      <c r="A1554">
        <v>2025</v>
      </c>
      <c r="C1554" s="9" t="s">
        <v>1543</v>
      </c>
      <c r="D1554" s="9" t="s">
        <v>377</v>
      </c>
      <c r="F1554" s="6">
        <v>65</v>
      </c>
      <c r="G1554" s="6">
        <f t="shared" si="81"/>
        <v>65</v>
      </c>
      <c r="H1554" s="6">
        <v>65</v>
      </c>
      <c r="I1554" s="6">
        <f t="shared" si="83"/>
        <v>0</v>
      </c>
      <c r="J1554" s="7" t="str">
        <f t="shared" si="82"/>
        <v>PAGADO</v>
      </c>
    </row>
    <row r="1555" spans="1:11" x14ac:dyDescent="0.25">
      <c r="A1555">
        <v>2025</v>
      </c>
      <c r="C1555" s="9" t="s">
        <v>1544</v>
      </c>
      <c r="D1555" s="9" t="s">
        <v>1476</v>
      </c>
      <c r="F1555" s="6">
        <v>120</v>
      </c>
      <c r="G1555" s="6">
        <f t="shared" si="81"/>
        <v>120</v>
      </c>
      <c r="H1555" s="6">
        <v>120</v>
      </c>
      <c r="I1555" s="6">
        <f t="shared" si="83"/>
        <v>0</v>
      </c>
      <c r="J1555" s="7" t="str">
        <f t="shared" si="82"/>
        <v>PAGADO</v>
      </c>
    </row>
    <row r="1556" spans="1:11" x14ac:dyDescent="0.25">
      <c r="A1556">
        <v>2025</v>
      </c>
      <c r="C1556" s="9" t="s">
        <v>1545</v>
      </c>
      <c r="D1556" s="9" t="s">
        <v>1546</v>
      </c>
      <c r="F1556" s="6">
        <v>110</v>
      </c>
      <c r="G1556" s="6">
        <f t="shared" si="81"/>
        <v>110</v>
      </c>
      <c r="H1556" s="6">
        <f>30+80</f>
        <v>110</v>
      </c>
      <c r="I1556" s="6">
        <f t="shared" si="83"/>
        <v>0</v>
      </c>
      <c r="J1556" s="7" t="str">
        <f t="shared" si="82"/>
        <v>PAGADO</v>
      </c>
      <c r="K1556" s="9"/>
    </row>
    <row r="1557" spans="1:11" x14ac:dyDescent="0.25">
      <c r="A1557">
        <v>2025</v>
      </c>
      <c r="C1557" s="9" t="s">
        <v>1547</v>
      </c>
      <c r="D1557" s="9" t="s">
        <v>1548</v>
      </c>
      <c r="F1557" s="6">
        <v>100</v>
      </c>
      <c r="G1557" s="6">
        <f t="shared" si="81"/>
        <v>100</v>
      </c>
      <c r="H1557" s="6">
        <v>100</v>
      </c>
      <c r="I1557" s="6">
        <f t="shared" si="83"/>
        <v>0</v>
      </c>
      <c r="J1557" s="7" t="str">
        <f t="shared" si="82"/>
        <v>PAGADO</v>
      </c>
    </row>
    <row r="1558" spans="1:11" x14ac:dyDescent="0.25">
      <c r="A1558">
        <v>2025</v>
      </c>
      <c r="C1558" s="9" t="s">
        <v>1495</v>
      </c>
      <c r="D1558" s="9" t="s">
        <v>1549</v>
      </c>
      <c r="F1558" s="6">
        <v>70</v>
      </c>
      <c r="G1558" s="6">
        <f t="shared" si="81"/>
        <v>70</v>
      </c>
      <c r="H1558" s="6">
        <v>70</v>
      </c>
      <c r="I1558" s="6">
        <f t="shared" si="83"/>
        <v>0</v>
      </c>
      <c r="J1558" s="7" t="str">
        <f t="shared" si="82"/>
        <v>PAGADO</v>
      </c>
    </row>
    <row r="1559" spans="1:11" x14ac:dyDescent="0.25">
      <c r="A1559">
        <v>2025</v>
      </c>
      <c r="C1559" s="9" t="s">
        <v>1550</v>
      </c>
      <c r="D1559" s="9" t="s">
        <v>1549</v>
      </c>
      <c r="F1559" s="6">
        <v>70</v>
      </c>
      <c r="G1559" s="6">
        <f t="shared" si="81"/>
        <v>70</v>
      </c>
      <c r="H1559" s="6">
        <v>70</v>
      </c>
      <c r="I1559" s="6">
        <f t="shared" si="83"/>
        <v>0</v>
      </c>
      <c r="J1559" s="7" t="str">
        <f t="shared" si="82"/>
        <v>PAGADO</v>
      </c>
    </row>
    <row r="1560" spans="1:11" x14ac:dyDescent="0.25">
      <c r="A1560">
        <v>2025</v>
      </c>
      <c r="C1560" s="9" t="s">
        <v>433</v>
      </c>
      <c r="D1560" s="9" t="s">
        <v>1549</v>
      </c>
      <c r="F1560" s="6">
        <v>70</v>
      </c>
      <c r="G1560" s="6">
        <f t="shared" si="81"/>
        <v>70</v>
      </c>
      <c r="H1560" s="6">
        <v>70</v>
      </c>
      <c r="I1560" s="6">
        <f t="shared" si="83"/>
        <v>0</v>
      </c>
      <c r="J1560" s="7" t="str">
        <f t="shared" si="82"/>
        <v>PAGADO</v>
      </c>
    </row>
    <row r="1561" spans="1:11" x14ac:dyDescent="0.25">
      <c r="A1561">
        <v>2025</v>
      </c>
      <c r="C1561" s="9" t="s">
        <v>881</v>
      </c>
      <c r="D1561" s="9" t="s">
        <v>1549</v>
      </c>
      <c r="F1561" s="6">
        <v>70</v>
      </c>
      <c r="G1561" s="6">
        <f t="shared" si="81"/>
        <v>70</v>
      </c>
      <c r="H1561" s="6">
        <v>70</v>
      </c>
      <c r="I1561" s="6">
        <f t="shared" si="83"/>
        <v>0</v>
      </c>
      <c r="J1561" s="7" t="str">
        <f t="shared" si="82"/>
        <v>PAGADO</v>
      </c>
    </row>
    <row r="1562" spans="1:11" x14ac:dyDescent="0.25">
      <c r="A1562">
        <v>2025</v>
      </c>
      <c r="C1562" s="9" t="s">
        <v>1551</v>
      </c>
      <c r="D1562" s="9" t="s">
        <v>1501</v>
      </c>
      <c r="F1562" s="6">
        <v>50</v>
      </c>
      <c r="G1562" s="6">
        <f t="shared" si="81"/>
        <v>50</v>
      </c>
      <c r="H1562" s="6">
        <v>50</v>
      </c>
      <c r="I1562" s="6">
        <f t="shared" si="83"/>
        <v>0</v>
      </c>
      <c r="J1562" s="7" t="str">
        <f t="shared" si="82"/>
        <v>PAGADO</v>
      </c>
    </row>
    <row r="1563" spans="1:11" x14ac:dyDescent="0.25">
      <c r="A1563">
        <v>2025</v>
      </c>
      <c r="C1563" s="9" t="s">
        <v>1552</v>
      </c>
      <c r="D1563" s="9" t="s">
        <v>882</v>
      </c>
      <c r="F1563" s="6">
        <v>20</v>
      </c>
      <c r="G1563" s="6">
        <f t="shared" si="81"/>
        <v>20</v>
      </c>
      <c r="H1563" s="6">
        <v>20</v>
      </c>
      <c r="I1563" s="6">
        <f t="shared" si="83"/>
        <v>0</v>
      </c>
      <c r="J1563" s="7" t="str">
        <f t="shared" si="82"/>
        <v>PAGADO</v>
      </c>
    </row>
    <row r="1564" spans="1:11" x14ac:dyDescent="0.25">
      <c r="A1564">
        <v>2025</v>
      </c>
      <c r="C1564" s="9" t="s">
        <v>1553</v>
      </c>
      <c r="D1564" s="9" t="s">
        <v>1554</v>
      </c>
      <c r="F1564" s="6">
        <v>90</v>
      </c>
      <c r="G1564" s="6">
        <f t="shared" si="81"/>
        <v>90</v>
      </c>
      <c r="H1564" s="6">
        <v>90</v>
      </c>
      <c r="I1564" s="6">
        <f t="shared" si="83"/>
        <v>0</v>
      </c>
      <c r="J1564" s="7" t="str">
        <f t="shared" si="82"/>
        <v>PAGADO</v>
      </c>
    </row>
    <row r="1565" spans="1:11" x14ac:dyDescent="0.25">
      <c r="A1565">
        <v>2025</v>
      </c>
      <c r="C1565" s="9" t="s">
        <v>433</v>
      </c>
      <c r="D1565" s="9" t="s">
        <v>1554</v>
      </c>
      <c r="F1565" s="6">
        <v>70</v>
      </c>
      <c r="G1565" s="6">
        <f t="shared" si="81"/>
        <v>70</v>
      </c>
      <c r="H1565" s="6">
        <v>70</v>
      </c>
      <c r="I1565" s="6">
        <f t="shared" si="83"/>
        <v>0</v>
      </c>
      <c r="J1565" s="7" t="str">
        <f t="shared" si="82"/>
        <v>PAGADO</v>
      </c>
    </row>
    <row r="1566" spans="1:11" x14ac:dyDescent="0.25">
      <c r="A1566">
        <v>2025</v>
      </c>
      <c r="C1566" s="9" t="s">
        <v>1555</v>
      </c>
      <c r="D1566" s="9" t="s">
        <v>1363</v>
      </c>
      <c r="F1566" s="6">
        <v>15</v>
      </c>
      <c r="G1566" s="6">
        <f t="shared" si="81"/>
        <v>15</v>
      </c>
      <c r="H1566" s="6">
        <v>15</v>
      </c>
      <c r="I1566" s="6">
        <f t="shared" si="83"/>
        <v>0</v>
      </c>
      <c r="J1566" s="7" t="str">
        <f t="shared" si="82"/>
        <v>PAGADO</v>
      </c>
    </row>
    <row r="1567" spans="1:11" x14ac:dyDescent="0.25">
      <c r="A1567">
        <v>2025</v>
      </c>
      <c r="C1567" s="9" t="s">
        <v>1556</v>
      </c>
      <c r="D1567" s="9" t="s">
        <v>1327</v>
      </c>
      <c r="F1567" s="6">
        <v>166</v>
      </c>
      <c r="G1567" s="6">
        <f t="shared" ref="G1567:G1630" si="84">F1567-E1567</f>
        <v>166</v>
      </c>
      <c r="H1567" s="6">
        <v>166</v>
      </c>
      <c r="I1567" s="6">
        <f t="shared" si="83"/>
        <v>0</v>
      </c>
      <c r="J1567" s="7" t="str">
        <f t="shared" si="82"/>
        <v>PAGADO</v>
      </c>
      <c r="K1567" s="9"/>
    </row>
    <row r="1568" spans="1:11" x14ac:dyDescent="0.25">
      <c r="A1568">
        <v>2025</v>
      </c>
      <c r="C1568" s="9" t="s">
        <v>1557</v>
      </c>
      <c r="D1568" s="9" t="s">
        <v>1327</v>
      </c>
      <c r="F1568" s="6">
        <v>167</v>
      </c>
      <c r="G1568" s="6">
        <f t="shared" si="84"/>
        <v>167</v>
      </c>
      <c r="H1568" s="6">
        <v>167</v>
      </c>
      <c r="I1568" s="6">
        <f t="shared" si="83"/>
        <v>0</v>
      </c>
      <c r="J1568" s="7" t="str">
        <f t="shared" si="82"/>
        <v>PAGADO</v>
      </c>
      <c r="K1568" s="9"/>
    </row>
    <row r="1569" spans="1:11" x14ac:dyDescent="0.25">
      <c r="A1569">
        <v>2025</v>
      </c>
      <c r="C1569" s="9" t="s">
        <v>12</v>
      </c>
      <c r="D1569" s="9" t="s">
        <v>1327</v>
      </c>
      <c r="F1569" s="6">
        <v>167</v>
      </c>
      <c r="G1569" s="6">
        <f t="shared" si="84"/>
        <v>167</v>
      </c>
      <c r="H1569" s="6">
        <v>167</v>
      </c>
      <c r="I1569" s="6">
        <f t="shared" si="83"/>
        <v>0</v>
      </c>
      <c r="J1569" s="7" t="str">
        <f t="shared" si="82"/>
        <v>PAGADO</v>
      </c>
      <c r="K1569" s="9"/>
    </row>
    <row r="1570" spans="1:11" x14ac:dyDescent="0.25">
      <c r="A1570">
        <v>2025</v>
      </c>
      <c r="C1570" s="9" t="s">
        <v>1558</v>
      </c>
      <c r="D1570" s="9" t="s">
        <v>1548</v>
      </c>
      <c r="F1570" s="6">
        <v>70</v>
      </c>
      <c r="G1570" s="6">
        <f t="shared" si="84"/>
        <v>70</v>
      </c>
      <c r="H1570" s="6">
        <v>70</v>
      </c>
      <c r="I1570" s="6">
        <f t="shared" si="83"/>
        <v>0</v>
      </c>
      <c r="J1570" s="7" t="str">
        <f t="shared" si="82"/>
        <v>PAGADO</v>
      </c>
    </row>
    <row r="1571" spans="1:11" x14ac:dyDescent="0.25">
      <c r="A1571">
        <v>2025</v>
      </c>
      <c r="C1571" s="9" t="s">
        <v>1559</v>
      </c>
      <c r="D1571" s="9" t="s">
        <v>1560</v>
      </c>
      <c r="F1571" s="6">
        <v>70</v>
      </c>
      <c r="G1571" s="6">
        <f t="shared" si="84"/>
        <v>70</v>
      </c>
      <c r="H1571" s="6">
        <v>70</v>
      </c>
      <c r="I1571" s="6">
        <f t="shared" si="83"/>
        <v>0</v>
      </c>
      <c r="J1571" s="7" t="str">
        <f t="shared" si="82"/>
        <v>PAGADO</v>
      </c>
    </row>
    <row r="1572" spans="1:11" x14ac:dyDescent="0.25">
      <c r="A1572">
        <v>2025</v>
      </c>
      <c r="C1572" s="9" t="s">
        <v>1561</v>
      </c>
      <c r="D1572" s="9" t="s">
        <v>1562</v>
      </c>
      <c r="F1572" s="6">
        <v>70</v>
      </c>
      <c r="G1572" s="6">
        <f t="shared" si="84"/>
        <v>70</v>
      </c>
      <c r="H1572" s="6">
        <v>70</v>
      </c>
      <c r="I1572" s="6">
        <f t="shared" si="83"/>
        <v>0</v>
      </c>
      <c r="J1572" s="7" t="str">
        <f t="shared" si="82"/>
        <v>PAGADO</v>
      </c>
    </row>
    <row r="1573" spans="1:11" x14ac:dyDescent="0.25">
      <c r="A1573">
        <v>2025</v>
      </c>
      <c r="C1573" s="9" t="s">
        <v>1563</v>
      </c>
      <c r="D1573" s="9" t="s">
        <v>1562</v>
      </c>
      <c r="F1573" s="6">
        <v>90</v>
      </c>
      <c r="G1573" s="6">
        <f t="shared" si="84"/>
        <v>90</v>
      </c>
      <c r="H1573" s="6">
        <v>90</v>
      </c>
      <c r="I1573" s="6">
        <f t="shared" si="83"/>
        <v>0</v>
      </c>
      <c r="J1573" s="7" t="str">
        <f t="shared" si="82"/>
        <v>PAGADO</v>
      </c>
    </row>
    <row r="1574" spans="1:11" x14ac:dyDescent="0.25">
      <c r="A1574">
        <v>2025</v>
      </c>
      <c r="C1574" s="9" t="s">
        <v>1564</v>
      </c>
      <c r="D1574" s="9" t="s">
        <v>1562</v>
      </c>
      <c r="F1574" s="6">
        <v>100</v>
      </c>
      <c r="G1574" s="6">
        <f t="shared" si="84"/>
        <v>100</v>
      </c>
      <c r="H1574" s="6">
        <v>100</v>
      </c>
      <c r="I1574" s="6">
        <f t="shared" si="83"/>
        <v>0</v>
      </c>
      <c r="J1574" s="7" t="str">
        <f t="shared" si="82"/>
        <v>PAGADO</v>
      </c>
    </row>
    <row r="1575" spans="1:11" x14ac:dyDescent="0.25">
      <c r="A1575">
        <v>2025</v>
      </c>
      <c r="C1575" s="9" t="s">
        <v>1565</v>
      </c>
      <c r="D1575" s="9" t="s">
        <v>1327</v>
      </c>
      <c r="F1575" s="6">
        <v>350</v>
      </c>
      <c r="G1575" s="6">
        <f t="shared" si="84"/>
        <v>350</v>
      </c>
      <c r="H1575" s="6">
        <v>350</v>
      </c>
      <c r="I1575" s="6">
        <f t="shared" si="83"/>
        <v>0</v>
      </c>
      <c r="J1575" s="7" t="str">
        <f t="shared" si="82"/>
        <v>PAGADO</v>
      </c>
    </row>
    <row r="1576" spans="1:11" x14ac:dyDescent="0.25">
      <c r="A1576">
        <v>2025</v>
      </c>
      <c r="C1576" s="9" t="s">
        <v>1566</v>
      </c>
      <c r="D1576" s="9" t="s">
        <v>882</v>
      </c>
      <c r="F1576" s="6">
        <v>30</v>
      </c>
      <c r="G1576" s="6">
        <f t="shared" si="84"/>
        <v>30</v>
      </c>
      <c r="H1576" s="6">
        <v>30</v>
      </c>
      <c r="I1576" s="6">
        <f t="shared" si="83"/>
        <v>0</v>
      </c>
      <c r="J1576" s="7" t="str">
        <f t="shared" si="82"/>
        <v>PAGADO</v>
      </c>
    </row>
    <row r="1577" spans="1:11" x14ac:dyDescent="0.25">
      <c r="A1577">
        <v>2025</v>
      </c>
      <c r="C1577" s="9" t="s">
        <v>851</v>
      </c>
      <c r="D1577" s="9" t="s">
        <v>1501</v>
      </c>
      <c r="F1577" s="6">
        <v>110</v>
      </c>
      <c r="G1577" s="6">
        <f t="shared" si="84"/>
        <v>110</v>
      </c>
      <c r="H1577" s="6">
        <f>60+50</f>
        <v>110</v>
      </c>
      <c r="I1577" s="6">
        <f t="shared" si="83"/>
        <v>0</v>
      </c>
      <c r="J1577" s="7" t="str">
        <f t="shared" si="82"/>
        <v>PAGADO</v>
      </c>
      <c r="K1577" s="9"/>
    </row>
    <row r="1578" spans="1:11" x14ac:dyDescent="0.25">
      <c r="A1578">
        <v>2025</v>
      </c>
      <c r="C1578" s="9" t="s">
        <v>1567</v>
      </c>
      <c r="D1578" s="9" t="s">
        <v>1549</v>
      </c>
      <c r="F1578" s="6">
        <v>65</v>
      </c>
      <c r="G1578" s="6">
        <f t="shared" si="84"/>
        <v>65</v>
      </c>
      <c r="H1578" s="6">
        <v>65</v>
      </c>
      <c r="I1578" s="6">
        <f t="shared" si="83"/>
        <v>0</v>
      </c>
      <c r="J1578" s="7" t="str">
        <f t="shared" si="82"/>
        <v>PAGADO</v>
      </c>
    </row>
    <row r="1579" spans="1:11" x14ac:dyDescent="0.25">
      <c r="A1579">
        <v>2025</v>
      </c>
      <c r="C1579" s="9" t="s">
        <v>1568</v>
      </c>
      <c r="D1579" s="9" t="s">
        <v>1549</v>
      </c>
      <c r="F1579" s="6">
        <v>75</v>
      </c>
      <c r="G1579" s="6">
        <f t="shared" si="84"/>
        <v>75</v>
      </c>
      <c r="H1579" s="6">
        <v>75</v>
      </c>
      <c r="I1579" s="6">
        <f t="shared" si="83"/>
        <v>0</v>
      </c>
      <c r="J1579" s="7" t="str">
        <f t="shared" si="82"/>
        <v>PAGADO</v>
      </c>
    </row>
    <row r="1580" spans="1:11" x14ac:dyDescent="0.25">
      <c r="A1580">
        <v>2025</v>
      </c>
      <c r="C1580" s="9" t="s">
        <v>1569</v>
      </c>
      <c r="D1580" s="9" t="s">
        <v>1504</v>
      </c>
      <c r="F1580" s="6">
        <v>30</v>
      </c>
      <c r="G1580" s="6">
        <f t="shared" si="84"/>
        <v>30</v>
      </c>
      <c r="H1580" s="6">
        <v>30</v>
      </c>
      <c r="I1580" s="6">
        <f t="shared" si="83"/>
        <v>0</v>
      </c>
      <c r="J1580" s="7" t="str">
        <f t="shared" si="82"/>
        <v>PAGADO</v>
      </c>
      <c r="K1580" t="s">
        <v>693</v>
      </c>
    </row>
    <row r="1581" spans="1:11" x14ac:dyDescent="0.25">
      <c r="A1581">
        <v>2025</v>
      </c>
      <c r="C1581" s="9" t="s">
        <v>1570</v>
      </c>
      <c r="D1581" s="9" t="s">
        <v>1504</v>
      </c>
      <c r="F1581" s="6">
        <v>70</v>
      </c>
      <c r="G1581" s="6">
        <f t="shared" si="84"/>
        <v>70</v>
      </c>
      <c r="H1581" s="6">
        <v>70</v>
      </c>
      <c r="I1581" s="6">
        <f t="shared" si="83"/>
        <v>0</v>
      </c>
      <c r="J1581" s="7" t="str">
        <f t="shared" si="82"/>
        <v>PAGADO</v>
      </c>
      <c r="K1581" t="s">
        <v>693</v>
      </c>
    </row>
    <row r="1582" spans="1:11" x14ac:dyDescent="0.25">
      <c r="A1582">
        <v>2025</v>
      </c>
      <c r="C1582" s="9" t="s">
        <v>1571</v>
      </c>
      <c r="D1582" s="9" t="s">
        <v>1504</v>
      </c>
      <c r="F1582" s="6">
        <v>70</v>
      </c>
      <c r="G1582" s="6">
        <f t="shared" si="84"/>
        <v>70</v>
      </c>
      <c r="H1582" s="6">
        <v>70</v>
      </c>
      <c r="I1582" s="6">
        <f t="shared" si="83"/>
        <v>0</v>
      </c>
      <c r="J1582" s="7" t="str">
        <f t="shared" si="82"/>
        <v>PAGADO</v>
      </c>
      <c r="K1582" t="s">
        <v>693</v>
      </c>
    </row>
    <row r="1583" spans="1:11" x14ac:dyDescent="0.25">
      <c r="A1583">
        <v>2025</v>
      </c>
      <c r="C1583" s="9" t="s">
        <v>1572</v>
      </c>
      <c r="D1583" s="9" t="s">
        <v>1504</v>
      </c>
      <c r="F1583" s="6">
        <v>80</v>
      </c>
      <c r="G1583" s="6">
        <f t="shared" si="84"/>
        <v>80</v>
      </c>
      <c r="H1583" s="6">
        <v>80</v>
      </c>
      <c r="I1583" s="6">
        <f t="shared" si="83"/>
        <v>0</v>
      </c>
      <c r="J1583" s="7" t="str">
        <f t="shared" si="82"/>
        <v>PAGADO</v>
      </c>
      <c r="K1583" t="s">
        <v>693</v>
      </c>
    </row>
    <row r="1584" spans="1:11" x14ac:dyDescent="0.25">
      <c r="A1584">
        <v>2025</v>
      </c>
      <c r="C1584" s="9" t="s">
        <v>1573</v>
      </c>
      <c r="D1584" s="9" t="s">
        <v>1504</v>
      </c>
      <c r="F1584" s="6">
        <v>70</v>
      </c>
      <c r="G1584" s="6">
        <f t="shared" si="84"/>
        <v>70</v>
      </c>
      <c r="H1584" s="6">
        <v>70</v>
      </c>
      <c r="I1584" s="49">
        <f t="shared" si="83"/>
        <v>0</v>
      </c>
      <c r="J1584" s="7" t="str">
        <f t="shared" si="82"/>
        <v>PAGADO</v>
      </c>
      <c r="K1584" t="s">
        <v>693</v>
      </c>
    </row>
    <row r="1585" spans="1:11" x14ac:dyDescent="0.25">
      <c r="A1585">
        <v>2025</v>
      </c>
      <c r="C1585" s="9" t="s">
        <v>1574</v>
      </c>
      <c r="D1585" s="9" t="s">
        <v>1504</v>
      </c>
      <c r="F1585" s="6">
        <v>150</v>
      </c>
      <c r="G1585" s="6">
        <f t="shared" si="84"/>
        <v>150</v>
      </c>
      <c r="H1585" s="6">
        <f>100+50</f>
        <v>150</v>
      </c>
      <c r="I1585" s="49">
        <f t="shared" si="83"/>
        <v>0</v>
      </c>
      <c r="J1585" s="7" t="str">
        <f t="shared" si="82"/>
        <v>PAGADO</v>
      </c>
      <c r="K1585" t="s">
        <v>693</v>
      </c>
    </row>
    <row r="1586" spans="1:11" x14ac:dyDescent="0.25">
      <c r="A1586">
        <v>2025</v>
      </c>
      <c r="C1586" s="9" t="s">
        <v>1575</v>
      </c>
      <c r="D1586" s="9" t="s">
        <v>1504</v>
      </c>
      <c r="F1586" s="6">
        <v>180</v>
      </c>
      <c r="G1586" s="6">
        <f t="shared" si="84"/>
        <v>180</v>
      </c>
      <c r="H1586" s="6">
        <f>50+100+30</f>
        <v>180</v>
      </c>
      <c r="I1586" s="50">
        <f t="shared" si="83"/>
        <v>0</v>
      </c>
      <c r="J1586" s="7" t="str">
        <f t="shared" si="82"/>
        <v>PAGADO</v>
      </c>
      <c r="K1586" t="s">
        <v>693</v>
      </c>
    </row>
    <row r="1587" spans="1:11" x14ac:dyDescent="0.25">
      <c r="A1587">
        <v>2025</v>
      </c>
      <c r="C1587" s="9" t="s">
        <v>1576</v>
      </c>
      <c r="D1587" s="9" t="s">
        <v>1504</v>
      </c>
      <c r="F1587" s="6">
        <v>220</v>
      </c>
      <c r="G1587" s="6">
        <f t="shared" si="84"/>
        <v>220</v>
      </c>
      <c r="H1587" s="6">
        <f>150+70</f>
        <v>220</v>
      </c>
      <c r="I1587" s="24">
        <f t="shared" si="83"/>
        <v>0</v>
      </c>
      <c r="J1587" s="7" t="str">
        <f t="shared" si="82"/>
        <v>PAGADO</v>
      </c>
      <c r="K1587" t="s">
        <v>693</v>
      </c>
    </row>
    <row r="1588" spans="1:11" x14ac:dyDescent="0.25">
      <c r="A1588">
        <v>2025</v>
      </c>
      <c r="C1588" s="9" t="s">
        <v>1577</v>
      </c>
      <c r="D1588" s="9" t="s">
        <v>1504</v>
      </c>
      <c r="F1588" s="6">
        <v>210</v>
      </c>
      <c r="G1588" s="6">
        <f t="shared" si="84"/>
        <v>210</v>
      </c>
      <c r="H1588" s="6">
        <f>150+60</f>
        <v>210</v>
      </c>
      <c r="I1588" s="24">
        <f t="shared" si="83"/>
        <v>0</v>
      </c>
      <c r="J1588" s="7" t="str">
        <f t="shared" si="82"/>
        <v>PAGADO</v>
      </c>
      <c r="K1588" t="s">
        <v>693</v>
      </c>
    </row>
    <row r="1589" spans="1:11" x14ac:dyDescent="0.25">
      <c r="A1589">
        <v>2025</v>
      </c>
      <c r="C1589" s="9" t="s">
        <v>1578</v>
      </c>
      <c r="D1589" s="9" t="s">
        <v>18</v>
      </c>
      <c r="F1589" s="6">
        <v>40</v>
      </c>
      <c r="G1589" s="6">
        <f t="shared" si="84"/>
        <v>40</v>
      </c>
      <c r="H1589" s="6">
        <v>40</v>
      </c>
      <c r="I1589" s="6">
        <f t="shared" si="83"/>
        <v>0</v>
      </c>
      <c r="J1589" s="7" t="str">
        <f t="shared" si="82"/>
        <v>PAGADO</v>
      </c>
    </row>
    <row r="1590" spans="1:11" x14ac:dyDescent="0.25">
      <c r="A1590">
        <v>2025</v>
      </c>
      <c r="C1590" s="9" t="s">
        <v>1579</v>
      </c>
      <c r="D1590" s="9" t="s">
        <v>1476</v>
      </c>
      <c r="F1590" s="6">
        <v>60</v>
      </c>
      <c r="G1590" s="6">
        <f t="shared" si="84"/>
        <v>60</v>
      </c>
      <c r="H1590" s="6">
        <v>60</v>
      </c>
      <c r="I1590" s="6">
        <f t="shared" si="83"/>
        <v>0</v>
      </c>
      <c r="J1590" s="7" t="str">
        <f t="shared" si="82"/>
        <v>PAGADO</v>
      </c>
    </row>
    <row r="1591" spans="1:11" x14ac:dyDescent="0.25">
      <c r="A1591">
        <v>2025</v>
      </c>
      <c r="C1591" s="9" t="s">
        <v>1580</v>
      </c>
      <c r="D1591" s="9" t="s">
        <v>1360</v>
      </c>
      <c r="F1591" s="6">
        <v>75</v>
      </c>
      <c r="G1591" s="6">
        <f t="shared" si="84"/>
        <v>75</v>
      </c>
      <c r="H1591" s="6">
        <v>75</v>
      </c>
      <c r="I1591" s="6">
        <f t="shared" si="83"/>
        <v>0</v>
      </c>
      <c r="J1591" s="7" t="str">
        <f t="shared" si="82"/>
        <v>PAGADO</v>
      </c>
    </row>
    <row r="1592" spans="1:11" x14ac:dyDescent="0.25">
      <c r="A1592">
        <v>2025</v>
      </c>
      <c r="C1592" s="9" t="s">
        <v>1581</v>
      </c>
      <c r="D1592" s="9" t="s">
        <v>488</v>
      </c>
      <c r="F1592" s="6">
        <v>20</v>
      </c>
      <c r="G1592" s="6">
        <f t="shared" si="84"/>
        <v>20</v>
      </c>
      <c r="H1592" s="6">
        <v>20</v>
      </c>
      <c r="I1592" s="6">
        <f t="shared" si="83"/>
        <v>0</v>
      </c>
      <c r="J1592" s="7" t="str">
        <f t="shared" si="82"/>
        <v>PAGADO</v>
      </c>
    </row>
    <row r="1593" spans="1:11" x14ac:dyDescent="0.25">
      <c r="A1593">
        <v>2025</v>
      </c>
      <c r="C1593" s="9" t="s">
        <v>1582</v>
      </c>
      <c r="D1593" s="9" t="s">
        <v>488</v>
      </c>
      <c r="F1593" s="6">
        <v>160</v>
      </c>
      <c r="G1593" s="6">
        <f t="shared" si="84"/>
        <v>160</v>
      </c>
      <c r="H1593" s="6">
        <v>160</v>
      </c>
      <c r="I1593" s="6">
        <f t="shared" si="83"/>
        <v>0</v>
      </c>
      <c r="J1593" s="7" t="str">
        <f t="shared" si="82"/>
        <v>PAGADO</v>
      </c>
    </row>
    <row r="1594" spans="1:11" x14ac:dyDescent="0.25">
      <c r="A1594">
        <v>2025</v>
      </c>
      <c r="C1594" s="9" t="s">
        <v>1583</v>
      </c>
      <c r="D1594" s="9" t="s">
        <v>1584</v>
      </c>
      <c r="F1594" s="6">
        <v>65</v>
      </c>
      <c r="G1594" s="6">
        <f t="shared" si="84"/>
        <v>65</v>
      </c>
      <c r="H1594" s="6">
        <v>65</v>
      </c>
      <c r="I1594" s="6">
        <f t="shared" si="83"/>
        <v>0</v>
      </c>
      <c r="J1594" s="7" t="str">
        <f t="shared" si="82"/>
        <v>PAGADO</v>
      </c>
    </row>
    <row r="1595" spans="1:11" x14ac:dyDescent="0.25">
      <c r="A1595">
        <v>2025</v>
      </c>
      <c r="C1595" s="9" t="s">
        <v>1585</v>
      </c>
      <c r="D1595" s="9" t="s">
        <v>807</v>
      </c>
      <c r="F1595" s="6">
        <v>70</v>
      </c>
      <c r="G1595" s="6">
        <f t="shared" si="84"/>
        <v>70</v>
      </c>
      <c r="H1595" s="6">
        <v>70</v>
      </c>
      <c r="I1595" s="6">
        <f t="shared" si="83"/>
        <v>0</v>
      </c>
      <c r="J1595" s="7" t="str">
        <f t="shared" si="82"/>
        <v>PAGADO</v>
      </c>
    </row>
    <row r="1596" spans="1:11" x14ac:dyDescent="0.25">
      <c r="A1596">
        <v>2025</v>
      </c>
      <c r="C1596" t="s">
        <v>547</v>
      </c>
      <c r="D1596" s="9" t="s">
        <v>1584</v>
      </c>
      <c r="F1596" s="6">
        <v>75</v>
      </c>
      <c r="G1596" s="6">
        <f t="shared" si="84"/>
        <v>75</v>
      </c>
      <c r="H1596" s="6">
        <v>75</v>
      </c>
      <c r="I1596" s="6">
        <f t="shared" si="83"/>
        <v>0</v>
      </c>
      <c r="J1596" s="7" t="str">
        <f t="shared" si="82"/>
        <v>PAGADO</v>
      </c>
    </row>
    <row r="1597" spans="1:11" x14ac:dyDescent="0.25">
      <c r="A1597">
        <v>2025</v>
      </c>
      <c r="C1597" s="9" t="s">
        <v>1586</v>
      </c>
      <c r="D1597" s="9" t="s">
        <v>1363</v>
      </c>
      <c r="F1597" s="6">
        <v>50</v>
      </c>
      <c r="G1597" s="6">
        <f t="shared" si="84"/>
        <v>50</v>
      </c>
      <c r="H1597" s="6">
        <v>50</v>
      </c>
      <c r="I1597" s="6">
        <f t="shared" si="83"/>
        <v>0</v>
      </c>
      <c r="J1597" s="7" t="str">
        <f t="shared" si="82"/>
        <v>PAGADO</v>
      </c>
    </row>
    <row r="1598" spans="1:11" x14ac:dyDescent="0.25">
      <c r="A1598">
        <v>2025</v>
      </c>
      <c r="C1598" s="9" t="s">
        <v>1587</v>
      </c>
      <c r="D1598" s="9" t="s">
        <v>1363</v>
      </c>
      <c r="F1598" s="6">
        <v>30</v>
      </c>
      <c r="G1598" s="6">
        <f t="shared" si="84"/>
        <v>30</v>
      </c>
      <c r="H1598" s="6">
        <v>30</v>
      </c>
      <c r="I1598" s="6">
        <f t="shared" si="83"/>
        <v>0</v>
      </c>
      <c r="J1598" s="7" t="str">
        <f t="shared" si="82"/>
        <v>PAGADO</v>
      </c>
    </row>
    <row r="1599" spans="1:11" x14ac:dyDescent="0.25">
      <c r="A1599">
        <v>2025</v>
      </c>
      <c r="C1599" t="s">
        <v>1588</v>
      </c>
      <c r="D1599" t="s">
        <v>1589</v>
      </c>
      <c r="F1599" s="6">
        <v>80</v>
      </c>
      <c r="G1599" s="6">
        <f t="shared" si="84"/>
        <v>80</v>
      </c>
      <c r="H1599" s="6">
        <v>80</v>
      </c>
      <c r="I1599" s="6">
        <f t="shared" si="83"/>
        <v>0</v>
      </c>
      <c r="J1599" s="7" t="str">
        <f t="shared" si="82"/>
        <v>PAGADO</v>
      </c>
    </row>
    <row r="1600" spans="1:11" x14ac:dyDescent="0.25">
      <c r="A1600">
        <v>2025</v>
      </c>
      <c r="C1600" t="s">
        <v>1590</v>
      </c>
      <c r="D1600" t="s">
        <v>1523</v>
      </c>
      <c r="F1600" s="6">
        <v>300</v>
      </c>
      <c r="G1600" s="6">
        <f t="shared" si="84"/>
        <v>300</v>
      </c>
      <c r="H1600" s="6">
        <f>100+100+50+50</f>
        <v>300</v>
      </c>
      <c r="I1600" s="6">
        <f t="shared" si="83"/>
        <v>0</v>
      </c>
      <c r="J1600" s="7" t="str">
        <f t="shared" si="82"/>
        <v>PAGADO</v>
      </c>
    </row>
    <row r="1601" spans="1:11" x14ac:dyDescent="0.25">
      <c r="A1601">
        <v>2025</v>
      </c>
      <c r="C1601" t="s">
        <v>758</v>
      </c>
      <c r="D1601" t="s">
        <v>1523</v>
      </c>
      <c r="F1601" s="6">
        <v>260</v>
      </c>
      <c r="G1601" s="6">
        <f t="shared" si="84"/>
        <v>260</v>
      </c>
      <c r="H1601" s="6">
        <f>100+50+100+10</f>
        <v>260</v>
      </c>
      <c r="I1601" s="6">
        <f t="shared" si="83"/>
        <v>0</v>
      </c>
      <c r="J1601" s="7" t="str">
        <f t="shared" si="82"/>
        <v>PAGADO</v>
      </c>
    </row>
    <row r="1602" spans="1:11" x14ac:dyDescent="0.25">
      <c r="A1602">
        <v>2025</v>
      </c>
      <c r="C1602" s="9" t="s">
        <v>1591</v>
      </c>
      <c r="D1602" s="9" t="s">
        <v>1460</v>
      </c>
      <c r="F1602" s="6">
        <v>250</v>
      </c>
      <c r="G1602" s="6">
        <f t="shared" si="84"/>
        <v>250</v>
      </c>
      <c r="H1602" s="6">
        <f>125+125</f>
        <v>250</v>
      </c>
      <c r="I1602" s="6">
        <f t="shared" si="83"/>
        <v>0</v>
      </c>
      <c r="J1602" s="7" t="str">
        <f t="shared" si="82"/>
        <v>PAGADO</v>
      </c>
    </row>
    <row r="1603" spans="1:11" x14ac:dyDescent="0.25">
      <c r="A1603">
        <v>2025</v>
      </c>
      <c r="C1603" s="9" t="s">
        <v>1592</v>
      </c>
      <c r="D1603" s="9" t="s">
        <v>597</v>
      </c>
      <c r="F1603" s="6">
        <v>24</v>
      </c>
      <c r="G1603" s="6">
        <f t="shared" si="84"/>
        <v>24</v>
      </c>
      <c r="H1603" s="6">
        <v>24</v>
      </c>
      <c r="I1603" s="26">
        <f t="shared" si="83"/>
        <v>0</v>
      </c>
      <c r="J1603" s="7" t="str">
        <f t="shared" si="82"/>
        <v>PAGADO</v>
      </c>
    </row>
    <row r="1604" spans="1:11" x14ac:dyDescent="0.25">
      <c r="A1604">
        <v>2025</v>
      </c>
      <c r="C1604" s="9" t="s">
        <v>1593</v>
      </c>
      <c r="D1604" s="9" t="s">
        <v>202</v>
      </c>
      <c r="F1604" s="6">
        <v>65</v>
      </c>
      <c r="G1604" s="6">
        <f t="shared" si="84"/>
        <v>65</v>
      </c>
      <c r="H1604" s="6">
        <v>65</v>
      </c>
      <c r="I1604" s="6">
        <f t="shared" si="83"/>
        <v>0</v>
      </c>
      <c r="J1604" s="7" t="str">
        <f t="shared" si="82"/>
        <v>PAGADO</v>
      </c>
    </row>
    <row r="1605" spans="1:11" x14ac:dyDescent="0.25">
      <c r="A1605">
        <v>2025</v>
      </c>
      <c r="C1605" s="9" t="s">
        <v>1594</v>
      </c>
      <c r="D1605" s="9" t="s">
        <v>236</v>
      </c>
      <c r="F1605" s="6">
        <v>12</v>
      </c>
      <c r="G1605" s="6">
        <f t="shared" si="84"/>
        <v>12</v>
      </c>
      <c r="H1605" s="6">
        <v>12</v>
      </c>
      <c r="I1605" s="6">
        <f t="shared" si="83"/>
        <v>0</v>
      </c>
      <c r="J1605" s="7" t="str">
        <f t="shared" si="82"/>
        <v>PAGADO</v>
      </c>
    </row>
    <row r="1606" spans="1:11" x14ac:dyDescent="0.25">
      <c r="A1606">
        <v>2025</v>
      </c>
      <c r="C1606" s="9" t="s">
        <v>1595</v>
      </c>
      <c r="D1606" s="9" t="s">
        <v>236</v>
      </c>
      <c r="F1606" s="6">
        <v>15</v>
      </c>
      <c r="G1606" s="6">
        <f t="shared" si="84"/>
        <v>15</v>
      </c>
      <c r="H1606" s="6">
        <v>15</v>
      </c>
      <c r="I1606" s="6">
        <f t="shared" si="83"/>
        <v>0</v>
      </c>
      <c r="J1606" s="7" t="str">
        <f t="shared" si="82"/>
        <v>PAGADO</v>
      </c>
    </row>
    <row r="1607" spans="1:11" x14ac:dyDescent="0.25">
      <c r="A1607">
        <v>2025</v>
      </c>
      <c r="C1607" s="9" t="s">
        <v>1596</v>
      </c>
      <c r="D1607" s="9" t="s">
        <v>1247</v>
      </c>
      <c r="F1607" s="6">
        <v>180</v>
      </c>
      <c r="G1607" s="6">
        <f t="shared" si="84"/>
        <v>180</v>
      </c>
      <c r="H1607" s="6">
        <v>180</v>
      </c>
      <c r="I1607" s="6">
        <f t="shared" si="83"/>
        <v>0</v>
      </c>
      <c r="J1607" s="7" t="str">
        <f t="shared" si="82"/>
        <v>PAGADO</v>
      </c>
    </row>
    <row r="1608" spans="1:11" x14ac:dyDescent="0.25">
      <c r="A1608">
        <v>2025</v>
      </c>
      <c r="C1608" s="9" t="s">
        <v>1597</v>
      </c>
      <c r="D1608" s="9" t="s">
        <v>1370</v>
      </c>
      <c r="F1608" s="6">
        <v>160</v>
      </c>
      <c r="G1608" s="6">
        <f t="shared" si="84"/>
        <v>160</v>
      </c>
      <c r="H1608" s="6">
        <f>100+60</f>
        <v>160</v>
      </c>
      <c r="I1608" s="6">
        <f t="shared" si="83"/>
        <v>0</v>
      </c>
      <c r="J1608" s="7" t="str">
        <f t="shared" si="82"/>
        <v>PAGADO</v>
      </c>
    </row>
    <row r="1609" spans="1:11" x14ac:dyDescent="0.25">
      <c r="A1609">
        <v>2025</v>
      </c>
      <c r="C1609" s="9" t="s">
        <v>1598</v>
      </c>
      <c r="D1609" s="9" t="s">
        <v>33</v>
      </c>
      <c r="F1609" s="6">
        <v>250</v>
      </c>
      <c r="G1609" s="6">
        <f t="shared" si="84"/>
        <v>250</v>
      </c>
      <c r="H1609" s="6">
        <v>250</v>
      </c>
      <c r="I1609" s="6">
        <f t="shared" si="83"/>
        <v>0</v>
      </c>
      <c r="J1609" s="7" t="str">
        <f t="shared" si="82"/>
        <v>PAGADO</v>
      </c>
    </row>
    <row r="1610" spans="1:11" x14ac:dyDescent="0.25">
      <c r="A1610">
        <v>2025</v>
      </c>
      <c r="C1610" s="9" t="s">
        <v>1599</v>
      </c>
      <c r="D1610" s="9" t="s">
        <v>1504</v>
      </c>
      <c r="F1610" s="6">
        <v>100</v>
      </c>
      <c r="G1610" s="6">
        <f t="shared" si="84"/>
        <v>100</v>
      </c>
      <c r="H1610" s="6">
        <v>100</v>
      </c>
      <c r="I1610" s="6">
        <f t="shared" si="83"/>
        <v>0</v>
      </c>
      <c r="J1610" s="7" t="str">
        <f t="shared" si="82"/>
        <v>PAGADO</v>
      </c>
      <c r="K1610" t="s">
        <v>693</v>
      </c>
    </row>
    <row r="1611" spans="1:11" x14ac:dyDescent="0.25">
      <c r="A1611">
        <v>2025</v>
      </c>
      <c r="C1611" s="9" t="s">
        <v>1600</v>
      </c>
      <c r="D1611" s="9" t="s">
        <v>1504</v>
      </c>
      <c r="F1611" s="6">
        <v>100</v>
      </c>
      <c r="G1611" s="6">
        <f t="shared" si="84"/>
        <v>100</v>
      </c>
      <c r="H1611" s="6">
        <v>100</v>
      </c>
      <c r="I1611" s="6">
        <f t="shared" si="83"/>
        <v>0</v>
      </c>
      <c r="J1611" s="7" t="str">
        <f t="shared" si="82"/>
        <v>PAGADO</v>
      </c>
      <c r="K1611" t="s">
        <v>693</v>
      </c>
    </row>
    <row r="1612" spans="1:11" x14ac:dyDescent="0.25">
      <c r="A1612">
        <v>2025</v>
      </c>
      <c r="C1612" s="9" t="s">
        <v>1601</v>
      </c>
      <c r="D1612" s="9" t="s">
        <v>74</v>
      </c>
      <c r="F1612" s="6">
        <v>80</v>
      </c>
      <c r="G1612" s="6">
        <f t="shared" si="84"/>
        <v>80</v>
      </c>
      <c r="H1612" s="6">
        <v>80</v>
      </c>
      <c r="I1612" s="6">
        <f t="shared" si="83"/>
        <v>0</v>
      </c>
      <c r="J1612" s="7" t="str">
        <f t="shared" si="82"/>
        <v>PAGADO</v>
      </c>
    </row>
    <row r="1613" spans="1:11" x14ac:dyDescent="0.25">
      <c r="A1613">
        <v>2025</v>
      </c>
      <c r="C1613" t="s">
        <v>1602</v>
      </c>
      <c r="D1613" s="9" t="s">
        <v>74</v>
      </c>
      <c r="F1613" s="6">
        <v>120</v>
      </c>
      <c r="G1613" s="6">
        <f t="shared" si="84"/>
        <v>120</v>
      </c>
      <c r="H1613" s="6">
        <v>120</v>
      </c>
      <c r="I1613" s="6">
        <f t="shared" si="83"/>
        <v>0</v>
      </c>
      <c r="J1613" s="7" t="str">
        <f t="shared" ref="J1613:J1676" si="85">IF(I1613&gt;0,"DEBE","PAGADO")</f>
        <v>PAGADO</v>
      </c>
    </row>
    <row r="1614" spans="1:11" x14ac:dyDescent="0.25">
      <c r="A1614">
        <v>2025</v>
      </c>
      <c r="C1614" t="s">
        <v>1603</v>
      </c>
      <c r="D1614" s="9" t="s">
        <v>74</v>
      </c>
      <c r="F1614" s="6">
        <v>75</v>
      </c>
      <c r="G1614" s="6">
        <f t="shared" si="84"/>
        <v>75</v>
      </c>
      <c r="H1614" s="6">
        <v>75</v>
      </c>
      <c r="I1614" s="6">
        <f t="shared" si="83"/>
        <v>0</v>
      </c>
      <c r="J1614" s="7" t="str">
        <f t="shared" si="85"/>
        <v>PAGADO</v>
      </c>
    </row>
    <row r="1615" spans="1:11" x14ac:dyDescent="0.25">
      <c r="A1615">
        <v>2025</v>
      </c>
      <c r="C1615" s="9" t="s">
        <v>1604</v>
      </c>
      <c r="D1615" s="9" t="s">
        <v>1460</v>
      </c>
      <c r="F1615" s="6">
        <v>70</v>
      </c>
      <c r="G1615" s="6">
        <f t="shared" si="84"/>
        <v>70</v>
      </c>
      <c r="H1615" s="6">
        <v>70</v>
      </c>
      <c r="I1615" s="6">
        <f t="shared" ref="I1615:I1678" si="86">F1615-H1615</f>
        <v>0</v>
      </c>
      <c r="J1615" s="7" t="str">
        <f t="shared" si="85"/>
        <v>PAGADO</v>
      </c>
    </row>
    <row r="1616" spans="1:11" x14ac:dyDescent="0.25">
      <c r="A1616">
        <v>2025</v>
      </c>
      <c r="C1616" s="9" t="s">
        <v>1605</v>
      </c>
      <c r="D1616" s="9" t="s">
        <v>1606</v>
      </c>
      <c r="F1616" s="6">
        <v>20</v>
      </c>
      <c r="G1616" s="6">
        <f t="shared" si="84"/>
        <v>20</v>
      </c>
      <c r="H1616" s="6">
        <v>20</v>
      </c>
      <c r="I1616" s="6">
        <f t="shared" si="86"/>
        <v>0</v>
      </c>
      <c r="J1616" s="7" t="str">
        <f t="shared" si="85"/>
        <v>PAGADO</v>
      </c>
    </row>
    <row r="1617" spans="1:11" x14ac:dyDescent="0.25">
      <c r="A1617">
        <v>2025</v>
      </c>
      <c r="C1617" s="9" t="s">
        <v>1607</v>
      </c>
      <c r="D1617" s="9" t="s">
        <v>1606</v>
      </c>
      <c r="F1617" s="6">
        <v>20</v>
      </c>
      <c r="G1617" s="6">
        <f t="shared" si="84"/>
        <v>20</v>
      </c>
      <c r="H1617" s="6">
        <v>20</v>
      </c>
      <c r="I1617" s="6">
        <f t="shared" si="86"/>
        <v>0</v>
      </c>
      <c r="J1617" s="7" t="str">
        <f t="shared" si="85"/>
        <v>PAGADO</v>
      </c>
    </row>
    <row r="1618" spans="1:11" x14ac:dyDescent="0.25">
      <c r="A1618">
        <v>2025</v>
      </c>
      <c r="C1618" s="9" t="s">
        <v>1608</v>
      </c>
      <c r="D1618" s="9" t="s">
        <v>1562</v>
      </c>
      <c r="F1618" s="6">
        <v>175</v>
      </c>
      <c r="G1618" s="6">
        <f t="shared" si="84"/>
        <v>175</v>
      </c>
      <c r="H1618" s="6">
        <v>175</v>
      </c>
      <c r="I1618" s="6">
        <f t="shared" si="86"/>
        <v>0</v>
      </c>
      <c r="J1618" s="7" t="str">
        <f t="shared" si="85"/>
        <v>PAGADO</v>
      </c>
    </row>
    <row r="1619" spans="1:11" x14ac:dyDescent="0.25">
      <c r="A1619">
        <v>2025</v>
      </c>
      <c r="C1619" s="9" t="s">
        <v>1609</v>
      </c>
      <c r="D1619" s="9" t="s">
        <v>1562</v>
      </c>
      <c r="F1619" s="6">
        <v>175</v>
      </c>
      <c r="G1619" s="6">
        <f t="shared" si="84"/>
        <v>175</v>
      </c>
      <c r="H1619" s="6">
        <v>175</v>
      </c>
      <c r="I1619" s="6">
        <f t="shared" si="86"/>
        <v>0</v>
      </c>
      <c r="J1619" s="7" t="str">
        <f t="shared" si="85"/>
        <v>PAGADO</v>
      </c>
    </row>
    <row r="1620" spans="1:11" x14ac:dyDescent="0.25">
      <c r="A1620">
        <v>2025</v>
      </c>
      <c r="C1620" t="s">
        <v>1610</v>
      </c>
      <c r="D1620" s="9" t="s">
        <v>1425</v>
      </c>
      <c r="F1620" s="6">
        <v>90</v>
      </c>
      <c r="G1620" s="6">
        <f t="shared" si="84"/>
        <v>90</v>
      </c>
      <c r="H1620" s="6">
        <f>45+45</f>
        <v>90</v>
      </c>
      <c r="I1620" s="26">
        <f t="shared" si="86"/>
        <v>0</v>
      </c>
      <c r="J1620" s="7" t="str">
        <f t="shared" si="85"/>
        <v>PAGADO</v>
      </c>
    </row>
    <row r="1621" spans="1:11" x14ac:dyDescent="0.25">
      <c r="A1621">
        <v>2025</v>
      </c>
      <c r="C1621" t="s">
        <v>1611</v>
      </c>
      <c r="D1621" s="9" t="s">
        <v>1425</v>
      </c>
      <c r="F1621" s="6">
        <v>190</v>
      </c>
      <c r="G1621" s="6">
        <f t="shared" si="84"/>
        <v>190</v>
      </c>
      <c r="H1621" s="6">
        <v>190</v>
      </c>
      <c r="I1621" s="26">
        <f t="shared" si="86"/>
        <v>0</v>
      </c>
      <c r="J1621" s="7" t="str">
        <f t="shared" si="85"/>
        <v>PAGADO</v>
      </c>
    </row>
    <row r="1622" spans="1:11" x14ac:dyDescent="0.25">
      <c r="A1622">
        <v>2025</v>
      </c>
      <c r="C1622" t="s">
        <v>419</v>
      </c>
      <c r="D1622" s="9" t="s">
        <v>1476</v>
      </c>
      <c r="F1622" s="6">
        <v>150</v>
      </c>
      <c r="G1622" s="6">
        <f t="shared" si="84"/>
        <v>150</v>
      </c>
      <c r="H1622" s="6">
        <v>150</v>
      </c>
      <c r="I1622" s="6">
        <f t="shared" si="86"/>
        <v>0</v>
      </c>
      <c r="J1622" s="7" t="str">
        <f t="shared" si="85"/>
        <v>PAGADO</v>
      </c>
    </row>
    <row r="1623" spans="1:11" x14ac:dyDescent="0.25">
      <c r="A1623">
        <v>2025</v>
      </c>
      <c r="C1623" s="9" t="s">
        <v>1612</v>
      </c>
      <c r="D1623" s="9" t="s">
        <v>597</v>
      </c>
      <c r="F1623" s="6">
        <v>20</v>
      </c>
      <c r="G1623" s="6">
        <f t="shared" si="84"/>
        <v>20</v>
      </c>
      <c r="H1623" s="6">
        <v>20</v>
      </c>
      <c r="I1623" s="26">
        <f t="shared" si="86"/>
        <v>0</v>
      </c>
      <c r="J1623" s="7" t="str">
        <f t="shared" si="85"/>
        <v>PAGADO</v>
      </c>
    </row>
    <row r="1624" spans="1:11" x14ac:dyDescent="0.25">
      <c r="A1624">
        <v>2025</v>
      </c>
      <c r="C1624" s="9" t="s">
        <v>1613</v>
      </c>
      <c r="D1624" s="9" t="s">
        <v>1309</v>
      </c>
      <c r="F1624" s="6">
        <v>70</v>
      </c>
      <c r="G1624" s="6">
        <f t="shared" si="84"/>
        <v>70</v>
      </c>
      <c r="H1624" s="6">
        <v>70</v>
      </c>
      <c r="I1624" s="6">
        <f t="shared" si="86"/>
        <v>0</v>
      </c>
      <c r="J1624" s="7" t="str">
        <f t="shared" si="85"/>
        <v>PAGADO</v>
      </c>
    </row>
    <row r="1625" spans="1:11" x14ac:dyDescent="0.25">
      <c r="A1625">
        <v>2025</v>
      </c>
      <c r="C1625" s="9" t="s">
        <v>1614</v>
      </c>
      <c r="D1625" s="9" t="s">
        <v>1425</v>
      </c>
      <c r="F1625" s="6">
        <v>200</v>
      </c>
      <c r="G1625" s="6">
        <f t="shared" si="84"/>
        <v>200</v>
      </c>
      <c r="H1625" s="6">
        <v>200</v>
      </c>
      <c r="I1625" s="26">
        <f t="shared" si="86"/>
        <v>0</v>
      </c>
      <c r="J1625" s="7" t="str">
        <f t="shared" si="85"/>
        <v>PAGADO</v>
      </c>
    </row>
    <row r="1626" spans="1:11" x14ac:dyDescent="0.25">
      <c r="A1626">
        <v>2025</v>
      </c>
      <c r="C1626" s="9" t="s">
        <v>1615</v>
      </c>
      <c r="D1626" s="9" t="s">
        <v>1504</v>
      </c>
      <c r="F1626" s="6">
        <v>190</v>
      </c>
      <c r="G1626" s="6">
        <f t="shared" si="84"/>
        <v>190</v>
      </c>
      <c r="H1626" s="6">
        <f>50+140</f>
        <v>190</v>
      </c>
      <c r="I1626" s="24">
        <f t="shared" si="86"/>
        <v>0</v>
      </c>
      <c r="J1626" s="7" t="str">
        <f t="shared" si="85"/>
        <v>PAGADO</v>
      </c>
      <c r="K1626" t="s">
        <v>693</v>
      </c>
    </row>
    <row r="1627" spans="1:11" x14ac:dyDescent="0.25">
      <c r="A1627">
        <v>2025</v>
      </c>
      <c r="C1627" s="9" t="s">
        <v>1615</v>
      </c>
      <c r="D1627" s="9" t="s">
        <v>1504</v>
      </c>
      <c r="F1627" s="6">
        <v>180</v>
      </c>
      <c r="G1627" s="6">
        <f t="shared" si="84"/>
        <v>180</v>
      </c>
      <c r="H1627" s="6">
        <f>50+30+100</f>
        <v>180</v>
      </c>
      <c r="I1627" s="24">
        <f t="shared" si="86"/>
        <v>0</v>
      </c>
      <c r="J1627" s="7" t="str">
        <f t="shared" si="85"/>
        <v>PAGADO</v>
      </c>
      <c r="K1627" t="s">
        <v>693</v>
      </c>
    </row>
    <row r="1628" spans="1:11" x14ac:dyDescent="0.25">
      <c r="A1628">
        <v>2025</v>
      </c>
      <c r="C1628" s="9" t="s">
        <v>1616</v>
      </c>
      <c r="D1628" s="9" t="s">
        <v>1504</v>
      </c>
      <c r="F1628" s="6">
        <v>25</v>
      </c>
      <c r="G1628" s="6">
        <f t="shared" si="84"/>
        <v>25</v>
      </c>
      <c r="H1628" s="6">
        <v>25</v>
      </c>
      <c r="I1628" s="6">
        <f t="shared" si="86"/>
        <v>0</v>
      </c>
      <c r="J1628" s="7" t="str">
        <f t="shared" si="85"/>
        <v>PAGADO</v>
      </c>
      <c r="K1628" t="s">
        <v>693</v>
      </c>
    </row>
    <row r="1629" spans="1:11" x14ac:dyDescent="0.25">
      <c r="A1629">
        <v>2025</v>
      </c>
      <c r="C1629" s="9" t="s">
        <v>1617</v>
      </c>
      <c r="D1629" s="9" t="s">
        <v>1504</v>
      </c>
      <c r="F1629" s="6">
        <v>75</v>
      </c>
      <c r="G1629" s="6">
        <f t="shared" si="84"/>
        <v>75</v>
      </c>
      <c r="H1629" s="6">
        <v>75</v>
      </c>
      <c r="I1629" s="6">
        <f t="shared" si="86"/>
        <v>0</v>
      </c>
      <c r="J1629" s="7" t="str">
        <f t="shared" si="85"/>
        <v>PAGADO</v>
      </c>
      <c r="K1629" t="s">
        <v>693</v>
      </c>
    </row>
    <row r="1630" spans="1:11" x14ac:dyDescent="0.25">
      <c r="A1630">
        <v>2025</v>
      </c>
      <c r="C1630" s="9" t="s">
        <v>1618</v>
      </c>
      <c r="D1630" s="9" t="s">
        <v>18</v>
      </c>
      <c r="F1630" s="6">
        <v>90</v>
      </c>
      <c r="G1630" s="6">
        <f t="shared" si="84"/>
        <v>90</v>
      </c>
      <c r="H1630" s="6">
        <v>90</v>
      </c>
      <c r="I1630" s="6">
        <f t="shared" si="86"/>
        <v>0</v>
      </c>
      <c r="J1630" s="7" t="str">
        <f t="shared" si="85"/>
        <v>PAGADO</v>
      </c>
    </row>
    <row r="1631" spans="1:11" x14ac:dyDescent="0.25">
      <c r="A1631">
        <v>2025</v>
      </c>
      <c r="C1631" s="9" t="s">
        <v>1522</v>
      </c>
      <c r="D1631" s="9" t="s">
        <v>1523</v>
      </c>
      <c r="F1631" s="6">
        <v>50</v>
      </c>
      <c r="G1631" s="6">
        <f t="shared" ref="G1631:G1694" si="87">F1631-E1631</f>
        <v>50</v>
      </c>
      <c r="H1631" s="6">
        <v>50</v>
      </c>
      <c r="I1631" s="6">
        <f t="shared" si="86"/>
        <v>0</v>
      </c>
      <c r="J1631" s="7" t="str">
        <f t="shared" si="85"/>
        <v>PAGADO</v>
      </c>
    </row>
    <row r="1632" spans="1:11" x14ac:dyDescent="0.25">
      <c r="A1632">
        <v>2025</v>
      </c>
      <c r="C1632" s="9" t="s">
        <v>1619</v>
      </c>
      <c r="D1632" s="9" t="s">
        <v>67</v>
      </c>
      <c r="F1632" s="6">
        <v>55</v>
      </c>
      <c r="G1632" s="6">
        <f t="shared" si="87"/>
        <v>55</v>
      </c>
      <c r="H1632" s="6">
        <v>55</v>
      </c>
      <c r="I1632" s="26">
        <f t="shared" si="86"/>
        <v>0</v>
      </c>
      <c r="J1632" s="7" t="str">
        <f t="shared" si="85"/>
        <v>PAGADO</v>
      </c>
    </row>
    <row r="1633" spans="1:10" x14ac:dyDescent="0.25">
      <c r="A1633">
        <v>2025</v>
      </c>
      <c r="C1633" s="9" t="s">
        <v>1620</v>
      </c>
      <c r="D1633" t="s">
        <v>31</v>
      </c>
      <c r="F1633" s="6">
        <v>65</v>
      </c>
      <c r="G1633" s="6">
        <f t="shared" si="87"/>
        <v>65</v>
      </c>
      <c r="H1633" s="6">
        <f>25+40</f>
        <v>65</v>
      </c>
      <c r="I1633" s="6">
        <f t="shared" si="86"/>
        <v>0</v>
      </c>
      <c r="J1633" s="7" t="str">
        <f t="shared" si="85"/>
        <v>PAGADO</v>
      </c>
    </row>
    <row r="1634" spans="1:10" x14ac:dyDescent="0.25">
      <c r="A1634">
        <v>2025</v>
      </c>
      <c r="C1634" s="9" t="s">
        <v>1621</v>
      </c>
      <c r="D1634" t="s">
        <v>488</v>
      </c>
      <c r="F1634" s="6">
        <v>65</v>
      </c>
      <c r="G1634" s="6">
        <f t="shared" si="87"/>
        <v>65</v>
      </c>
      <c r="H1634" s="6">
        <v>65</v>
      </c>
      <c r="I1634" s="6">
        <f t="shared" si="86"/>
        <v>0</v>
      </c>
      <c r="J1634" s="7" t="str">
        <f t="shared" si="85"/>
        <v>PAGADO</v>
      </c>
    </row>
    <row r="1635" spans="1:10" x14ac:dyDescent="0.25">
      <c r="A1635">
        <v>2025</v>
      </c>
      <c r="C1635" t="s">
        <v>1622</v>
      </c>
      <c r="D1635" t="s">
        <v>1510</v>
      </c>
      <c r="F1635" s="6">
        <v>100</v>
      </c>
      <c r="G1635" s="6">
        <f t="shared" si="87"/>
        <v>100</v>
      </c>
      <c r="H1635" s="6">
        <f>50+50</f>
        <v>100</v>
      </c>
      <c r="I1635" s="6">
        <f t="shared" si="86"/>
        <v>0</v>
      </c>
      <c r="J1635" s="7" t="str">
        <f t="shared" si="85"/>
        <v>PAGADO</v>
      </c>
    </row>
    <row r="1636" spans="1:10" x14ac:dyDescent="0.25">
      <c r="A1636">
        <v>2025</v>
      </c>
      <c r="C1636" t="s">
        <v>1623</v>
      </c>
      <c r="D1636" t="s">
        <v>377</v>
      </c>
      <c r="F1636" s="6">
        <v>40</v>
      </c>
      <c r="G1636" s="6">
        <f t="shared" si="87"/>
        <v>40</v>
      </c>
      <c r="H1636" s="6">
        <v>40</v>
      </c>
      <c r="I1636" s="6">
        <f t="shared" si="86"/>
        <v>0</v>
      </c>
      <c r="J1636" s="7" t="str">
        <f t="shared" si="85"/>
        <v>PAGADO</v>
      </c>
    </row>
    <row r="1637" spans="1:10" x14ac:dyDescent="0.25">
      <c r="A1637">
        <v>2025</v>
      </c>
      <c r="C1637" t="s">
        <v>1624</v>
      </c>
      <c r="D1637" t="s">
        <v>74</v>
      </c>
      <c r="F1637" s="6">
        <v>90</v>
      </c>
      <c r="G1637" s="6">
        <f t="shared" si="87"/>
        <v>90</v>
      </c>
      <c r="H1637" s="6">
        <v>90</v>
      </c>
      <c r="I1637" s="24">
        <f t="shared" si="86"/>
        <v>0</v>
      </c>
      <c r="J1637" s="7" t="str">
        <f t="shared" si="85"/>
        <v>PAGADO</v>
      </c>
    </row>
    <row r="1638" spans="1:10" x14ac:dyDescent="0.25">
      <c r="A1638">
        <v>2025</v>
      </c>
      <c r="C1638" t="s">
        <v>1625</v>
      </c>
      <c r="D1638" t="s">
        <v>1390</v>
      </c>
      <c r="F1638" s="6">
        <v>210</v>
      </c>
      <c r="G1638" s="6">
        <f t="shared" si="87"/>
        <v>210</v>
      </c>
      <c r="H1638" s="6">
        <f>60+150</f>
        <v>210</v>
      </c>
      <c r="I1638" s="6">
        <f t="shared" si="86"/>
        <v>0</v>
      </c>
      <c r="J1638" s="7" t="str">
        <f t="shared" si="85"/>
        <v>PAGADO</v>
      </c>
    </row>
    <row r="1639" spans="1:10" x14ac:dyDescent="0.25">
      <c r="A1639">
        <v>2025</v>
      </c>
      <c r="C1639" s="9" t="s">
        <v>1619</v>
      </c>
      <c r="D1639" s="9" t="s">
        <v>33</v>
      </c>
      <c r="F1639" s="6">
        <v>55</v>
      </c>
      <c r="G1639" s="6">
        <f t="shared" si="87"/>
        <v>55</v>
      </c>
      <c r="H1639" s="6">
        <v>55</v>
      </c>
      <c r="I1639" s="47">
        <f t="shared" si="86"/>
        <v>0</v>
      </c>
      <c r="J1639" s="7" t="str">
        <f t="shared" si="85"/>
        <v>PAGADO</v>
      </c>
    </row>
    <row r="1640" spans="1:10" x14ac:dyDescent="0.25">
      <c r="A1640">
        <v>2025</v>
      </c>
      <c r="C1640" s="9" t="s">
        <v>1626</v>
      </c>
      <c r="D1640" s="9" t="s">
        <v>202</v>
      </c>
      <c r="F1640" s="6">
        <v>60</v>
      </c>
      <c r="G1640" s="6">
        <f t="shared" si="87"/>
        <v>60</v>
      </c>
      <c r="H1640" s="6">
        <v>60</v>
      </c>
      <c r="I1640" s="6">
        <f t="shared" si="86"/>
        <v>0</v>
      </c>
      <c r="J1640" s="7" t="str">
        <f t="shared" si="85"/>
        <v>PAGADO</v>
      </c>
    </row>
    <row r="1641" spans="1:10" x14ac:dyDescent="0.25">
      <c r="A1641">
        <v>2025</v>
      </c>
      <c r="C1641" s="9" t="s">
        <v>1615</v>
      </c>
      <c r="D1641" s="9" t="s">
        <v>1562</v>
      </c>
      <c r="F1641" s="6">
        <v>190</v>
      </c>
      <c r="G1641" s="6">
        <f t="shared" si="87"/>
        <v>190</v>
      </c>
      <c r="H1641" s="6">
        <v>190</v>
      </c>
      <c r="I1641" s="6">
        <f t="shared" si="86"/>
        <v>0</v>
      </c>
      <c r="J1641" s="7" t="str">
        <f t="shared" si="85"/>
        <v>PAGADO</v>
      </c>
    </row>
    <row r="1642" spans="1:10" x14ac:dyDescent="0.25">
      <c r="A1642">
        <v>2025</v>
      </c>
      <c r="C1642" t="s">
        <v>1627</v>
      </c>
      <c r="D1642" s="9" t="s">
        <v>1476</v>
      </c>
      <c r="F1642" s="6">
        <v>220</v>
      </c>
      <c r="G1642" s="6">
        <f t="shared" si="87"/>
        <v>220</v>
      </c>
      <c r="H1642" s="6">
        <v>220</v>
      </c>
      <c r="I1642" s="6">
        <f t="shared" si="86"/>
        <v>0</v>
      </c>
      <c r="J1642" s="7" t="str">
        <f t="shared" si="85"/>
        <v>PAGADO</v>
      </c>
    </row>
    <row r="1643" spans="1:10" x14ac:dyDescent="0.25">
      <c r="A1643">
        <v>2025</v>
      </c>
      <c r="C1643" t="s">
        <v>1628</v>
      </c>
      <c r="D1643" s="9" t="s">
        <v>1476</v>
      </c>
      <c r="F1643" s="6">
        <v>10</v>
      </c>
      <c r="G1643" s="6">
        <f t="shared" si="87"/>
        <v>10</v>
      </c>
      <c r="H1643" s="6">
        <v>10</v>
      </c>
      <c r="I1643" s="6">
        <f t="shared" si="86"/>
        <v>0</v>
      </c>
      <c r="J1643" s="7" t="str">
        <f t="shared" si="85"/>
        <v>PAGADO</v>
      </c>
    </row>
    <row r="1644" spans="1:10" x14ac:dyDescent="0.25">
      <c r="A1644">
        <v>2025</v>
      </c>
      <c r="C1644" t="s">
        <v>1629</v>
      </c>
      <c r="D1644" s="9" t="s">
        <v>1476</v>
      </c>
      <c r="F1644" s="6">
        <v>10</v>
      </c>
      <c r="G1644" s="6">
        <f t="shared" si="87"/>
        <v>10</v>
      </c>
      <c r="H1644" s="6">
        <v>10</v>
      </c>
      <c r="I1644" s="6">
        <f t="shared" si="86"/>
        <v>0</v>
      </c>
      <c r="J1644" s="7" t="str">
        <f t="shared" si="85"/>
        <v>PAGADO</v>
      </c>
    </row>
    <row r="1645" spans="1:10" x14ac:dyDescent="0.25">
      <c r="A1645">
        <v>2025</v>
      </c>
      <c r="C1645" t="s">
        <v>1630</v>
      </c>
      <c r="D1645" s="9" t="s">
        <v>1476</v>
      </c>
      <c r="F1645" s="6">
        <v>15</v>
      </c>
      <c r="G1645" s="6">
        <f t="shared" si="87"/>
        <v>15</v>
      </c>
      <c r="H1645" s="6">
        <v>15</v>
      </c>
      <c r="I1645" s="6">
        <f t="shared" si="86"/>
        <v>0</v>
      </c>
      <c r="J1645" s="7" t="str">
        <f t="shared" si="85"/>
        <v>PAGADO</v>
      </c>
    </row>
    <row r="1646" spans="1:10" x14ac:dyDescent="0.25">
      <c r="A1646">
        <v>2025</v>
      </c>
      <c r="C1646" t="s">
        <v>1631</v>
      </c>
      <c r="D1646" t="s">
        <v>74</v>
      </c>
      <c r="F1646" s="6">
        <v>170</v>
      </c>
      <c r="G1646" s="6">
        <f t="shared" si="87"/>
        <v>170</v>
      </c>
      <c r="H1646" s="6">
        <v>160</v>
      </c>
      <c r="I1646" s="16">
        <f t="shared" si="86"/>
        <v>10</v>
      </c>
      <c r="J1646" s="7" t="str">
        <f t="shared" si="85"/>
        <v>DEBE</v>
      </c>
    </row>
    <row r="1647" spans="1:10" x14ac:dyDescent="0.25">
      <c r="A1647">
        <v>2025</v>
      </c>
      <c r="C1647" t="s">
        <v>1568</v>
      </c>
      <c r="D1647" t="s">
        <v>74</v>
      </c>
      <c r="F1647" s="6">
        <v>75</v>
      </c>
      <c r="G1647" s="6">
        <f t="shared" si="87"/>
        <v>75</v>
      </c>
      <c r="H1647" s="6">
        <v>75</v>
      </c>
      <c r="I1647" s="16">
        <f t="shared" si="86"/>
        <v>0</v>
      </c>
      <c r="J1647" s="7" t="str">
        <f t="shared" si="85"/>
        <v>PAGADO</v>
      </c>
    </row>
    <row r="1648" spans="1:10" x14ac:dyDescent="0.25">
      <c r="A1648">
        <v>2025</v>
      </c>
      <c r="C1648" t="s">
        <v>1632</v>
      </c>
      <c r="D1648" t="s">
        <v>74</v>
      </c>
      <c r="F1648" s="6">
        <v>60</v>
      </c>
      <c r="G1648" s="6">
        <f t="shared" si="87"/>
        <v>60</v>
      </c>
      <c r="H1648" s="6">
        <v>60</v>
      </c>
      <c r="I1648" s="46">
        <f t="shared" si="86"/>
        <v>0</v>
      </c>
      <c r="J1648" s="7" t="str">
        <f t="shared" si="85"/>
        <v>PAGADO</v>
      </c>
    </row>
    <row r="1649" spans="1:10" x14ac:dyDescent="0.25">
      <c r="A1649">
        <v>2025</v>
      </c>
      <c r="C1649" s="9" t="s">
        <v>1633</v>
      </c>
      <c r="D1649" s="9" t="s">
        <v>45</v>
      </c>
      <c r="F1649" s="6">
        <v>60</v>
      </c>
      <c r="G1649" s="6">
        <f t="shared" si="87"/>
        <v>60</v>
      </c>
      <c r="H1649" s="6">
        <v>60</v>
      </c>
      <c r="I1649" s="6">
        <f t="shared" si="86"/>
        <v>0</v>
      </c>
      <c r="J1649" s="7" t="str">
        <f t="shared" si="85"/>
        <v>PAGADO</v>
      </c>
    </row>
    <row r="1650" spans="1:10" x14ac:dyDescent="0.25">
      <c r="A1650">
        <v>2025</v>
      </c>
      <c r="C1650" s="9" t="s">
        <v>1634</v>
      </c>
      <c r="D1650" s="9" t="s">
        <v>45</v>
      </c>
      <c r="F1650" s="6">
        <v>60</v>
      </c>
      <c r="G1650" s="6">
        <f t="shared" si="87"/>
        <v>60</v>
      </c>
      <c r="H1650" s="6">
        <v>60</v>
      </c>
      <c r="I1650" s="6">
        <f t="shared" si="86"/>
        <v>0</v>
      </c>
      <c r="J1650" s="7" t="str">
        <f t="shared" si="85"/>
        <v>PAGADO</v>
      </c>
    </row>
    <row r="1651" spans="1:10" x14ac:dyDescent="0.25">
      <c r="A1651">
        <v>2025</v>
      </c>
      <c r="C1651" s="9" t="s">
        <v>1635</v>
      </c>
      <c r="D1651" s="9" t="s">
        <v>45</v>
      </c>
      <c r="F1651" s="6">
        <v>60</v>
      </c>
      <c r="G1651" s="6">
        <f t="shared" si="87"/>
        <v>60</v>
      </c>
      <c r="H1651" s="6">
        <v>60</v>
      </c>
      <c r="I1651" s="6">
        <f t="shared" si="86"/>
        <v>0</v>
      </c>
      <c r="J1651" s="7" t="str">
        <f t="shared" si="85"/>
        <v>PAGADO</v>
      </c>
    </row>
    <row r="1652" spans="1:10" x14ac:dyDescent="0.25">
      <c r="A1652">
        <v>2025</v>
      </c>
      <c r="C1652" s="9" t="s">
        <v>1636</v>
      </c>
      <c r="D1652" s="9" t="s">
        <v>1535</v>
      </c>
      <c r="F1652" s="6">
        <v>100</v>
      </c>
      <c r="G1652" s="6">
        <f t="shared" si="87"/>
        <v>100</v>
      </c>
      <c r="H1652" s="6">
        <v>100</v>
      </c>
      <c r="I1652" s="6">
        <f t="shared" si="86"/>
        <v>0</v>
      </c>
      <c r="J1652" s="7" t="str">
        <f t="shared" si="85"/>
        <v>PAGADO</v>
      </c>
    </row>
    <row r="1653" spans="1:10" x14ac:dyDescent="0.25">
      <c r="A1653">
        <v>2025</v>
      </c>
      <c r="C1653" t="s">
        <v>1637</v>
      </c>
      <c r="D1653" t="s">
        <v>74</v>
      </c>
      <c r="F1653" s="6">
        <v>170</v>
      </c>
      <c r="G1653" s="6">
        <f t="shared" si="87"/>
        <v>170</v>
      </c>
      <c r="H1653" s="6">
        <f>80+90</f>
        <v>170</v>
      </c>
      <c r="I1653" s="46">
        <f t="shared" si="86"/>
        <v>0</v>
      </c>
      <c r="J1653" s="7" t="str">
        <f t="shared" si="85"/>
        <v>PAGADO</v>
      </c>
    </row>
    <row r="1654" spans="1:10" x14ac:dyDescent="0.25">
      <c r="A1654">
        <v>2025</v>
      </c>
      <c r="C1654" t="s">
        <v>1638</v>
      </c>
      <c r="D1654" t="s">
        <v>1399</v>
      </c>
      <c r="F1654" s="6">
        <v>15</v>
      </c>
      <c r="G1654" s="6">
        <f t="shared" si="87"/>
        <v>15</v>
      </c>
      <c r="H1654" s="6">
        <v>15</v>
      </c>
      <c r="I1654" s="6">
        <f t="shared" si="86"/>
        <v>0</v>
      </c>
      <c r="J1654" s="7" t="str">
        <f t="shared" si="85"/>
        <v>PAGADO</v>
      </c>
    </row>
    <row r="1655" spans="1:10" x14ac:dyDescent="0.25">
      <c r="A1655">
        <v>2025</v>
      </c>
      <c r="C1655" t="s">
        <v>1639</v>
      </c>
      <c r="D1655" t="s">
        <v>1640</v>
      </c>
      <c r="F1655" s="6">
        <v>70</v>
      </c>
      <c r="G1655" s="6">
        <f t="shared" si="87"/>
        <v>70</v>
      </c>
      <c r="H1655" s="6">
        <v>70</v>
      </c>
      <c r="I1655" s="6">
        <f t="shared" si="86"/>
        <v>0</v>
      </c>
      <c r="J1655" s="7" t="str">
        <f t="shared" si="85"/>
        <v>PAGADO</v>
      </c>
    </row>
    <row r="1656" spans="1:10" x14ac:dyDescent="0.25">
      <c r="A1656">
        <v>2025</v>
      </c>
      <c r="C1656" t="s">
        <v>1641</v>
      </c>
      <c r="D1656" t="s">
        <v>1640</v>
      </c>
      <c r="F1656" s="6">
        <v>70</v>
      </c>
      <c r="G1656" s="6">
        <f t="shared" si="87"/>
        <v>70</v>
      </c>
      <c r="H1656" s="6">
        <v>70</v>
      </c>
      <c r="I1656" s="6">
        <f t="shared" si="86"/>
        <v>0</v>
      </c>
      <c r="J1656" s="7" t="str">
        <f t="shared" si="85"/>
        <v>PAGADO</v>
      </c>
    </row>
    <row r="1657" spans="1:10" x14ac:dyDescent="0.25">
      <c r="A1657">
        <v>2025</v>
      </c>
      <c r="C1657" s="9" t="s">
        <v>1642</v>
      </c>
      <c r="D1657" s="9" t="s">
        <v>74</v>
      </c>
      <c r="F1657" s="6">
        <v>10</v>
      </c>
      <c r="G1657" s="6">
        <f t="shared" si="87"/>
        <v>10</v>
      </c>
      <c r="H1657" s="6">
        <v>0</v>
      </c>
      <c r="I1657" s="6">
        <f t="shared" si="86"/>
        <v>10</v>
      </c>
      <c r="J1657" s="7" t="str">
        <f t="shared" si="85"/>
        <v>DEBE</v>
      </c>
    </row>
    <row r="1658" spans="1:10" x14ac:dyDescent="0.25">
      <c r="A1658">
        <v>2025</v>
      </c>
      <c r="C1658" s="9" t="s">
        <v>1007</v>
      </c>
      <c r="D1658" s="9" t="s">
        <v>1476</v>
      </c>
      <c r="F1658" s="6">
        <v>90</v>
      </c>
      <c r="G1658" s="6">
        <f t="shared" si="87"/>
        <v>90</v>
      </c>
      <c r="H1658" s="6">
        <v>90</v>
      </c>
      <c r="I1658" s="6">
        <f t="shared" si="86"/>
        <v>0</v>
      </c>
      <c r="J1658" s="7" t="str">
        <f t="shared" si="85"/>
        <v>PAGADO</v>
      </c>
    </row>
    <row r="1659" spans="1:10" x14ac:dyDescent="0.25">
      <c r="A1659">
        <v>2025</v>
      </c>
      <c r="C1659" s="9" t="s">
        <v>430</v>
      </c>
      <c r="D1659" s="9" t="s">
        <v>1425</v>
      </c>
      <c r="F1659" s="6">
        <v>75</v>
      </c>
      <c r="G1659" s="6">
        <f t="shared" si="87"/>
        <v>75</v>
      </c>
      <c r="H1659" s="6">
        <v>75</v>
      </c>
      <c r="I1659" s="26">
        <f t="shared" si="86"/>
        <v>0</v>
      </c>
      <c r="J1659" s="7" t="str">
        <f t="shared" si="85"/>
        <v>PAGADO</v>
      </c>
    </row>
    <row r="1660" spans="1:10" x14ac:dyDescent="0.25">
      <c r="A1660">
        <v>2025</v>
      </c>
      <c r="C1660" s="9" t="s">
        <v>1643</v>
      </c>
      <c r="D1660" s="9" t="s">
        <v>1425</v>
      </c>
      <c r="F1660" s="6">
        <v>70</v>
      </c>
      <c r="G1660" s="6">
        <f t="shared" si="87"/>
        <v>70</v>
      </c>
      <c r="H1660" s="6">
        <f>25+45</f>
        <v>70</v>
      </c>
      <c r="I1660" s="26">
        <f t="shared" si="86"/>
        <v>0</v>
      </c>
      <c r="J1660" s="7" t="str">
        <f t="shared" si="85"/>
        <v>PAGADO</v>
      </c>
    </row>
    <row r="1661" spans="1:10" x14ac:dyDescent="0.25">
      <c r="A1661">
        <v>2025</v>
      </c>
      <c r="C1661" s="9" t="s">
        <v>1644</v>
      </c>
      <c r="D1661" s="9" t="s">
        <v>1309</v>
      </c>
      <c r="F1661" s="6">
        <v>70</v>
      </c>
      <c r="G1661" s="6">
        <f t="shared" si="87"/>
        <v>70</v>
      </c>
      <c r="H1661" s="6">
        <v>70</v>
      </c>
      <c r="I1661" s="6">
        <f t="shared" si="86"/>
        <v>0</v>
      </c>
      <c r="J1661" s="7" t="str">
        <f t="shared" si="85"/>
        <v>PAGADO</v>
      </c>
    </row>
    <row r="1662" spans="1:10" x14ac:dyDescent="0.25">
      <c r="A1662">
        <v>2025</v>
      </c>
      <c r="C1662" s="9" t="s">
        <v>1645</v>
      </c>
      <c r="D1662" s="9" t="s">
        <v>1309</v>
      </c>
      <c r="F1662" s="6">
        <v>65</v>
      </c>
      <c r="G1662" s="6">
        <f t="shared" si="87"/>
        <v>65</v>
      </c>
      <c r="H1662" s="6">
        <v>65</v>
      </c>
      <c r="I1662" s="6">
        <f t="shared" si="86"/>
        <v>0</v>
      </c>
      <c r="J1662" s="7" t="str">
        <f t="shared" si="85"/>
        <v>PAGADO</v>
      </c>
    </row>
    <row r="1663" spans="1:10" x14ac:dyDescent="0.25">
      <c r="A1663">
        <v>2025</v>
      </c>
      <c r="C1663" s="9" t="s">
        <v>1646</v>
      </c>
      <c r="D1663" s="9" t="s">
        <v>722</v>
      </c>
      <c r="F1663" s="6">
        <v>175</v>
      </c>
      <c r="G1663" s="6">
        <f t="shared" si="87"/>
        <v>175</v>
      </c>
      <c r="H1663" s="6">
        <v>175</v>
      </c>
      <c r="I1663" s="6">
        <f t="shared" si="86"/>
        <v>0</v>
      </c>
      <c r="J1663" s="7" t="str">
        <f t="shared" si="85"/>
        <v>PAGADO</v>
      </c>
    </row>
    <row r="1664" spans="1:10" x14ac:dyDescent="0.25">
      <c r="A1664">
        <v>2025</v>
      </c>
      <c r="C1664" s="9" t="s">
        <v>1647</v>
      </c>
      <c r="D1664" s="9" t="s">
        <v>783</v>
      </c>
      <c r="F1664" s="6">
        <v>70</v>
      </c>
      <c r="G1664" s="6">
        <f t="shared" si="87"/>
        <v>70</v>
      </c>
      <c r="H1664" s="6">
        <f>25+45</f>
        <v>70</v>
      </c>
      <c r="I1664" s="6">
        <f t="shared" si="86"/>
        <v>0</v>
      </c>
      <c r="J1664" s="7" t="str">
        <f t="shared" si="85"/>
        <v>PAGADO</v>
      </c>
    </row>
    <row r="1665" spans="1:11" x14ac:dyDescent="0.25">
      <c r="A1665">
        <v>2025</v>
      </c>
      <c r="C1665" s="9" t="s">
        <v>1648</v>
      </c>
      <c r="D1665" s="9" t="s">
        <v>783</v>
      </c>
      <c r="F1665" s="6">
        <v>70</v>
      </c>
      <c r="G1665" s="6">
        <f t="shared" si="87"/>
        <v>70</v>
      </c>
      <c r="H1665" s="6">
        <f>25+45</f>
        <v>70</v>
      </c>
      <c r="I1665" s="6">
        <f t="shared" si="86"/>
        <v>0</v>
      </c>
      <c r="J1665" s="7" t="str">
        <f t="shared" si="85"/>
        <v>PAGADO</v>
      </c>
    </row>
    <row r="1666" spans="1:11" x14ac:dyDescent="0.25">
      <c r="A1666">
        <v>2025</v>
      </c>
      <c r="C1666" s="9" t="s">
        <v>1649</v>
      </c>
      <c r="D1666" s="9" t="s">
        <v>783</v>
      </c>
      <c r="F1666" s="6">
        <v>70</v>
      </c>
      <c r="G1666" s="6">
        <f t="shared" si="87"/>
        <v>70</v>
      </c>
      <c r="H1666" s="6">
        <f>50+5+15</f>
        <v>70</v>
      </c>
      <c r="I1666" s="6">
        <f t="shared" si="86"/>
        <v>0</v>
      </c>
      <c r="J1666" s="7" t="str">
        <f t="shared" si="85"/>
        <v>PAGADO</v>
      </c>
    </row>
    <row r="1667" spans="1:11" x14ac:dyDescent="0.25">
      <c r="A1667">
        <v>2025</v>
      </c>
      <c r="C1667" s="9" t="s">
        <v>1650</v>
      </c>
      <c r="D1667" t="s">
        <v>488</v>
      </c>
      <c r="F1667" s="6">
        <v>20</v>
      </c>
      <c r="G1667" s="6">
        <f t="shared" si="87"/>
        <v>20</v>
      </c>
      <c r="H1667" s="6">
        <v>20</v>
      </c>
      <c r="I1667" s="6">
        <f t="shared" si="86"/>
        <v>0</v>
      </c>
      <c r="J1667" s="7" t="str">
        <f t="shared" si="85"/>
        <v>PAGADO</v>
      </c>
    </row>
    <row r="1668" spans="1:11" x14ac:dyDescent="0.25">
      <c r="A1668">
        <v>2025</v>
      </c>
      <c r="C1668" s="9" t="s">
        <v>1651</v>
      </c>
      <c r="D1668" s="9" t="s">
        <v>1652</v>
      </c>
      <c r="F1668" s="6">
        <v>90</v>
      </c>
      <c r="G1668" s="6">
        <f t="shared" si="87"/>
        <v>90</v>
      </c>
      <c r="H1668" s="6">
        <v>90</v>
      </c>
      <c r="I1668" s="6">
        <f t="shared" si="86"/>
        <v>0</v>
      </c>
      <c r="J1668" s="7" t="str">
        <f t="shared" si="85"/>
        <v>PAGADO</v>
      </c>
    </row>
    <row r="1669" spans="1:11" x14ac:dyDescent="0.25">
      <c r="A1669">
        <v>2025</v>
      </c>
      <c r="C1669" s="9" t="s">
        <v>1653</v>
      </c>
      <c r="D1669" s="9" t="s">
        <v>1562</v>
      </c>
      <c r="F1669" s="6">
        <v>120</v>
      </c>
      <c r="G1669" s="6">
        <f t="shared" si="87"/>
        <v>120</v>
      </c>
      <c r="H1669" s="6">
        <v>120</v>
      </c>
      <c r="I1669" s="6">
        <f t="shared" si="86"/>
        <v>0</v>
      </c>
      <c r="J1669" s="7" t="str">
        <f t="shared" si="85"/>
        <v>PAGADO</v>
      </c>
    </row>
    <row r="1670" spans="1:11" x14ac:dyDescent="0.25">
      <c r="A1670">
        <v>2025</v>
      </c>
      <c r="C1670" s="9" t="s">
        <v>1654</v>
      </c>
      <c r="D1670" t="s">
        <v>1399</v>
      </c>
      <c r="F1670" s="6">
        <v>75</v>
      </c>
      <c r="G1670" s="6">
        <f t="shared" si="87"/>
        <v>75</v>
      </c>
      <c r="H1670" s="6">
        <v>75</v>
      </c>
      <c r="I1670" s="6">
        <f t="shared" si="86"/>
        <v>0</v>
      </c>
      <c r="J1670" s="7" t="str">
        <f t="shared" si="85"/>
        <v>PAGADO</v>
      </c>
      <c r="K1670" s="9"/>
    </row>
    <row r="1671" spans="1:11" x14ac:dyDescent="0.25">
      <c r="A1671">
        <v>2025</v>
      </c>
      <c r="C1671" s="9" t="s">
        <v>1654</v>
      </c>
      <c r="D1671" t="s">
        <v>1399</v>
      </c>
      <c r="F1671" s="6">
        <v>75</v>
      </c>
      <c r="G1671" s="6">
        <f t="shared" si="87"/>
        <v>75</v>
      </c>
      <c r="H1671" s="6">
        <v>75</v>
      </c>
      <c r="I1671" s="6">
        <f t="shared" si="86"/>
        <v>0</v>
      </c>
      <c r="J1671" s="7" t="str">
        <f t="shared" si="85"/>
        <v>PAGADO</v>
      </c>
      <c r="K1671" s="9"/>
    </row>
    <row r="1672" spans="1:11" x14ac:dyDescent="0.25">
      <c r="A1672">
        <v>2025</v>
      </c>
      <c r="C1672" s="9" t="s">
        <v>1655</v>
      </c>
      <c r="D1672" s="9" t="s">
        <v>1451</v>
      </c>
      <c r="F1672" s="6">
        <v>100</v>
      </c>
      <c r="G1672" s="6">
        <f t="shared" si="87"/>
        <v>100</v>
      </c>
      <c r="H1672" s="6">
        <v>100</v>
      </c>
      <c r="I1672" s="6">
        <f t="shared" si="86"/>
        <v>0</v>
      </c>
      <c r="J1672" s="7" t="str">
        <f t="shared" si="85"/>
        <v>PAGADO</v>
      </c>
    </row>
    <row r="1673" spans="1:11" x14ac:dyDescent="0.25">
      <c r="A1673">
        <v>2025</v>
      </c>
      <c r="C1673" s="9" t="s">
        <v>1656</v>
      </c>
      <c r="D1673" s="9" t="s">
        <v>1451</v>
      </c>
      <c r="F1673" s="6">
        <v>70</v>
      </c>
      <c r="G1673" s="6">
        <f t="shared" si="87"/>
        <v>70</v>
      </c>
      <c r="H1673" s="6">
        <v>70</v>
      </c>
      <c r="I1673" s="6">
        <f t="shared" si="86"/>
        <v>0</v>
      </c>
      <c r="J1673" s="7" t="str">
        <f t="shared" si="85"/>
        <v>PAGADO</v>
      </c>
    </row>
    <row r="1674" spans="1:11" x14ac:dyDescent="0.25">
      <c r="A1674">
        <v>2025</v>
      </c>
      <c r="C1674" s="9" t="s">
        <v>1239</v>
      </c>
      <c r="D1674" s="9" t="s">
        <v>1657</v>
      </c>
      <c r="F1674" s="6">
        <v>60</v>
      </c>
      <c r="G1674" s="6">
        <f t="shared" si="87"/>
        <v>60</v>
      </c>
      <c r="H1674" s="6">
        <v>60</v>
      </c>
      <c r="I1674" s="6">
        <f t="shared" si="86"/>
        <v>0</v>
      </c>
      <c r="J1674" s="7" t="str">
        <f t="shared" si="85"/>
        <v>PAGADO</v>
      </c>
    </row>
    <row r="1675" spans="1:11" x14ac:dyDescent="0.25">
      <c r="A1675">
        <v>2025</v>
      </c>
      <c r="C1675" s="9" t="s">
        <v>433</v>
      </c>
      <c r="D1675" s="9" t="s">
        <v>1657</v>
      </c>
      <c r="F1675" s="6">
        <v>70</v>
      </c>
      <c r="G1675" s="6">
        <f t="shared" si="87"/>
        <v>70</v>
      </c>
      <c r="H1675" s="6">
        <v>70</v>
      </c>
      <c r="I1675" s="6">
        <f t="shared" si="86"/>
        <v>0</v>
      </c>
      <c r="J1675" s="7" t="str">
        <f t="shared" si="85"/>
        <v>PAGADO</v>
      </c>
    </row>
    <row r="1676" spans="1:11" x14ac:dyDescent="0.25">
      <c r="A1676">
        <v>2025</v>
      </c>
      <c r="C1676" s="9" t="s">
        <v>1051</v>
      </c>
      <c r="D1676" s="9" t="s">
        <v>1657</v>
      </c>
      <c r="F1676" s="6">
        <v>75</v>
      </c>
      <c r="G1676" s="6">
        <f t="shared" si="87"/>
        <v>75</v>
      </c>
      <c r="H1676" s="6">
        <v>75</v>
      </c>
      <c r="I1676" s="6">
        <f t="shared" si="86"/>
        <v>0</v>
      </c>
      <c r="J1676" s="7" t="str">
        <f t="shared" si="85"/>
        <v>PAGADO</v>
      </c>
    </row>
    <row r="1677" spans="1:11" x14ac:dyDescent="0.25">
      <c r="A1677">
        <v>2025</v>
      </c>
      <c r="C1677" s="9" t="s">
        <v>1658</v>
      </c>
      <c r="D1677" s="9" t="s">
        <v>1659</v>
      </c>
      <c r="F1677" s="6">
        <v>15</v>
      </c>
      <c r="G1677" s="6">
        <f t="shared" si="87"/>
        <v>15</v>
      </c>
      <c r="H1677" s="6">
        <v>15</v>
      </c>
      <c r="I1677" s="6">
        <f t="shared" si="86"/>
        <v>0</v>
      </c>
      <c r="J1677" s="7" t="str">
        <f t="shared" ref="J1677:J1740" si="88">IF(I1677&gt;0,"DEBE","PAGADO")</f>
        <v>PAGADO</v>
      </c>
    </row>
    <row r="1678" spans="1:11" x14ac:dyDescent="0.25">
      <c r="A1678">
        <v>2025</v>
      </c>
      <c r="C1678" s="9" t="s">
        <v>1660</v>
      </c>
      <c r="D1678" s="9" t="s">
        <v>1659</v>
      </c>
      <c r="F1678" s="6">
        <v>15</v>
      </c>
      <c r="G1678" s="6">
        <f t="shared" si="87"/>
        <v>15</v>
      </c>
      <c r="H1678" s="6">
        <v>15</v>
      </c>
      <c r="I1678" s="6">
        <f t="shared" si="86"/>
        <v>0</v>
      </c>
      <c r="J1678" s="7" t="str">
        <f t="shared" si="88"/>
        <v>PAGADO</v>
      </c>
    </row>
    <row r="1679" spans="1:11" x14ac:dyDescent="0.25">
      <c r="A1679">
        <v>2025</v>
      </c>
      <c r="C1679" s="9" t="s">
        <v>1661</v>
      </c>
      <c r="D1679" s="9" t="s">
        <v>1474</v>
      </c>
      <c r="F1679" s="6">
        <v>25</v>
      </c>
      <c r="G1679" s="6">
        <f t="shared" si="87"/>
        <v>25</v>
      </c>
      <c r="H1679" s="6">
        <v>25</v>
      </c>
      <c r="I1679" s="6">
        <f t="shared" ref="I1679:I1697" si="89">F1679-H1679</f>
        <v>0</v>
      </c>
      <c r="J1679" s="7" t="str">
        <f t="shared" si="88"/>
        <v>PAGADO</v>
      </c>
    </row>
    <row r="1680" spans="1:11" x14ac:dyDescent="0.25">
      <c r="A1680">
        <v>2025</v>
      </c>
      <c r="C1680" s="9" t="s">
        <v>1661</v>
      </c>
      <c r="D1680" s="9" t="s">
        <v>1474</v>
      </c>
      <c r="F1680" s="6">
        <v>25</v>
      </c>
      <c r="G1680" s="6">
        <f t="shared" si="87"/>
        <v>25</v>
      </c>
      <c r="H1680" s="6">
        <v>25</v>
      </c>
      <c r="I1680" s="6">
        <f t="shared" si="89"/>
        <v>0</v>
      </c>
      <c r="J1680" s="7" t="str">
        <f t="shared" si="88"/>
        <v>PAGADO</v>
      </c>
    </row>
    <row r="1681" spans="1:11" x14ac:dyDescent="0.25">
      <c r="A1681">
        <v>2025</v>
      </c>
      <c r="C1681" s="9" t="s">
        <v>1154</v>
      </c>
      <c r="D1681" s="9" t="s">
        <v>1474</v>
      </c>
      <c r="F1681" s="6">
        <v>15</v>
      </c>
      <c r="G1681" s="6">
        <f t="shared" si="87"/>
        <v>15</v>
      </c>
      <c r="H1681" s="6">
        <v>15</v>
      </c>
      <c r="I1681" s="6">
        <f t="shared" si="89"/>
        <v>0</v>
      </c>
      <c r="J1681" s="7" t="str">
        <f t="shared" si="88"/>
        <v>PAGADO</v>
      </c>
    </row>
    <row r="1682" spans="1:11" x14ac:dyDescent="0.25">
      <c r="A1682">
        <v>2025</v>
      </c>
      <c r="C1682" s="9" t="s">
        <v>1662</v>
      </c>
      <c r="D1682" s="9" t="s">
        <v>816</v>
      </c>
      <c r="F1682" s="6">
        <v>130</v>
      </c>
      <c r="G1682" s="6">
        <f t="shared" si="87"/>
        <v>130</v>
      </c>
      <c r="H1682" s="6">
        <v>130</v>
      </c>
      <c r="I1682" s="26">
        <f t="shared" si="89"/>
        <v>0</v>
      </c>
      <c r="J1682" s="7" t="str">
        <f t="shared" si="88"/>
        <v>PAGADO</v>
      </c>
    </row>
    <row r="1683" spans="1:11" x14ac:dyDescent="0.25">
      <c r="A1683">
        <v>2025</v>
      </c>
      <c r="C1683" s="9" t="s">
        <v>1663</v>
      </c>
      <c r="D1683" s="9" t="s">
        <v>816</v>
      </c>
      <c r="F1683" s="6">
        <v>140</v>
      </c>
      <c r="G1683" s="6">
        <f t="shared" si="87"/>
        <v>140</v>
      </c>
      <c r="H1683" s="6">
        <v>140</v>
      </c>
      <c r="I1683" s="26">
        <f t="shared" si="89"/>
        <v>0</v>
      </c>
      <c r="J1683" s="7" t="str">
        <f t="shared" si="88"/>
        <v>PAGADO</v>
      </c>
    </row>
    <row r="1684" spans="1:11" x14ac:dyDescent="0.25">
      <c r="A1684">
        <v>2025</v>
      </c>
      <c r="C1684" s="9" t="s">
        <v>1664</v>
      </c>
      <c r="D1684" s="9" t="s">
        <v>1451</v>
      </c>
      <c r="F1684" s="6">
        <v>20</v>
      </c>
      <c r="G1684" s="6">
        <f t="shared" si="87"/>
        <v>20</v>
      </c>
      <c r="H1684" s="6">
        <v>20</v>
      </c>
      <c r="I1684" s="6">
        <f t="shared" si="89"/>
        <v>0</v>
      </c>
      <c r="J1684" s="7" t="str">
        <f t="shared" si="88"/>
        <v>PAGADO</v>
      </c>
    </row>
    <row r="1685" spans="1:11" x14ac:dyDescent="0.25">
      <c r="A1685">
        <v>2025</v>
      </c>
      <c r="C1685" s="9" t="s">
        <v>1665</v>
      </c>
      <c r="D1685" s="9" t="s">
        <v>1425</v>
      </c>
      <c r="F1685" s="6">
        <v>20</v>
      </c>
      <c r="G1685" s="6">
        <f t="shared" si="87"/>
        <v>20</v>
      </c>
      <c r="H1685" s="6">
        <v>20</v>
      </c>
      <c r="I1685" s="26">
        <f t="shared" si="89"/>
        <v>0</v>
      </c>
      <c r="J1685" s="7" t="str">
        <f t="shared" si="88"/>
        <v>PAGADO</v>
      </c>
      <c r="K1685" s="9"/>
    </row>
    <row r="1686" spans="1:11" x14ac:dyDescent="0.25">
      <c r="A1686">
        <v>2025</v>
      </c>
      <c r="C1686" s="9" t="s">
        <v>1666</v>
      </c>
      <c r="D1686" s="9" t="s">
        <v>1667</v>
      </c>
      <c r="F1686" s="6">
        <v>40</v>
      </c>
      <c r="G1686" s="6">
        <f t="shared" si="87"/>
        <v>40</v>
      </c>
      <c r="H1686" s="6">
        <v>40</v>
      </c>
      <c r="I1686" s="6">
        <f t="shared" si="89"/>
        <v>0</v>
      </c>
      <c r="J1686" s="7" t="str">
        <f t="shared" si="88"/>
        <v>PAGADO</v>
      </c>
    </row>
    <row r="1687" spans="1:11" x14ac:dyDescent="0.25">
      <c r="A1687">
        <v>2025</v>
      </c>
      <c r="C1687" s="9" t="s">
        <v>1668</v>
      </c>
      <c r="D1687" s="9" t="s">
        <v>202</v>
      </c>
      <c r="F1687" s="6">
        <v>30</v>
      </c>
      <c r="G1687" s="6">
        <f t="shared" si="87"/>
        <v>30</v>
      </c>
      <c r="H1687" s="6">
        <v>30</v>
      </c>
      <c r="I1687" s="6">
        <f t="shared" si="89"/>
        <v>0</v>
      </c>
      <c r="J1687" s="7" t="str">
        <f t="shared" si="88"/>
        <v>PAGADO</v>
      </c>
    </row>
    <row r="1688" spans="1:11" x14ac:dyDescent="0.25">
      <c r="A1688">
        <v>2025</v>
      </c>
      <c r="C1688" s="9" t="s">
        <v>1669</v>
      </c>
      <c r="D1688" s="9" t="s">
        <v>1504</v>
      </c>
      <c r="F1688" s="6">
        <v>260</v>
      </c>
      <c r="G1688" s="6">
        <f t="shared" si="87"/>
        <v>260</v>
      </c>
      <c r="H1688" s="6">
        <v>260</v>
      </c>
      <c r="I1688" s="6">
        <f t="shared" si="89"/>
        <v>0</v>
      </c>
      <c r="J1688" s="7" t="str">
        <f t="shared" si="88"/>
        <v>PAGADO</v>
      </c>
      <c r="K1688" t="s">
        <v>693</v>
      </c>
    </row>
    <row r="1689" spans="1:11" x14ac:dyDescent="0.25">
      <c r="A1689">
        <v>2025</v>
      </c>
      <c r="C1689" s="9" t="s">
        <v>1670</v>
      </c>
      <c r="D1689" s="9" t="s">
        <v>1388</v>
      </c>
      <c r="F1689" s="6">
        <v>200</v>
      </c>
      <c r="G1689" s="6">
        <f t="shared" si="87"/>
        <v>200</v>
      </c>
      <c r="H1689" s="6">
        <v>200</v>
      </c>
      <c r="I1689" s="6">
        <f t="shared" si="89"/>
        <v>0</v>
      </c>
      <c r="J1689" s="7" t="str">
        <f t="shared" si="88"/>
        <v>PAGADO</v>
      </c>
      <c r="K1689" s="9"/>
    </row>
    <row r="1690" spans="1:11" x14ac:dyDescent="0.25">
      <c r="A1690">
        <v>2025</v>
      </c>
      <c r="C1690" s="9" t="s">
        <v>1671</v>
      </c>
      <c r="D1690" s="9" t="s">
        <v>1388</v>
      </c>
      <c r="F1690" s="6">
        <v>210</v>
      </c>
      <c r="G1690" s="6">
        <f t="shared" si="87"/>
        <v>210</v>
      </c>
      <c r="H1690" s="6">
        <v>210</v>
      </c>
      <c r="I1690" s="6">
        <f t="shared" si="89"/>
        <v>0</v>
      </c>
      <c r="J1690" s="7" t="str">
        <f t="shared" si="88"/>
        <v>PAGADO</v>
      </c>
      <c r="K1690" s="9"/>
    </row>
    <row r="1691" spans="1:11" x14ac:dyDescent="0.25">
      <c r="A1691">
        <v>2025</v>
      </c>
      <c r="C1691" s="9" t="s">
        <v>1672</v>
      </c>
      <c r="D1691" s="9" t="s">
        <v>1510</v>
      </c>
      <c r="F1691" s="6">
        <v>65</v>
      </c>
      <c r="G1691" s="6">
        <f t="shared" si="87"/>
        <v>65</v>
      </c>
      <c r="H1691" s="6">
        <f>50+15</f>
        <v>65</v>
      </c>
      <c r="I1691" s="6">
        <f t="shared" si="89"/>
        <v>0</v>
      </c>
      <c r="J1691" s="7" t="str">
        <f t="shared" si="88"/>
        <v>PAGADO</v>
      </c>
    </row>
    <row r="1692" spans="1:11" x14ac:dyDescent="0.25">
      <c r="A1692">
        <v>2025</v>
      </c>
      <c r="C1692" s="9" t="s">
        <v>954</v>
      </c>
      <c r="D1692" s="9" t="s">
        <v>1510</v>
      </c>
      <c r="F1692" s="6">
        <v>70</v>
      </c>
      <c r="G1692" s="6">
        <f t="shared" si="87"/>
        <v>70</v>
      </c>
      <c r="H1692" s="6">
        <v>70</v>
      </c>
      <c r="I1692" s="6">
        <f t="shared" si="89"/>
        <v>0</v>
      </c>
      <c r="J1692" s="7" t="str">
        <f t="shared" si="88"/>
        <v>PAGADO</v>
      </c>
    </row>
    <row r="1693" spans="1:11" x14ac:dyDescent="0.25">
      <c r="A1693">
        <v>2025</v>
      </c>
      <c r="C1693" s="9" t="s">
        <v>1673</v>
      </c>
      <c r="D1693" s="9" t="s">
        <v>1674</v>
      </c>
      <c r="F1693" s="6">
        <v>95</v>
      </c>
      <c r="G1693" s="6">
        <f t="shared" si="87"/>
        <v>95</v>
      </c>
      <c r="H1693" s="6">
        <v>95</v>
      </c>
      <c r="I1693" s="6">
        <f t="shared" si="89"/>
        <v>0</v>
      </c>
      <c r="J1693" s="7" t="str">
        <f t="shared" si="88"/>
        <v>PAGADO</v>
      </c>
    </row>
    <row r="1694" spans="1:11" x14ac:dyDescent="0.25">
      <c r="A1694">
        <v>2025</v>
      </c>
      <c r="C1694" s="9" t="s">
        <v>1675</v>
      </c>
      <c r="D1694" s="9" t="s">
        <v>1425</v>
      </c>
      <c r="F1694" s="6">
        <v>65</v>
      </c>
      <c r="G1694" s="6">
        <f t="shared" si="87"/>
        <v>65</v>
      </c>
      <c r="H1694" s="6">
        <f>20+45</f>
        <v>65</v>
      </c>
      <c r="I1694" s="26">
        <f t="shared" si="89"/>
        <v>0</v>
      </c>
      <c r="J1694" s="7" t="str">
        <f t="shared" si="88"/>
        <v>PAGADO</v>
      </c>
    </row>
    <row r="1695" spans="1:11" x14ac:dyDescent="0.25">
      <c r="A1695">
        <v>2025</v>
      </c>
      <c r="C1695" s="9" t="s">
        <v>1676</v>
      </c>
      <c r="D1695" s="9" t="s">
        <v>1677</v>
      </c>
      <c r="F1695" s="6">
        <v>390</v>
      </c>
      <c r="G1695" s="6">
        <f t="shared" ref="G1695:G1758" si="90">F1695-E1695</f>
        <v>390</v>
      </c>
      <c r="H1695" s="6">
        <v>390</v>
      </c>
      <c r="I1695" s="6">
        <f t="shared" si="89"/>
        <v>0</v>
      </c>
      <c r="J1695" s="7" t="str">
        <f t="shared" si="88"/>
        <v>PAGADO</v>
      </c>
      <c r="K1695" t="s">
        <v>693</v>
      </c>
    </row>
    <row r="1696" spans="1:11" x14ac:dyDescent="0.25">
      <c r="A1696">
        <v>2025</v>
      </c>
      <c r="C1696" s="9" t="s">
        <v>1678</v>
      </c>
      <c r="D1696" s="9" t="s">
        <v>1606</v>
      </c>
      <c r="F1696" s="6">
        <v>100</v>
      </c>
      <c r="G1696" s="6">
        <f t="shared" si="90"/>
        <v>100</v>
      </c>
      <c r="H1696" s="6">
        <v>100</v>
      </c>
      <c r="I1696" s="6">
        <f t="shared" si="89"/>
        <v>0</v>
      </c>
      <c r="J1696" s="7" t="str">
        <f t="shared" si="88"/>
        <v>PAGADO</v>
      </c>
    </row>
    <row r="1697" spans="1:11" x14ac:dyDescent="0.25">
      <c r="A1697">
        <v>2025</v>
      </c>
      <c r="C1697" s="9" t="s">
        <v>1239</v>
      </c>
      <c r="D1697" s="9" t="s">
        <v>1679</v>
      </c>
      <c r="F1697" s="6">
        <v>110</v>
      </c>
      <c r="G1697" s="6">
        <f t="shared" si="90"/>
        <v>110</v>
      </c>
      <c r="H1697" s="6">
        <v>110</v>
      </c>
      <c r="I1697" s="6">
        <f t="shared" si="89"/>
        <v>0</v>
      </c>
      <c r="J1697" s="7" t="str">
        <f t="shared" si="88"/>
        <v>PAGADO</v>
      </c>
    </row>
    <row r="1698" spans="1:11" x14ac:dyDescent="0.25">
      <c r="A1698">
        <v>2025</v>
      </c>
      <c r="C1698" t="s">
        <v>1680</v>
      </c>
      <c r="D1698" s="9" t="s">
        <v>74</v>
      </c>
      <c r="F1698" s="30">
        <v>-60</v>
      </c>
      <c r="G1698" s="30">
        <f t="shared" si="90"/>
        <v>-60</v>
      </c>
      <c r="H1698" s="30">
        <v>-60</v>
      </c>
      <c r="I1698" s="30">
        <v>-60</v>
      </c>
      <c r="J1698" s="7" t="str">
        <f t="shared" si="88"/>
        <v>PAGADO</v>
      </c>
      <c r="K1698" s="28" t="s">
        <v>1681</v>
      </c>
    </row>
    <row r="1699" spans="1:11" x14ac:dyDescent="0.25">
      <c r="A1699">
        <v>2025</v>
      </c>
      <c r="C1699" t="s">
        <v>1682</v>
      </c>
      <c r="D1699" s="9" t="s">
        <v>1683</v>
      </c>
      <c r="F1699" s="6">
        <v>60</v>
      </c>
      <c r="G1699" s="6">
        <f t="shared" si="90"/>
        <v>60</v>
      </c>
      <c r="H1699" s="6">
        <v>60</v>
      </c>
      <c r="I1699" s="6">
        <f t="shared" ref="I1699:I1762" si="91">F1699-H1699</f>
        <v>0</v>
      </c>
      <c r="J1699" s="7" t="str">
        <f t="shared" si="88"/>
        <v>PAGADO</v>
      </c>
    </row>
    <row r="1700" spans="1:11" x14ac:dyDescent="0.25">
      <c r="A1700">
        <v>2025</v>
      </c>
      <c r="C1700" t="s">
        <v>1684</v>
      </c>
      <c r="D1700" s="9" t="s">
        <v>1685</v>
      </c>
      <c r="F1700" s="6">
        <v>110</v>
      </c>
      <c r="G1700" s="6">
        <f t="shared" si="90"/>
        <v>110</v>
      </c>
      <c r="H1700" s="6">
        <v>110</v>
      </c>
      <c r="I1700" s="6">
        <f t="shared" si="91"/>
        <v>0</v>
      </c>
      <c r="J1700" s="7" t="str">
        <f t="shared" si="88"/>
        <v>PAGADO</v>
      </c>
    </row>
    <row r="1701" spans="1:11" x14ac:dyDescent="0.25">
      <c r="A1701">
        <v>2025</v>
      </c>
      <c r="C1701" t="s">
        <v>1686</v>
      </c>
      <c r="D1701" s="9" t="s">
        <v>1687</v>
      </c>
      <c r="F1701" s="6">
        <v>80</v>
      </c>
      <c r="G1701" s="6">
        <f t="shared" si="90"/>
        <v>80</v>
      </c>
      <c r="H1701" s="6">
        <f>40+40</f>
        <v>80</v>
      </c>
      <c r="I1701" s="6">
        <f t="shared" si="91"/>
        <v>0</v>
      </c>
      <c r="J1701" s="7" t="str">
        <f t="shared" si="88"/>
        <v>PAGADO</v>
      </c>
    </row>
    <row r="1702" spans="1:11" x14ac:dyDescent="0.25">
      <c r="A1702">
        <v>2025</v>
      </c>
      <c r="C1702" s="9" t="s">
        <v>1688</v>
      </c>
      <c r="D1702" s="9" t="s">
        <v>1535</v>
      </c>
      <c r="F1702" s="6">
        <v>100</v>
      </c>
      <c r="G1702" s="6">
        <f t="shared" si="90"/>
        <v>100</v>
      </c>
      <c r="H1702" s="6">
        <v>100</v>
      </c>
      <c r="I1702" s="6">
        <f t="shared" si="91"/>
        <v>0</v>
      </c>
      <c r="J1702" s="7" t="str">
        <f t="shared" si="88"/>
        <v>PAGADO</v>
      </c>
    </row>
    <row r="1703" spans="1:11" x14ac:dyDescent="0.25">
      <c r="A1703">
        <v>2025</v>
      </c>
      <c r="C1703" t="s">
        <v>1689</v>
      </c>
      <c r="D1703" s="9" t="s">
        <v>1055</v>
      </c>
      <c r="F1703" s="6">
        <v>40</v>
      </c>
      <c r="G1703" s="6">
        <f t="shared" si="90"/>
        <v>40</v>
      </c>
      <c r="H1703" s="6">
        <f>20+20</f>
        <v>40</v>
      </c>
      <c r="I1703" s="6">
        <f t="shared" si="91"/>
        <v>0</v>
      </c>
      <c r="J1703" s="7" t="str">
        <f t="shared" si="88"/>
        <v>PAGADO</v>
      </c>
      <c r="K1703" s="45" t="s">
        <v>1056</v>
      </c>
    </row>
    <row r="1704" spans="1:11" x14ac:dyDescent="0.25">
      <c r="A1704">
        <v>2025</v>
      </c>
      <c r="C1704" t="s">
        <v>1690</v>
      </c>
      <c r="D1704" s="9" t="s">
        <v>1055</v>
      </c>
      <c r="F1704" s="6">
        <v>65</v>
      </c>
      <c r="G1704" s="6">
        <f t="shared" si="90"/>
        <v>65</v>
      </c>
      <c r="H1704" s="6">
        <f>20+40+5</f>
        <v>65</v>
      </c>
      <c r="I1704" s="6">
        <f t="shared" si="91"/>
        <v>0</v>
      </c>
      <c r="J1704" s="7" t="str">
        <f t="shared" si="88"/>
        <v>PAGADO</v>
      </c>
      <c r="K1704" s="45" t="s">
        <v>1056</v>
      </c>
    </row>
    <row r="1705" spans="1:11" x14ac:dyDescent="0.25">
      <c r="A1705">
        <v>2025</v>
      </c>
      <c r="C1705" s="9" t="s">
        <v>1691</v>
      </c>
      <c r="D1705" s="9" t="s">
        <v>1504</v>
      </c>
      <c r="F1705" s="6">
        <v>70</v>
      </c>
      <c r="G1705" s="6">
        <f t="shared" si="90"/>
        <v>70</v>
      </c>
      <c r="H1705" s="24">
        <v>70</v>
      </c>
      <c r="I1705" s="6">
        <f t="shared" si="91"/>
        <v>0</v>
      </c>
      <c r="J1705" s="7" t="str">
        <f t="shared" si="88"/>
        <v>PAGADO</v>
      </c>
      <c r="K1705" t="s">
        <v>693</v>
      </c>
    </row>
    <row r="1706" spans="1:11" x14ac:dyDescent="0.25">
      <c r="A1706">
        <v>2025</v>
      </c>
      <c r="C1706" s="9" t="s">
        <v>1692</v>
      </c>
      <c r="D1706" s="9" t="s">
        <v>1504</v>
      </c>
      <c r="F1706" s="6">
        <v>60</v>
      </c>
      <c r="G1706" s="6">
        <f t="shared" si="90"/>
        <v>60</v>
      </c>
      <c r="H1706" s="24">
        <v>60</v>
      </c>
      <c r="I1706" s="6">
        <f t="shared" si="91"/>
        <v>0</v>
      </c>
      <c r="J1706" s="7" t="str">
        <f t="shared" si="88"/>
        <v>PAGADO</v>
      </c>
      <c r="K1706" t="s">
        <v>693</v>
      </c>
    </row>
    <row r="1707" spans="1:11" x14ac:dyDescent="0.25">
      <c r="A1707">
        <v>2025</v>
      </c>
      <c r="C1707" s="9" t="s">
        <v>1693</v>
      </c>
      <c r="D1707" s="9" t="s">
        <v>1504</v>
      </c>
      <c r="F1707" s="6">
        <v>75</v>
      </c>
      <c r="G1707" s="6">
        <f t="shared" si="90"/>
        <v>75</v>
      </c>
      <c r="H1707" s="24">
        <v>75</v>
      </c>
      <c r="I1707" s="6">
        <f t="shared" si="91"/>
        <v>0</v>
      </c>
      <c r="J1707" s="7" t="str">
        <f t="shared" si="88"/>
        <v>PAGADO</v>
      </c>
      <c r="K1707" t="s">
        <v>693</v>
      </c>
    </row>
    <row r="1708" spans="1:11" x14ac:dyDescent="0.25">
      <c r="A1708">
        <v>2025</v>
      </c>
      <c r="C1708" s="9" t="s">
        <v>1694</v>
      </c>
      <c r="D1708" s="9" t="s">
        <v>1504</v>
      </c>
      <c r="F1708" s="6">
        <v>75</v>
      </c>
      <c r="G1708" s="6">
        <f t="shared" si="90"/>
        <v>75</v>
      </c>
      <c r="H1708" s="24">
        <v>75</v>
      </c>
      <c r="I1708" s="6">
        <f t="shared" si="91"/>
        <v>0</v>
      </c>
      <c r="J1708" s="7" t="str">
        <f t="shared" si="88"/>
        <v>PAGADO</v>
      </c>
      <c r="K1708" t="s">
        <v>693</v>
      </c>
    </row>
    <row r="1709" spans="1:11" x14ac:dyDescent="0.25">
      <c r="A1709">
        <v>2025</v>
      </c>
      <c r="C1709" s="9" t="s">
        <v>1695</v>
      </c>
      <c r="D1709" s="9" t="s">
        <v>1504</v>
      </c>
      <c r="F1709" s="6">
        <v>75</v>
      </c>
      <c r="G1709" s="6">
        <f t="shared" si="90"/>
        <v>75</v>
      </c>
      <c r="H1709" s="24">
        <v>75</v>
      </c>
      <c r="I1709" s="6">
        <f t="shared" si="91"/>
        <v>0</v>
      </c>
      <c r="J1709" s="7" t="str">
        <f t="shared" si="88"/>
        <v>PAGADO</v>
      </c>
      <c r="K1709" t="s">
        <v>693</v>
      </c>
    </row>
    <row r="1710" spans="1:11" x14ac:dyDescent="0.25">
      <c r="A1710">
        <v>2025</v>
      </c>
      <c r="C1710" s="9" t="s">
        <v>1696</v>
      </c>
      <c r="D1710" s="9" t="s">
        <v>1504</v>
      </c>
      <c r="F1710" s="6">
        <v>75</v>
      </c>
      <c r="G1710" s="6">
        <f t="shared" si="90"/>
        <v>75</v>
      </c>
      <c r="H1710" s="24">
        <v>75</v>
      </c>
      <c r="I1710" s="6">
        <f t="shared" si="91"/>
        <v>0</v>
      </c>
      <c r="J1710" s="7" t="str">
        <f t="shared" si="88"/>
        <v>PAGADO</v>
      </c>
      <c r="K1710" t="s">
        <v>693</v>
      </c>
    </row>
    <row r="1711" spans="1:11" x14ac:dyDescent="0.25">
      <c r="A1711">
        <v>2025</v>
      </c>
      <c r="C1711" s="9" t="s">
        <v>1615</v>
      </c>
      <c r="D1711" s="9" t="s">
        <v>1451</v>
      </c>
      <c r="F1711" s="6">
        <v>180</v>
      </c>
      <c r="G1711" s="6">
        <f t="shared" si="90"/>
        <v>180</v>
      </c>
      <c r="H1711" s="6">
        <v>180</v>
      </c>
      <c r="I1711" s="6">
        <f t="shared" si="91"/>
        <v>0</v>
      </c>
      <c r="J1711" s="7" t="str">
        <f t="shared" si="88"/>
        <v>PAGADO</v>
      </c>
    </row>
    <row r="1712" spans="1:11" x14ac:dyDescent="0.25">
      <c r="A1712">
        <v>2025</v>
      </c>
      <c r="C1712" s="9" t="s">
        <v>1615</v>
      </c>
      <c r="D1712" s="9" t="s">
        <v>1451</v>
      </c>
      <c r="F1712" s="6">
        <v>190</v>
      </c>
      <c r="G1712" s="6">
        <f t="shared" si="90"/>
        <v>190</v>
      </c>
      <c r="H1712" s="6">
        <v>190</v>
      </c>
      <c r="I1712" s="6">
        <f t="shared" si="91"/>
        <v>0</v>
      </c>
      <c r="J1712" s="7" t="str">
        <f t="shared" si="88"/>
        <v>PAGADO</v>
      </c>
    </row>
    <row r="1713" spans="1:10" x14ac:dyDescent="0.25">
      <c r="A1713">
        <v>2025</v>
      </c>
      <c r="C1713" s="9" t="s">
        <v>1697</v>
      </c>
      <c r="D1713" s="9" t="s">
        <v>1451</v>
      </c>
      <c r="F1713" s="6">
        <v>150</v>
      </c>
      <c r="G1713" s="6">
        <f t="shared" si="90"/>
        <v>150</v>
      </c>
      <c r="H1713" s="6">
        <v>150</v>
      </c>
      <c r="I1713" s="6">
        <f t="shared" si="91"/>
        <v>0</v>
      </c>
      <c r="J1713" s="7" t="str">
        <f t="shared" si="88"/>
        <v>PAGADO</v>
      </c>
    </row>
    <row r="1714" spans="1:10" x14ac:dyDescent="0.25">
      <c r="A1714">
        <v>2025</v>
      </c>
      <c r="C1714" s="9" t="s">
        <v>1698</v>
      </c>
      <c r="D1714" s="9" t="s">
        <v>1451</v>
      </c>
      <c r="F1714" s="6">
        <v>150</v>
      </c>
      <c r="G1714" s="6">
        <f t="shared" si="90"/>
        <v>150</v>
      </c>
      <c r="H1714" s="6">
        <v>150</v>
      </c>
      <c r="I1714" s="6">
        <f t="shared" si="91"/>
        <v>0</v>
      </c>
      <c r="J1714" s="7" t="str">
        <f t="shared" si="88"/>
        <v>PAGADO</v>
      </c>
    </row>
    <row r="1715" spans="1:10" x14ac:dyDescent="0.25">
      <c r="A1715">
        <v>2025</v>
      </c>
      <c r="C1715" s="9" t="s">
        <v>1699</v>
      </c>
      <c r="D1715" s="9" t="s">
        <v>1562</v>
      </c>
      <c r="F1715" s="6">
        <v>110</v>
      </c>
      <c r="G1715" s="6">
        <f t="shared" si="90"/>
        <v>110</v>
      </c>
      <c r="H1715" s="6">
        <v>110</v>
      </c>
      <c r="I1715" s="6">
        <f t="shared" si="91"/>
        <v>0</v>
      </c>
      <c r="J1715" s="7" t="str">
        <f t="shared" si="88"/>
        <v>PAGADO</v>
      </c>
    </row>
    <row r="1716" spans="1:10" x14ac:dyDescent="0.25">
      <c r="A1716">
        <v>2025</v>
      </c>
      <c r="C1716" s="9" t="s">
        <v>1700</v>
      </c>
      <c r="D1716" s="9" t="s">
        <v>33</v>
      </c>
      <c r="F1716" s="6">
        <v>190</v>
      </c>
      <c r="G1716" s="6">
        <f t="shared" si="90"/>
        <v>190</v>
      </c>
      <c r="H1716" s="6">
        <v>190</v>
      </c>
      <c r="I1716" s="47">
        <f t="shared" si="91"/>
        <v>0</v>
      </c>
      <c r="J1716" s="7" t="str">
        <f t="shared" si="88"/>
        <v>PAGADO</v>
      </c>
    </row>
    <row r="1717" spans="1:10" x14ac:dyDescent="0.25">
      <c r="A1717">
        <v>2025</v>
      </c>
      <c r="C1717" s="9" t="s">
        <v>1701</v>
      </c>
      <c r="D1717" s="9" t="s">
        <v>1388</v>
      </c>
      <c r="F1717" s="6">
        <v>65</v>
      </c>
      <c r="G1717" s="6">
        <f t="shared" si="90"/>
        <v>65</v>
      </c>
      <c r="H1717" s="6">
        <v>65</v>
      </c>
      <c r="I1717" s="6">
        <f t="shared" si="91"/>
        <v>0</v>
      </c>
      <c r="J1717" s="7" t="str">
        <f t="shared" si="88"/>
        <v>PAGADO</v>
      </c>
    </row>
    <row r="1718" spans="1:10" x14ac:dyDescent="0.25">
      <c r="A1718">
        <v>2025</v>
      </c>
      <c r="C1718" s="9" t="s">
        <v>1702</v>
      </c>
      <c r="D1718" s="9" t="s">
        <v>1476</v>
      </c>
      <c r="F1718" s="6">
        <v>90</v>
      </c>
      <c r="G1718" s="6">
        <f t="shared" si="90"/>
        <v>90</v>
      </c>
      <c r="H1718" s="6">
        <v>90</v>
      </c>
      <c r="I1718" s="39">
        <f t="shared" si="91"/>
        <v>0</v>
      </c>
      <c r="J1718" s="7" t="str">
        <f t="shared" si="88"/>
        <v>PAGADO</v>
      </c>
    </row>
    <row r="1719" spans="1:10" x14ac:dyDescent="0.25">
      <c r="A1719">
        <v>2025</v>
      </c>
      <c r="C1719" s="9" t="s">
        <v>752</v>
      </c>
      <c r="D1719" s="9" t="s">
        <v>1476</v>
      </c>
      <c r="F1719" s="6">
        <v>70</v>
      </c>
      <c r="G1719" s="6">
        <f t="shared" si="90"/>
        <v>70</v>
      </c>
      <c r="H1719" s="6">
        <v>70</v>
      </c>
      <c r="I1719" s="6">
        <f t="shared" si="91"/>
        <v>0</v>
      </c>
      <c r="J1719" s="7" t="str">
        <f t="shared" si="88"/>
        <v>PAGADO</v>
      </c>
    </row>
    <row r="1720" spans="1:10" x14ac:dyDescent="0.25">
      <c r="A1720">
        <v>2025</v>
      </c>
      <c r="C1720" s="9" t="s">
        <v>1703</v>
      </c>
      <c r="D1720" s="9" t="s">
        <v>1476</v>
      </c>
      <c r="F1720" s="6">
        <v>70</v>
      </c>
      <c r="G1720" s="6">
        <f t="shared" si="90"/>
        <v>70</v>
      </c>
      <c r="H1720" s="6">
        <v>70</v>
      </c>
      <c r="I1720" s="6">
        <f t="shared" si="91"/>
        <v>0</v>
      </c>
      <c r="J1720" s="7" t="str">
        <f t="shared" si="88"/>
        <v>PAGADO</v>
      </c>
    </row>
    <row r="1721" spans="1:10" x14ac:dyDescent="0.25">
      <c r="A1721">
        <v>2025</v>
      </c>
      <c r="C1721" s="9" t="s">
        <v>1704</v>
      </c>
      <c r="D1721" s="9" t="s">
        <v>1360</v>
      </c>
      <c r="F1721" s="6">
        <v>110</v>
      </c>
      <c r="G1721" s="6">
        <f t="shared" si="90"/>
        <v>110</v>
      </c>
      <c r="H1721" s="6">
        <v>110</v>
      </c>
      <c r="I1721" s="6">
        <f t="shared" si="91"/>
        <v>0</v>
      </c>
      <c r="J1721" s="7" t="str">
        <f t="shared" si="88"/>
        <v>PAGADO</v>
      </c>
    </row>
    <row r="1722" spans="1:10" x14ac:dyDescent="0.25">
      <c r="A1722">
        <v>2025</v>
      </c>
      <c r="C1722" s="9" t="s">
        <v>1705</v>
      </c>
      <c r="D1722" s="9" t="s">
        <v>1360</v>
      </c>
      <c r="F1722" s="6">
        <v>65</v>
      </c>
      <c r="G1722" s="6">
        <f t="shared" si="90"/>
        <v>65</v>
      </c>
      <c r="H1722" s="6">
        <v>65</v>
      </c>
      <c r="I1722" s="6">
        <f t="shared" si="91"/>
        <v>0</v>
      </c>
      <c r="J1722" s="7" t="str">
        <f t="shared" si="88"/>
        <v>PAGADO</v>
      </c>
    </row>
    <row r="1723" spans="1:10" x14ac:dyDescent="0.25">
      <c r="A1723">
        <v>2025</v>
      </c>
      <c r="C1723" s="9" t="s">
        <v>1706</v>
      </c>
      <c r="D1723" s="9" t="s">
        <v>1360</v>
      </c>
      <c r="F1723" s="6">
        <v>75</v>
      </c>
      <c r="G1723" s="6">
        <f t="shared" si="90"/>
        <v>75</v>
      </c>
      <c r="H1723" s="6">
        <v>75</v>
      </c>
      <c r="I1723" s="6">
        <f t="shared" si="91"/>
        <v>0</v>
      </c>
      <c r="J1723" s="7" t="str">
        <f t="shared" si="88"/>
        <v>PAGADO</v>
      </c>
    </row>
    <row r="1724" spans="1:10" x14ac:dyDescent="0.25">
      <c r="A1724">
        <v>2025</v>
      </c>
      <c r="C1724" s="9" t="s">
        <v>1707</v>
      </c>
      <c r="D1724" t="s">
        <v>31</v>
      </c>
      <c r="F1724" s="6">
        <v>60</v>
      </c>
      <c r="G1724" s="6">
        <f t="shared" si="90"/>
        <v>60</v>
      </c>
      <c r="H1724" s="6">
        <f>30+30</f>
        <v>60</v>
      </c>
      <c r="I1724" s="6">
        <f t="shared" si="91"/>
        <v>0</v>
      </c>
      <c r="J1724" s="7" t="str">
        <f t="shared" si="88"/>
        <v>PAGADO</v>
      </c>
    </row>
    <row r="1725" spans="1:10" x14ac:dyDescent="0.25">
      <c r="A1725">
        <v>2025</v>
      </c>
      <c r="C1725" s="9" t="s">
        <v>1708</v>
      </c>
      <c r="D1725" s="9" t="s">
        <v>74</v>
      </c>
      <c r="F1725" s="6">
        <v>20</v>
      </c>
      <c r="G1725" s="6">
        <f t="shared" si="90"/>
        <v>20</v>
      </c>
      <c r="H1725" s="6">
        <v>20</v>
      </c>
      <c r="I1725" s="24">
        <f t="shared" si="91"/>
        <v>0</v>
      </c>
      <c r="J1725" s="7" t="str">
        <f t="shared" si="88"/>
        <v>PAGADO</v>
      </c>
    </row>
    <row r="1726" spans="1:10" x14ac:dyDescent="0.25">
      <c r="A1726">
        <v>2025</v>
      </c>
      <c r="C1726" s="9" t="s">
        <v>1709</v>
      </c>
      <c r="D1726" s="9" t="s">
        <v>74</v>
      </c>
      <c r="F1726" s="6">
        <v>48</v>
      </c>
      <c r="G1726" s="6">
        <f t="shared" si="90"/>
        <v>48</v>
      </c>
      <c r="H1726" s="6">
        <v>0</v>
      </c>
      <c r="I1726" s="6">
        <f t="shared" si="91"/>
        <v>48</v>
      </c>
      <c r="J1726" s="7" t="str">
        <f t="shared" si="88"/>
        <v>DEBE</v>
      </c>
    </row>
    <row r="1727" spans="1:10" x14ac:dyDescent="0.25">
      <c r="A1727">
        <v>2025</v>
      </c>
      <c r="C1727" s="9" t="s">
        <v>1710</v>
      </c>
      <c r="D1727" s="9" t="s">
        <v>74</v>
      </c>
      <c r="F1727" s="6">
        <v>30</v>
      </c>
      <c r="G1727" s="6">
        <f t="shared" si="90"/>
        <v>30</v>
      </c>
      <c r="H1727" s="6">
        <v>30</v>
      </c>
      <c r="I1727" s="24">
        <f t="shared" si="91"/>
        <v>0</v>
      </c>
      <c r="J1727" s="7" t="str">
        <f t="shared" si="88"/>
        <v>PAGADO</v>
      </c>
    </row>
    <row r="1728" spans="1:10" x14ac:dyDescent="0.25">
      <c r="A1728">
        <v>2025</v>
      </c>
      <c r="C1728" s="9" t="s">
        <v>1711</v>
      </c>
      <c r="D1728" s="9" t="s">
        <v>74</v>
      </c>
      <c r="F1728" s="6">
        <v>30</v>
      </c>
      <c r="G1728" s="6">
        <f t="shared" si="90"/>
        <v>30</v>
      </c>
      <c r="H1728" s="6">
        <v>30</v>
      </c>
      <c r="I1728" s="24">
        <f t="shared" si="91"/>
        <v>0</v>
      </c>
      <c r="J1728" s="7" t="str">
        <f t="shared" si="88"/>
        <v>PAGADO</v>
      </c>
    </row>
    <row r="1729" spans="1:10" x14ac:dyDescent="0.25">
      <c r="A1729">
        <v>2025</v>
      </c>
      <c r="C1729" s="9" t="s">
        <v>1712</v>
      </c>
      <c r="D1729" s="9" t="s">
        <v>74</v>
      </c>
      <c r="F1729" s="6">
        <v>25</v>
      </c>
      <c r="G1729" s="6">
        <f t="shared" si="90"/>
        <v>25</v>
      </c>
      <c r="H1729" s="6">
        <v>25</v>
      </c>
      <c r="I1729" s="16">
        <f t="shared" si="91"/>
        <v>0</v>
      </c>
      <c r="J1729" s="7" t="str">
        <f t="shared" si="88"/>
        <v>PAGADO</v>
      </c>
    </row>
    <row r="1730" spans="1:10" x14ac:dyDescent="0.25">
      <c r="A1730">
        <v>2025</v>
      </c>
      <c r="C1730" s="9" t="s">
        <v>1713</v>
      </c>
      <c r="D1730" s="9" t="s">
        <v>127</v>
      </c>
      <c r="F1730" s="6">
        <v>50</v>
      </c>
      <c r="G1730" s="6">
        <f t="shared" si="90"/>
        <v>50</v>
      </c>
      <c r="H1730" s="6">
        <v>50</v>
      </c>
      <c r="I1730" s="6">
        <f t="shared" si="91"/>
        <v>0</v>
      </c>
      <c r="J1730" s="7" t="str">
        <f t="shared" si="88"/>
        <v>PAGADO</v>
      </c>
    </row>
    <row r="1731" spans="1:10" x14ac:dyDescent="0.25">
      <c r="A1731">
        <v>2025</v>
      </c>
      <c r="C1731" s="9" t="s">
        <v>210</v>
      </c>
      <c r="D1731" s="9" t="s">
        <v>127</v>
      </c>
      <c r="F1731" s="6">
        <v>50</v>
      </c>
      <c r="G1731" s="6">
        <f t="shared" si="90"/>
        <v>50</v>
      </c>
      <c r="H1731" s="6">
        <v>50</v>
      </c>
      <c r="I1731" s="6">
        <f t="shared" si="91"/>
        <v>0</v>
      </c>
      <c r="J1731" s="7" t="str">
        <f t="shared" si="88"/>
        <v>PAGADO</v>
      </c>
    </row>
    <row r="1732" spans="1:10" x14ac:dyDescent="0.25">
      <c r="A1732">
        <v>2025</v>
      </c>
      <c r="C1732" s="9" t="s">
        <v>1714</v>
      </c>
      <c r="D1732" s="9" t="s">
        <v>127</v>
      </c>
      <c r="F1732" s="6">
        <v>50</v>
      </c>
      <c r="G1732" s="6">
        <f t="shared" si="90"/>
        <v>50</v>
      </c>
      <c r="H1732" s="6">
        <v>50</v>
      </c>
      <c r="I1732" s="6">
        <f t="shared" si="91"/>
        <v>0</v>
      </c>
      <c r="J1732" s="7" t="str">
        <f t="shared" si="88"/>
        <v>PAGADO</v>
      </c>
    </row>
    <row r="1733" spans="1:10" x14ac:dyDescent="0.25">
      <c r="A1733">
        <v>2025</v>
      </c>
      <c r="C1733" s="9" t="s">
        <v>1715</v>
      </c>
      <c r="D1733" s="9" t="s">
        <v>1309</v>
      </c>
      <c r="F1733" s="6">
        <v>60</v>
      </c>
      <c r="G1733" s="6">
        <f t="shared" si="90"/>
        <v>60</v>
      </c>
      <c r="H1733" s="6">
        <v>60</v>
      </c>
      <c r="I1733" s="6">
        <f t="shared" si="91"/>
        <v>0</v>
      </c>
      <c r="J1733" s="7" t="str">
        <f t="shared" si="88"/>
        <v>PAGADO</v>
      </c>
    </row>
    <row r="1734" spans="1:10" x14ac:dyDescent="0.25">
      <c r="A1734">
        <v>2025</v>
      </c>
      <c r="C1734" s="9" t="s">
        <v>1716</v>
      </c>
      <c r="D1734" s="9" t="s">
        <v>1309</v>
      </c>
      <c r="F1734" s="6">
        <v>90</v>
      </c>
      <c r="G1734" s="6">
        <f t="shared" si="90"/>
        <v>90</v>
      </c>
      <c r="H1734" s="6">
        <v>90</v>
      </c>
      <c r="I1734" s="6">
        <f t="shared" si="91"/>
        <v>0</v>
      </c>
      <c r="J1734" s="7" t="str">
        <f t="shared" si="88"/>
        <v>PAGADO</v>
      </c>
    </row>
    <row r="1735" spans="1:10" x14ac:dyDescent="0.25">
      <c r="A1735">
        <v>2025</v>
      </c>
      <c r="C1735" s="9" t="s">
        <v>1717</v>
      </c>
      <c r="D1735" s="9" t="s">
        <v>1309</v>
      </c>
      <c r="F1735" s="6">
        <v>40</v>
      </c>
      <c r="G1735" s="6">
        <f t="shared" si="90"/>
        <v>40</v>
      </c>
      <c r="H1735" s="6">
        <v>40</v>
      </c>
      <c r="I1735" s="6">
        <f t="shared" si="91"/>
        <v>0</v>
      </c>
      <c r="J1735" s="7" t="str">
        <f t="shared" si="88"/>
        <v>PAGADO</v>
      </c>
    </row>
    <row r="1736" spans="1:10" x14ac:dyDescent="0.25">
      <c r="A1736">
        <v>2025</v>
      </c>
      <c r="C1736" s="9" t="s">
        <v>1718</v>
      </c>
      <c r="D1736" s="9" t="s">
        <v>1309</v>
      </c>
      <c r="F1736" s="6">
        <v>70</v>
      </c>
      <c r="G1736" s="6">
        <f t="shared" si="90"/>
        <v>70</v>
      </c>
      <c r="H1736" s="6">
        <v>70</v>
      </c>
      <c r="I1736" s="6">
        <f t="shared" si="91"/>
        <v>0</v>
      </c>
      <c r="J1736" s="7" t="str">
        <f t="shared" si="88"/>
        <v>PAGADO</v>
      </c>
    </row>
    <row r="1737" spans="1:10" x14ac:dyDescent="0.25">
      <c r="A1737">
        <v>2025</v>
      </c>
      <c r="C1737" s="9" t="s">
        <v>1719</v>
      </c>
      <c r="D1737" s="9" t="s">
        <v>1685</v>
      </c>
      <c r="F1737" s="6">
        <v>60</v>
      </c>
      <c r="G1737" s="6">
        <f t="shared" si="90"/>
        <v>60</v>
      </c>
      <c r="H1737" s="6">
        <v>60</v>
      </c>
      <c r="I1737" s="6">
        <f t="shared" si="91"/>
        <v>0</v>
      </c>
      <c r="J1737" s="7" t="str">
        <f t="shared" si="88"/>
        <v>PAGADO</v>
      </c>
    </row>
    <row r="1738" spans="1:10" x14ac:dyDescent="0.25">
      <c r="A1738">
        <v>2025</v>
      </c>
      <c r="C1738" s="9" t="s">
        <v>1720</v>
      </c>
      <c r="D1738" s="9" t="s">
        <v>1685</v>
      </c>
      <c r="F1738" s="6">
        <v>90</v>
      </c>
      <c r="G1738" s="6">
        <f t="shared" si="90"/>
        <v>90</v>
      </c>
      <c r="H1738" s="6">
        <v>90</v>
      </c>
      <c r="I1738" s="6">
        <f t="shared" si="91"/>
        <v>0</v>
      </c>
      <c r="J1738" s="7" t="str">
        <f t="shared" si="88"/>
        <v>PAGADO</v>
      </c>
    </row>
    <row r="1739" spans="1:10" x14ac:dyDescent="0.25">
      <c r="A1739">
        <v>2025</v>
      </c>
      <c r="C1739" s="9" t="s">
        <v>1721</v>
      </c>
      <c r="D1739" s="9" t="s">
        <v>1722</v>
      </c>
      <c r="F1739" s="6">
        <v>20</v>
      </c>
      <c r="G1739" s="6">
        <f t="shared" si="90"/>
        <v>20</v>
      </c>
      <c r="H1739" s="6">
        <v>20</v>
      </c>
      <c r="I1739" s="6">
        <f t="shared" si="91"/>
        <v>0</v>
      </c>
      <c r="J1739" s="7" t="str">
        <f t="shared" si="88"/>
        <v>PAGADO</v>
      </c>
    </row>
    <row r="1740" spans="1:10" x14ac:dyDescent="0.25">
      <c r="A1740">
        <v>2025</v>
      </c>
      <c r="C1740" s="9" t="s">
        <v>1723</v>
      </c>
      <c r="D1740" s="9" t="s">
        <v>1501</v>
      </c>
      <c r="F1740" s="6">
        <v>120</v>
      </c>
      <c r="G1740" s="6">
        <f t="shared" si="90"/>
        <v>120</v>
      </c>
      <c r="H1740" s="6">
        <v>120</v>
      </c>
      <c r="I1740" s="6">
        <f t="shared" si="91"/>
        <v>0</v>
      </c>
      <c r="J1740" s="7" t="str">
        <f t="shared" si="88"/>
        <v>PAGADO</v>
      </c>
    </row>
    <row r="1741" spans="1:10" x14ac:dyDescent="0.25">
      <c r="A1741">
        <v>2025</v>
      </c>
      <c r="C1741" s="9" t="s">
        <v>1724</v>
      </c>
      <c r="D1741" t="s">
        <v>1725</v>
      </c>
      <c r="F1741" s="6">
        <v>100</v>
      </c>
      <c r="G1741" s="6">
        <f t="shared" si="90"/>
        <v>100</v>
      </c>
      <c r="H1741" s="6">
        <v>100</v>
      </c>
      <c r="I1741" s="6">
        <f t="shared" si="91"/>
        <v>0</v>
      </c>
      <c r="J1741" s="7" t="str">
        <f t="shared" ref="J1741:J1804" si="92">IF(I1741&gt;0,"DEBE","PAGADO")</f>
        <v>PAGADO</v>
      </c>
    </row>
    <row r="1742" spans="1:10" x14ac:dyDescent="0.25">
      <c r="A1742">
        <v>2025</v>
      </c>
      <c r="C1742" s="9" t="s">
        <v>1726</v>
      </c>
      <c r="D1742" t="s">
        <v>1727</v>
      </c>
      <c r="F1742" s="6">
        <v>60</v>
      </c>
      <c r="G1742" s="6">
        <f t="shared" si="90"/>
        <v>60</v>
      </c>
      <c r="H1742" s="6">
        <v>60</v>
      </c>
      <c r="I1742" s="6">
        <f t="shared" si="91"/>
        <v>0</v>
      </c>
      <c r="J1742" s="7" t="str">
        <f t="shared" si="92"/>
        <v>PAGADO</v>
      </c>
    </row>
    <row r="1743" spans="1:10" x14ac:dyDescent="0.25">
      <c r="A1743">
        <v>2025</v>
      </c>
      <c r="C1743" s="9" t="s">
        <v>1728</v>
      </c>
      <c r="D1743" s="9" t="s">
        <v>1510</v>
      </c>
      <c r="F1743" s="6">
        <v>80</v>
      </c>
      <c r="G1743" s="6">
        <f t="shared" si="90"/>
        <v>80</v>
      </c>
      <c r="H1743" s="6">
        <v>80</v>
      </c>
      <c r="I1743" s="6">
        <f t="shared" si="91"/>
        <v>0</v>
      </c>
      <c r="J1743" s="7" t="str">
        <f t="shared" si="92"/>
        <v>PAGADO</v>
      </c>
    </row>
    <row r="1744" spans="1:10" x14ac:dyDescent="0.25">
      <c r="A1744">
        <v>2025</v>
      </c>
      <c r="C1744" s="9" t="s">
        <v>1729</v>
      </c>
      <c r="D1744" s="9" t="s">
        <v>1510</v>
      </c>
      <c r="F1744" s="6">
        <v>75</v>
      </c>
      <c r="G1744" s="6">
        <f t="shared" si="90"/>
        <v>75</v>
      </c>
      <c r="H1744" s="6">
        <v>75</v>
      </c>
      <c r="I1744" s="6">
        <f t="shared" si="91"/>
        <v>0</v>
      </c>
      <c r="J1744" s="7" t="str">
        <f t="shared" si="92"/>
        <v>PAGADO</v>
      </c>
    </row>
    <row r="1745" spans="1:11" x14ac:dyDescent="0.25">
      <c r="A1745">
        <v>2025</v>
      </c>
      <c r="C1745" s="9" t="s">
        <v>1730</v>
      </c>
      <c r="D1745" s="9" t="s">
        <v>1309</v>
      </c>
      <c r="F1745" s="6">
        <v>59</v>
      </c>
      <c r="G1745" s="6">
        <f t="shared" si="90"/>
        <v>59</v>
      </c>
      <c r="H1745" s="6">
        <v>59</v>
      </c>
      <c r="I1745" s="6">
        <f t="shared" si="91"/>
        <v>0</v>
      </c>
      <c r="J1745" s="7" t="str">
        <f t="shared" si="92"/>
        <v>PAGADO</v>
      </c>
    </row>
    <row r="1746" spans="1:11" x14ac:dyDescent="0.25">
      <c r="A1746">
        <v>2025</v>
      </c>
      <c r="C1746" s="9" t="s">
        <v>1731</v>
      </c>
      <c r="D1746" s="9" t="s">
        <v>1732</v>
      </c>
      <c r="F1746" s="6">
        <v>50</v>
      </c>
      <c r="G1746" s="6">
        <f t="shared" si="90"/>
        <v>50</v>
      </c>
      <c r="H1746" s="6">
        <f>20+30</f>
        <v>50</v>
      </c>
      <c r="I1746" s="6">
        <f t="shared" si="91"/>
        <v>0</v>
      </c>
      <c r="J1746" s="7" t="str">
        <f t="shared" si="92"/>
        <v>PAGADO</v>
      </c>
    </row>
    <row r="1747" spans="1:11" x14ac:dyDescent="0.25">
      <c r="A1747">
        <v>2025</v>
      </c>
      <c r="C1747" s="9" t="s">
        <v>1733</v>
      </c>
      <c r="D1747" s="9" t="s">
        <v>1145</v>
      </c>
      <c r="F1747" s="6">
        <v>35</v>
      </c>
      <c r="G1747" s="6">
        <f t="shared" si="90"/>
        <v>35</v>
      </c>
      <c r="H1747" s="6">
        <v>35</v>
      </c>
      <c r="I1747" s="6">
        <f t="shared" si="91"/>
        <v>0</v>
      </c>
      <c r="J1747" s="7" t="str">
        <f t="shared" si="92"/>
        <v>PAGADO</v>
      </c>
    </row>
    <row r="1748" spans="1:11" x14ac:dyDescent="0.25">
      <c r="A1748">
        <v>2025</v>
      </c>
      <c r="C1748" s="9" t="s">
        <v>1734</v>
      </c>
      <c r="D1748" s="9" t="s">
        <v>1145</v>
      </c>
      <c r="F1748" s="6">
        <v>30</v>
      </c>
      <c r="G1748" s="6">
        <f t="shared" si="90"/>
        <v>30</v>
      </c>
      <c r="H1748" s="6">
        <v>30</v>
      </c>
      <c r="I1748" s="6">
        <f t="shared" si="91"/>
        <v>0</v>
      </c>
      <c r="J1748" s="7" t="str">
        <f t="shared" si="92"/>
        <v>PAGADO</v>
      </c>
    </row>
    <row r="1749" spans="1:11" x14ac:dyDescent="0.25">
      <c r="A1749">
        <v>2025</v>
      </c>
      <c r="C1749" s="9" t="s">
        <v>1735</v>
      </c>
      <c r="D1749" s="9" t="s">
        <v>1736</v>
      </c>
      <c r="F1749" s="6">
        <v>65</v>
      </c>
      <c r="G1749" s="6">
        <f t="shared" si="90"/>
        <v>65</v>
      </c>
      <c r="H1749" s="6">
        <v>65</v>
      </c>
      <c r="I1749" s="6">
        <f t="shared" si="91"/>
        <v>0</v>
      </c>
      <c r="J1749" s="7" t="str">
        <f t="shared" si="92"/>
        <v>PAGADO</v>
      </c>
    </row>
    <row r="1750" spans="1:11" x14ac:dyDescent="0.25">
      <c r="A1750">
        <v>2025</v>
      </c>
      <c r="C1750" s="9" t="s">
        <v>1737</v>
      </c>
      <c r="D1750" s="9" t="s">
        <v>1685</v>
      </c>
      <c r="F1750" s="6">
        <v>65</v>
      </c>
      <c r="G1750" s="6">
        <f t="shared" si="90"/>
        <v>65</v>
      </c>
      <c r="H1750" s="6">
        <v>65</v>
      </c>
      <c r="I1750" s="6">
        <f t="shared" si="91"/>
        <v>0</v>
      </c>
      <c r="J1750" s="7" t="str">
        <f t="shared" si="92"/>
        <v>PAGADO</v>
      </c>
    </row>
    <row r="1751" spans="1:11" x14ac:dyDescent="0.25">
      <c r="A1751">
        <v>2025</v>
      </c>
      <c r="C1751" s="9" t="s">
        <v>1738</v>
      </c>
      <c r="D1751" s="9" t="s">
        <v>1466</v>
      </c>
      <c r="F1751" s="6">
        <v>10</v>
      </c>
      <c r="G1751" s="6">
        <f t="shared" si="90"/>
        <v>10</v>
      </c>
      <c r="H1751" s="6">
        <v>10</v>
      </c>
      <c r="I1751" s="6">
        <f t="shared" si="91"/>
        <v>0</v>
      </c>
      <c r="J1751" s="7" t="str">
        <f t="shared" si="92"/>
        <v>PAGADO</v>
      </c>
    </row>
    <row r="1752" spans="1:11" x14ac:dyDescent="0.25">
      <c r="A1752">
        <v>2025</v>
      </c>
      <c r="C1752" t="s">
        <v>1739</v>
      </c>
      <c r="D1752" s="9" t="s">
        <v>1677</v>
      </c>
      <c r="F1752" s="6">
        <v>50</v>
      </c>
      <c r="G1752" s="6">
        <f t="shared" si="90"/>
        <v>50</v>
      </c>
      <c r="H1752" s="6">
        <v>50</v>
      </c>
      <c r="I1752" s="6">
        <f t="shared" si="91"/>
        <v>0</v>
      </c>
      <c r="J1752" s="7" t="str">
        <f t="shared" si="92"/>
        <v>PAGADO</v>
      </c>
      <c r="K1752" t="s">
        <v>693</v>
      </c>
    </row>
    <row r="1753" spans="1:11" x14ac:dyDescent="0.25">
      <c r="A1753">
        <v>2025</v>
      </c>
      <c r="C1753" t="s">
        <v>1740</v>
      </c>
      <c r="D1753" s="9" t="s">
        <v>1677</v>
      </c>
      <c r="F1753" s="6">
        <v>50</v>
      </c>
      <c r="G1753" s="6">
        <f t="shared" si="90"/>
        <v>50</v>
      </c>
      <c r="H1753" s="6">
        <v>50</v>
      </c>
      <c r="I1753" s="6">
        <f t="shared" si="91"/>
        <v>0</v>
      </c>
      <c r="J1753" s="7" t="str">
        <f t="shared" si="92"/>
        <v>PAGADO</v>
      </c>
      <c r="K1753" t="s">
        <v>693</v>
      </c>
    </row>
    <row r="1754" spans="1:11" x14ac:dyDescent="0.25">
      <c r="A1754">
        <v>2025</v>
      </c>
      <c r="C1754" s="9" t="s">
        <v>1741</v>
      </c>
      <c r="D1754" s="9" t="s">
        <v>1677</v>
      </c>
      <c r="F1754" s="6">
        <v>70</v>
      </c>
      <c r="G1754" s="6">
        <f t="shared" si="90"/>
        <v>70</v>
      </c>
      <c r="H1754" s="6">
        <v>70</v>
      </c>
      <c r="I1754" s="6">
        <f t="shared" si="91"/>
        <v>0</v>
      </c>
      <c r="J1754" s="7" t="str">
        <f t="shared" si="92"/>
        <v>PAGADO</v>
      </c>
      <c r="K1754" t="s">
        <v>693</v>
      </c>
    </row>
    <row r="1755" spans="1:11" x14ac:dyDescent="0.25">
      <c r="A1755">
        <v>2025</v>
      </c>
      <c r="C1755" t="s">
        <v>1742</v>
      </c>
      <c r="D1755" s="9" t="s">
        <v>1677</v>
      </c>
      <c r="F1755" s="6">
        <v>130</v>
      </c>
      <c r="G1755" s="6">
        <f t="shared" si="90"/>
        <v>130</v>
      </c>
      <c r="H1755" s="6">
        <v>130</v>
      </c>
      <c r="I1755" s="6">
        <f t="shared" si="91"/>
        <v>0</v>
      </c>
      <c r="J1755" s="7" t="str">
        <f t="shared" si="92"/>
        <v>PAGADO</v>
      </c>
      <c r="K1755" t="s">
        <v>693</v>
      </c>
    </row>
    <row r="1756" spans="1:11" x14ac:dyDescent="0.25">
      <c r="A1756">
        <v>2025</v>
      </c>
      <c r="C1756" t="s">
        <v>1743</v>
      </c>
      <c r="D1756" s="9" t="s">
        <v>1425</v>
      </c>
      <c r="F1756" s="6">
        <v>340</v>
      </c>
      <c r="G1756" s="6">
        <f t="shared" si="90"/>
        <v>340</v>
      </c>
      <c r="H1756" s="6">
        <v>340</v>
      </c>
      <c r="I1756" s="26">
        <f t="shared" si="91"/>
        <v>0</v>
      </c>
      <c r="J1756" s="7" t="str">
        <f t="shared" si="92"/>
        <v>PAGADO</v>
      </c>
    </row>
    <row r="1757" spans="1:11" x14ac:dyDescent="0.25">
      <c r="A1757">
        <v>2025</v>
      </c>
      <c r="C1757" t="s">
        <v>1744</v>
      </c>
      <c r="D1757" s="9" t="s">
        <v>18</v>
      </c>
      <c r="F1757" s="6">
        <v>5</v>
      </c>
      <c r="G1757" s="6">
        <f t="shared" si="90"/>
        <v>5</v>
      </c>
      <c r="H1757" s="6">
        <v>5</v>
      </c>
      <c r="I1757" s="6">
        <f t="shared" si="91"/>
        <v>0</v>
      </c>
      <c r="J1757" s="7" t="str">
        <f t="shared" si="92"/>
        <v>PAGADO</v>
      </c>
    </row>
    <row r="1758" spans="1:11" x14ac:dyDescent="0.25">
      <c r="A1758">
        <v>2025</v>
      </c>
      <c r="C1758" s="9" t="s">
        <v>1745</v>
      </c>
      <c r="D1758" s="9" t="s">
        <v>1451</v>
      </c>
      <c r="F1758" s="6">
        <v>170</v>
      </c>
      <c r="G1758" s="6">
        <f t="shared" si="90"/>
        <v>170</v>
      </c>
      <c r="H1758" s="6">
        <v>170</v>
      </c>
      <c r="I1758" s="6">
        <f t="shared" si="91"/>
        <v>0</v>
      </c>
      <c r="J1758" s="7" t="str">
        <f t="shared" si="92"/>
        <v>PAGADO</v>
      </c>
    </row>
    <row r="1759" spans="1:11" x14ac:dyDescent="0.25">
      <c r="A1759">
        <v>2025</v>
      </c>
      <c r="C1759" s="9" t="s">
        <v>1746</v>
      </c>
      <c r="D1759" s="9" t="s">
        <v>16</v>
      </c>
      <c r="F1759" s="6">
        <v>30</v>
      </c>
      <c r="G1759" s="6">
        <f t="shared" ref="G1759:G1822" si="93">F1759-E1759</f>
        <v>30</v>
      </c>
      <c r="H1759" s="6">
        <v>30</v>
      </c>
      <c r="I1759" s="6">
        <f t="shared" si="91"/>
        <v>0</v>
      </c>
      <c r="J1759" s="7" t="str">
        <f t="shared" si="92"/>
        <v>PAGADO</v>
      </c>
    </row>
    <row r="1760" spans="1:11" x14ac:dyDescent="0.25">
      <c r="A1760">
        <v>2025</v>
      </c>
      <c r="C1760" s="9" t="s">
        <v>1747</v>
      </c>
      <c r="D1760" s="9" t="s">
        <v>1360</v>
      </c>
      <c r="F1760" s="6">
        <v>80</v>
      </c>
      <c r="G1760" s="6">
        <f t="shared" si="93"/>
        <v>80</v>
      </c>
      <c r="H1760" s="6">
        <v>80</v>
      </c>
      <c r="I1760" s="6">
        <f t="shared" si="91"/>
        <v>0</v>
      </c>
      <c r="J1760" s="7" t="str">
        <f t="shared" si="92"/>
        <v>PAGADO</v>
      </c>
    </row>
    <row r="1761" spans="1:11" x14ac:dyDescent="0.25">
      <c r="A1761">
        <v>2025</v>
      </c>
      <c r="C1761" s="9" t="s">
        <v>1748</v>
      </c>
      <c r="D1761" s="9" t="s">
        <v>202</v>
      </c>
      <c r="F1761" s="6">
        <v>95</v>
      </c>
      <c r="G1761" s="6">
        <f t="shared" si="93"/>
        <v>95</v>
      </c>
      <c r="H1761" s="6">
        <v>95</v>
      </c>
      <c r="I1761" s="6">
        <f t="shared" si="91"/>
        <v>0</v>
      </c>
      <c r="J1761" s="7" t="str">
        <f t="shared" si="92"/>
        <v>PAGADO</v>
      </c>
    </row>
    <row r="1762" spans="1:11" x14ac:dyDescent="0.25">
      <c r="A1762">
        <v>2025</v>
      </c>
      <c r="C1762" s="9" t="s">
        <v>1749</v>
      </c>
      <c r="D1762" s="9" t="s">
        <v>202</v>
      </c>
      <c r="F1762" s="6">
        <v>20</v>
      </c>
      <c r="G1762" s="6">
        <f t="shared" si="93"/>
        <v>20</v>
      </c>
      <c r="H1762" s="6">
        <v>20</v>
      </c>
      <c r="I1762" s="6">
        <f t="shared" si="91"/>
        <v>0</v>
      </c>
      <c r="J1762" s="7" t="str">
        <f t="shared" si="92"/>
        <v>PAGADO</v>
      </c>
    </row>
    <row r="1763" spans="1:11" x14ac:dyDescent="0.25">
      <c r="A1763">
        <v>2025</v>
      </c>
      <c r="C1763" s="9" t="s">
        <v>1393</v>
      </c>
      <c r="D1763" s="9" t="s">
        <v>488</v>
      </c>
      <c r="F1763" s="6">
        <v>210</v>
      </c>
      <c r="G1763" s="6">
        <f t="shared" si="93"/>
        <v>210</v>
      </c>
      <c r="H1763" s="6">
        <v>210</v>
      </c>
      <c r="I1763" s="6">
        <f t="shared" ref="I1763:I1826" si="94">F1763-H1763</f>
        <v>0</v>
      </c>
      <c r="J1763" s="7" t="str">
        <f t="shared" si="92"/>
        <v>PAGADO</v>
      </c>
    </row>
    <row r="1764" spans="1:11" x14ac:dyDescent="0.25">
      <c r="A1764">
        <v>2025</v>
      </c>
      <c r="C1764" s="9" t="s">
        <v>1750</v>
      </c>
      <c r="D1764" s="9" t="s">
        <v>488</v>
      </c>
      <c r="F1764" s="6">
        <v>15</v>
      </c>
      <c r="G1764" s="6">
        <f t="shared" si="93"/>
        <v>15</v>
      </c>
      <c r="H1764" s="6">
        <v>15</v>
      </c>
      <c r="I1764" s="6">
        <f t="shared" si="94"/>
        <v>0</v>
      </c>
      <c r="J1764" s="7" t="str">
        <f t="shared" si="92"/>
        <v>PAGADO</v>
      </c>
    </row>
    <row r="1765" spans="1:11" x14ac:dyDescent="0.25">
      <c r="A1765">
        <v>2025</v>
      </c>
      <c r="C1765" s="9" t="s">
        <v>1751</v>
      </c>
      <c r="D1765" s="9" t="s">
        <v>1752</v>
      </c>
      <c r="F1765" s="6">
        <v>420</v>
      </c>
      <c r="G1765" s="6">
        <f t="shared" si="93"/>
        <v>420</v>
      </c>
      <c r="H1765" s="6">
        <v>420</v>
      </c>
      <c r="I1765" s="6">
        <f t="shared" si="94"/>
        <v>0</v>
      </c>
      <c r="J1765" s="7" t="str">
        <f t="shared" si="92"/>
        <v>PAGADO</v>
      </c>
    </row>
    <row r="1766" spans="1:11" x14ac:dyDescent="0.25">
      <c r="A1766">
        <v>2025</v>
      </c>
      <c r="C1766" s="9" t="s">
        <v>1753</v>
      </c>
      <c r="D1766" s="9" t="s">
        <v>1752</v>
      </c>
      <c r="F1766" s="6">
        <v>60</v>
      </c>
      <c r="G1766" s="6">
        <f t="shared" si="93"/>
        <v>60</v>
      </c>
      <c r="H1766" s="6">
        <v>60</v>
      </c>
      <c r="I1766" s="6">
        <f t="shared" si="94"/>
        <v>0</v>
      </c>
      <c r="J1766" s="7" t="str">
        <f t="shared" si="92"/>
        <v>PAGADO</v>
      </c>
    </row>
    <row r="1767" spans="1:11" x14ac:dyDescent="0.25">
      <c r="A1767">
        <v>2025</v>
      </c>
      <c r="C1767" s="9" t="s">
        <v>1754</v>
      </c>
      <c r="D1767" s="9" t="s">
        <v>1752</v>
      </c>
      <c r="F1767" s="6">
        <v>90</v>
      </c>
      <c r="G1767" s="6">
        <f t="shared" si="93"/>
        <v>90</v>
      </c>
      <c r="H1767" s="6">
        <v>90</v>
      </c>
      <c r="I1767" s="6">
        <f t="shared" si="94"/>
        <v>0</v>
      </c>
      <c r="J1767" s="7" t="str">
        <f t="shared" si="92"/>
        <v>PAGADO</v>
      </c>
    </row>
    <row r="1768" spans="1:11" x14ac:dyDescent="0.25">
      <c r="A1768">
        <v>2025</v>
      </c>
      <c r="C1768" s="9" t="s">
        <v>738</v>
      </c>
      <c r="D1768" s="9" t="s">
        <v>1752</v>
      </c>
      <c r="F1768" s="6">
        <v>60</v>
      </c>
      <c r="G1768" s="6">
        <f t="shared" si="93"/>
        <v>60</v>
      </c>
      <c r="H1768" s="6">
        <v>60</v>
      </c>
      <c r="I1768" s="6">
        <f t="shared" si="94"/>
        <v>0</v>
      </c>
      <c r="J1768" s="7" t="str">
        <f t="shared" si="92"/>
        <v>PAGADO</v>
      </c>
    </row>
    <row r="1769" spans="1:11" x14ac:dyDescent="0.25">
      <c r="A1769">
        <v>2025</v>
      </c>
      <c r="C1769" s="9" t="s">
        <v>1755</v>
      </c>
      <c r="D1769" s="9" t="s">
        <v>1752</v>
      </c>
      <c r="F1769" s="6">
        <v>60</v>
      </c>
      <c r="G1769" s="6">
        <f t="shared" si="93"/>
        <v>60</v>
      </c>
      <c r="H1769" s="6">
        <v>60</v>
      </c>
      <c r="I1769" s="6">
        <f t="shared" si="94"/>
        <v>0</v>
      </c>
      <c r="J1769" s="7" t="str">
        <f t="shared" si="92"/>
        <v>PAGADO</v>
      </c>
    </row>
    <row r="1770" spans="1:11" x14ac:dyDescent="0.25">
      <c r="A1770">
        <v>2025</v>
      </c>
      <c r="C1770" s="9" t="s">
        <v>1756</v>
      </c>
      <c r="D1770" s="9" t="s">
        <v>1752</v>
      </c>
      <c r="F1770" s="6">
        <v>100</v>
      </c>
      <c r="G1770" s="6">
        <f t="shared" si="93"/>
        <v>100</v>
      </c>
      <c r="H1770" s="6">
        <v>100</v>
      </c>
      <c r="I1770" s="6">
        <f t="shared" si="94"/>
        <v>0</v>
      </c>
      <c r="J1770" s="7" t="str">
        <f t="shared" si="92"/>
        <v>PAGADO</v>
      </c>
    </row>
    <row r="1771" spans="1:11" x14ac:dyDescent="0.25">
      <c r="A1771">
        <v>2025</v>
      </c>
      <c r="C1771" s="9" t="s">
        <v>1757</v>
      </c>
      <c r="D1771" s="9" t="s">
        <v>1752</v>
      </c>
      <c r="F1771" s="6">
        <v>70</v>
      </c>
      <c r="G1771" s="6">
        <f t="shared" si="93"/>
        <v>70</v>
      </c>
      <c r="H1771" s="6">
        <v>70</v>
      </c>
      <c r="I1771" s="6">
        <f t="shared" si="94"/>
        <v>0</v>
      </c>
      <c r="J1771" s="7" t="str">
        <f t="shared" si="92"/>
        <v>PAGADO</v>
      </c>
    </row>
    <row r="1772" spans="1:11" x14ac:dyDescent="0.25">
      <c r="A1772">
        <v>2025</v>
      </c>
      <c r="C1772" s="9" t="s">
        <v>1601</v>
      </c>
      <c r="D1772" s="9" t="s">
        <v>1752</v>
      </c>
      <c r="F1772" s="6">
        <v>80</v>
      </c>
      <c r="G1772" s="6">
        <f t="shared" si="93"/>
        <v>80</v>
      </c>
      <c r="H1772" s="6">
        <v>80</v>
      </c>
      <c r="I1772" s="6">
        <f t="shared" si="94"/>
        <v>0</v>
      </c>
      <c r="J1772" s="7" t="str">
        <f t="shared" si="92"/>
        <v>PAGADO</v>
      </c>
    </row>
    <row r="1773" spans="1:11" x14ac:dyDescent="0.25">
      <c r="A1773">
        <v>2025</v>
      </c>
      <c r="C1773" s="9" t="s">
        <v>1758</v>
      </c>
      <c r="D1773" s="9" t="s">
        <v>1425</v>
      </c>
      <c r="F1773" s="6">
        <f>225*2</f>
        <v>450</v>
      </c>
      <c r="G1773" s="6">
        <f t="shared" si="93"/>
        <v>450</v>
      </c>
      <c r="H1773" s="6">
        <v>450</v>
      </c>
      <c r="I1773" s="26">
        <f t="shared" si="94"/>
        <v>0</v>
      </c>
      <c r="J1773" s="7" t="str">
        <f t="shared" si="92"/>
        <v>PAGADO</v>
      </c>
    </row>
    <row r="1774" spans="1:11" x14ac:dyDescent="0.25">
      <c r="A1774">
        <v>2025</v>
      </c>
      <c r="C1774" s="9" t="s">
        <v>1759</v>
      </c>
      <c r="D1774" s="9" t="s">
        <v>1290</v>
      </c>
      <c r="F1774" s="6">
        <v>130</v>
      </c>
      <c r="G1774" s="6">
        <f t="shared" si="93"/>
        <v>130</v>
      </c>
      <c r="H1774" s="6">
        <v>130</v>
      </c>
      <c r="I1774" s="6">
        <f t="shared" si="94"/>
        <v>0</v>
      </c>
      <c r="J1774" s="7" t="str">
        <f t="shared" si="92"/>
        <v>PAGADO</v>
      </c>
      <c r="K1774" s="9" t="s">
        <v>1760</v>
      </c>
    </row>
    <row r="1775" spans="1:11" x14ac:dyDescent="0.25">
      <c r="A1775">
        <v>2025</v>
      </c>
      <c r="C1775" s="9" t="s">
        <v>1759</v>
      </c>
      <c r="D1775" s="9" t="s">
        <v>1290</v>
      </c>
      <c r="F1775" s="6">
        <v>130</v>
      </c>
      <c r="G1775" s="6">
        <f t="shared" si="93"/>
        <v>130</v>
      </c>
      <c r="H1775" s="6">
        <v>130</v>
      </c>
      <c r="I1775" s="6">
        <f t="shared" si="94"/>
        <v>0</v>
      </c>
      <c r="J1775" s="7" t="str">
        <f t="shared" si="92"/>
        <v>PAGADO</v>
      </c>
      <c r="K1775" s="9" t="s">
        <v>1760</v>
      </c>
    </row>
    <row r="1776" spans="1:11" x14ac:dyDescent="0.25">
      <c r="A1776">
        <v>2025</v>
      </c>
      <c r="C1776" s="9" t="s">
        <v>1761</v>
      </c>
      <c r="D1776" s="9" t="s">
        <v>1562</v>
      </c>
      <c r="F1776" s="6">
        <v>135</v>
      </c>
      <c r="G1776" s="6">
        <f t="shared" si="93"/>
        <v>135</v>
      </c>
      <c r="H1776" s="6">
        <f>97.5+37.5</f>
        <v>135</v>
      </c>
      <c r="I1776" s="6">
        <f t="shared" si="94"/>
        <v>0</v>
      </c>
      <c r="J1776" s="7" t="str">
        <f t="shared" si="92"/>
        <v>PAGADO</v>
      </c>
      <c r="K1776" s="9"/>
    </row>
    <row r="1777" spans="1:11" x14ac:dyDescent="0.25">
      <c r="A1777">
        <v>2025</v>
      </c>
      <c r="C1777" s="9" t="s">
        <v>1761</v>
      </c>
      <c r="D1777" s="9" t="s">
        <v>1309</v>
      </c>
      <c r="F1777" s="6">
        <v>135</v>
      </c>
      <c r="G1777" s="6">
        <f t="shared" si="93"/>
        <v>135</v>
      </c>
      <c r="H1777" s="24">
        <f>90+45</f>
        <v>135</v>
      </c>
      <c r="I1777" s="6">
        <f t="shared" si="94"/>
        <v>0</v>
      </c>
      <c r="J1777" s="7" t="str">
        <f t="shared" si="92"/>
        <v>PAGADO</v>
      </c>
      <c r="K1777" s="9"/>
    </row>
    <row r="1778" spans="1:11" x14ac:dyDescent="0.25">
      <c r="A1778">
        <v>2025</v>
      </c>
      <c r="C1778" s="9" t="s">
        <v>1762</v>
      </c>
      <c r="D1778" s="9" t="s">
        <v>1548</v>
      </c>
      <c r="F1778" s="6">
        <v>55</v>
      </c>
      <c r="G1778" s="6">
        <f t="shared" si="93"/>
        <v>55</v>
      </c>
      <c r="H1778" s="6">
        <f>50+5</f>
        <v>55</v>
      </c>
      <c r="I1778" s="6">
        <f t="shared" si="94"/>
        <v>0</v>
      </c>
      <c r="J1778" s="7" t="str">
        <f t="shared" si="92"/>
        <v>PAGADO</v>
      </c>
    </row>
    <row r="1779" spans="1:11" x14ac:dyDescent="0.25">
      <c r="A1779">
        <v>2025</v>
      </c>
      <c r="C1779" s="9" t="s">
        <v>1763</v>
      </c>
      <c r="D1779" s="9" t="s">
        <v>1548</v>
      </c>
      <c r="F1779" s="6">
        <v>25</v>
      </c>
      <c r="G1779" s="6">
        <f t="shared" si="93"/>
        <v>25</v>
      </c>
      <c r="H1779" s="6">
        <v>25</v>
      </c>
      <c r="I1779" s="6">
        <f t="shared" si="94"/>
        <v>0</v>
      </c>
      <c r="J1779" s="7" t="str">
        <f t="shared" si="92"/>
        <v>PAGADO</v>
      </c>
    </row>
    <row r="1780" spans="1:11" x14ac:dyDescent="0.25">
      <c r="A1780">
        <v>2025</v>
      </c>
      <c r="C1780" s="9" t="s">
        <v>1764</v>
      </c>
      <c r="D1780" s="9" t="s">
        <v>67</v>
      </c>
      <c r="F1780" s="6">
        <v>25</v>
      </c>
      <c r="G1780" s="6">
        <f t="shared" si="93"/>
        <v>25</v>
      </c>
      <c r="H1780" s="6">
        <f>5+20</f>
        <v>25</v>
      </c>
      <c r="I1780" s="26">
        <f t="shared" si="94"/>
        <v>0</v>
      </c>
      <c r="J1780" s="7" t="str">
        <f t="shared" si="92"/>
        <v>PAGADO</v>
      </c>
    </row>
    <row r="1781" spans="1:11" x14ac:dyDescent="0.25">
      <c r="A1781">
        <v>2025</v>
      </c>
      <c r="C1781" s="9" t="s">
        <v>1765</v>
      </c>
      <c r="D1781" s="9" t="s">
        <v>1309</v>
      </c>
      <c r="F1781" s="6">
        <v>60</v>
      </c>
      <c r="G1781" s="6">
        <f t="shared" si="93"/>
        <v>60</v>
      </c>
      <c r="H1781" s="6">
        <v>60</v>
      </c>
      <c r="I1781" s="6">
        <f t="shared" si="94"/>
        <v>0</v>
      </c>
      <c r="J1781" s="7" t="str">
        <f t="shared" si="92"/>
        <v>PAGADO</v>
      </c>
    </row>
    <row r="1782" spans="1:11" x14ac:dyDescent="0.25">
      <c r="A1782">
        <v>2025</v>
      </c>
      <c r="C1782" s="9" t="s">
        <v>894</v>
      </c>
      <c r="D1782" s="9" t="s">
        <v>816</v>
      </c>
      <c r="F1782" s="6">
        <v>60</v>
      </c>
      <c r="G1782" s="6">
        <f t="shared" si="93"/>
        <v>60</v>
      </c>
      <c r="H1782" s="6">
        <v>60</v>
      </c>
      <c r="I1782" s="26">
        <f t="shared" si="94"/>
        <v>0</v>
      </c>
      <c r="J1782" s="7" t="str">
        <f t="shared" si="92"/>
        <v>PAGADO</v>
      </c>
    </row>
    <row r="1783" spans="1:11" x14ac:dyDescent="0.25">
      <c r="A1783">
        <v>2025</v>
      </c>
      <c r="C1783" s="9" t="s">
        <v>1766</v>
      </c>
      <c r="D1783" s="9" t="s">
        <v>1504</v>
      </c>
      <c r="F1783" s="6">
        <v>40</v>
      </c>
      <c r="G1783" s="6">
        <f t="shared" si="93"/>
        <v>40</v>
      </c>
      <c r="H1783" s="24">
        <v>40</v>
      </c>
      <c r="I1783" s="6">
        <f t="shared" si="94"/>
        <v>0</v>
      </c>
      <c r="J1783" s="7" t="str">
        <f t="shared" si="92"/>
        <v>PAGADO</v>
      </c>
      <c r="K1783" t="s">
        <v>693</v>
      </c>
    </row>
    <row r="1784" spans="1:11" x14ac:dyDescent="0.25">
      <c r="A1784">
        <v>2025</v>
      </c>
      <c r="C1784" s="9" t="s">
        <v>1767</v>
      </c>
      <c r="D1784" s="9" t="s">
        <v>74</v>
      </c>
      <c r="F1784" s="6">
        <v>150</v>
      </c>
      <c r="G1784" s="6">
        <f t="shared" si="93"/>
        <v>150</v>
      </c>
      <c r="H1784" s="6">
        <v>150</v>
      </c>
      <c r="I1784" s="24">
        <f t="shared" si="94"/>
        <v>0</v>
      </c>
      <c r="J1784" s="7" t="str">
        <f t="shared" si="92"/>
        <v>PAGADO</v>
      </c>
    </row>
    <row r="1785" spans="1:11" x14ac:dyDescent="0.25">
      <c r="A1785">
        <v>2025</v>
      </c>
      <c r="C1785" s="9" t="s">
        <v>1768</v>
      </c>
      <c r="D1785" s="9" t="s">
        <v>74</v>
      </c>
      <c r="F1785" s="6">
        <v>50</v>
      </c>
      <c r="G1785" s="6">
        <f t="shared" si="93"/>
        <v>50</v>
      </c>
      <c r="H1785" s="6">
        <v>50</v>
      </c>
      <c r="I1785" s="24">
        <f t="shared" si="94"/>
        <v>0</v>
      </c>
      <c r="J1785" s="7" t="str">
        <f t="shared" si="92"/>
        <v>PAGADO</v>
      </c>
    </row>
    <row r="1786" spans="1:11" x14ac:dyDescent="0.25">
      <c r="A1786">
        <v>2025</v>
      </c>
      <c r="C1786" s="9" t="s">
        <v>1769</v>
      </c>
      <c r="D1786" s="9" t="s">
        <v>74</v>
      </c>
      <c r="F1786" s="6">
        <v>10</v>
      </c>
      <c r="G1786" s="6">
        <f t="shared" si="93"/>
        <v>10</v>
      </c>
      <c r="H1786" s="6">
        <v>10</v>
      </c>
      <c r="I1786" s="24">
        <f t="shared" si="94"/>
        <v>0</v>
      </c>
      <c r="J1786" s="7" t="str">
        <f t="shared" si="92"/>
        <v>PAGADO</v>
      </c>
    </row>
    <row r="1787" spans="1:11" x14ac:dyDescent="0.25">
      <c r="A1787">
        <v>2025</v>
      </c>
      <c r="C1787" s="9" t="s">
        <v>1770</v>
      </c>
      <c r="D1787" s="9" t="s">
        <v>1476</v>
      </c>
      <c r="F1787" s="6">
        <v>170</v>
      </c>
      <c r="G1787" s="6">
        <f t="shared" si="93"/>
        <v>170</v>
      </c>
      <c r="H1787" s="6">
        <f>20+150</f>
        <v>170</v>
      </c>
      <c r="I1787" s="6">
        <f t="shared" si="94"/>
        <v>0</v>
      </c>
      <c r="J1787" s="7" t="str">
        <f t="shared" si="92"/>
        <v>PAGADO</v>
      </c>
    </row>
    <row r="1788" spans="1:11" x14ac:dyDescent="0.25">
      <c r="A1788">
        <v>2025</v>
      </c>
      <c r="C1788" s="9" t="s">
        <v>1771</v>
      </c>
      <c r="D1788" s="9" t="s">
        <v>1476</v>
      </c>
      <c r="F1788" s="6">
        <v>150</v>
      </c>
      <c r="G1788" s="6">
        <f t="shared" si="93"/>
        <v>150</v>
      </c>
      <c r="H1788" s="6">
        <f>125+25</f>
        <v>150</v>
      </c>
      <c r="I1788" s="6">
        <f t="shared" si="94"/>
        <v>0</v>
      </c>
      <c r="J1788" s="7" t="str">
        <f t="shared" si="92"/>
        <v>PAGADO</v>
      </c>
    </row>
    <row r="1789" spans="1:11" x14ac:dyDescent="0.25">
      <c r="A1789">
        <v>2025</v>
      </c>
      <c r="C1789" s="9" t="s">
        <v>1772</v>
      </c>
      <c r="D1789" s="9" t="s">
        <v>1451</v>
      </c>
      <c r="F1789" s="6">
        <v>170</v>
      </c>
      <c r="G1789" s="6">
        <f t="shared" si="93"/>
        <v>170</v>
      </c>
      <c r="H1789" s="6">
        <v>170</v>
      </c>
      <c r="I1789" s="6">
        <f t="shared" si="94"/>
        <v>0</v>
      </c>
      <c r="J1789" s="7" t="str">
        <f t="shared" si="92"/>
        <v>PAGADO</v>
      </c>
    </row>
    <row r="1790" spans="1:11" x14ac:dyDescent="0.25">
      <c r="A1790">
        <v>2025</v>
      </c>
      <c r="C1790" s="9" t="s">
        <v>1773</v>
      </c>
      <c r="D1790" s="9" t="s">
        <v>1562</v>
      </c>
      <c r="F1790" s="6">
        <v>140</v>
      </c>
      <c r="G1790" s="6">
        <f t="shared" si="93"/>
        <v>140</v>
      </c>
      <c r="H1790" s="6">
        <f>70+70</f>
        <v>140</v>
      </c>
      <c r="I1790" s="6">
        <f t="shared" si="94"/>
        <v>0</v>
      </c>
      <c r="J1790" s="7" t="str">
        <f t="shared" si="92"/>
        <v>PAGADO</v>
      </c>
    </row>
    <row r="1791" spans="1:11" x14ac:dyDescent="0.25">
      <c r="A1791">
        <v>2025</v>
      </c>
      <c r="C1791" s="9" t="s">
        <v>851</v>
      </c>
      <c r="D1791" s="9" t="s">
        <v>33</v>
      </c>
      <c r="F1791" s="6">
        <v>100</v>
      </c>
      <c r="G1791" s="6">
        <f t="shared" si="93"/>
        <v>100</v>
      </c>
      <c r="H1791" s="6">
        <v>100</v>
      </c>
      <c r="I1791" s="47">
        <f t="shared" si="94"/>
        <v>0</v>
      </c>
      <c r="J1791" s="7" t="str">
        <f t="shared" si="92"/>
        <v>PAGADO</v>
      </c>
    </row>
    <row r="1792" spans="1:11" x14ac:dyDescent="0.25">
      <c r="A1792">
        <v>2025</v>
      </c>
      <c r="C1792" s="9" t="s">
        <v>1774</v>
      </c>
      <c r="D1792" s="9" t="s">
        <v>1677</v>
      </c>
      <c r="F1792" s="6">
        <v>70</v>
      </c>
      <c r="G1792" s="6">
        <f t="shared" si="93"/>
        <v>70</v>
      </c>
      <c r="H1792" s="6">
        <v>70</v>
      </c>
      <c r="I1792" s="6">
        <f t="shared" si="94"/>
        <v>0</v>
      </c>
      <c r="J1792" s="7" t="str">
        <f t="shared" si="92"/>
        <v>PAGADO</v>
      </c>
      <c r="K1792" t="s">
        <v>693</v>
      </c>
    </row>
    <row r="1793" spans="1:11" x14ac:dyDescent="0.25">
      <c r="A1793">
        <v>2025</v>
      </c>
      <c r="C1793" s="9" t="s">
        <v>1775</v>
      </c>
      <c r="D1793" s="9" t="s">
        <v>1677</v>
      </c>
      <c r="F1793" s="6">
        <v>70</v>
      </c>
      <c r="G1793" s="6">
        <f t="shared" si="93"/>
        <v>70</v>
      </c>
      <c r="H1793" s="6">
        <v>70</v>
      </c>
      <c r="I1793" s="6">
        <f t="shared" si="94"/>
        <v>0</v>
      </c>
      <c r="J1793" s="7" t="str">
        <f t="shared" si="92"/>
        <v>PAGADO</v>
      </c>
      <c r="K1793" t="s">
        <v>693</v>
      </c>
    </row>
    <row r="1794" spans="1:11" x14ac:dyDescent="0.25">
      <c r="A1794">
        <v>2025</v>
      </c>
      <c r="C1794" s="9" t="s">
        <v>1776</v>
      </c>
      <c r="D1794" s="9" t="s">
        <v>1677</v>
      </c>
      <c r="F1794" s="6">
        <v>60</v>
      </c>
      <c r="G1794" s="6">
        <f t="shared" si="93"/>
        <v>60</v>
      </c>
      <c r="H1794" s="6">
        <v>60</v>
      </c>
      <c r="I1794" s="6">
        <f t="shared" si="94"/>
        <v>0</v>
      </c>
      <c r="J1794" s="7" t="str">
        <f t="shared" si="92"/>
        <v>PAGADO</v>
      </c>
      <c r="K1794" t="s">
        <v>693</v>
      </c>
    </row>
    <row r="1795" spans="1:11" x14ac:dyDescent="0.25">
      <c r="A1795">
        <v>2025</v>
      </c>
      <c r="C1795" s="9" t="s">
        <v>1777</v>
      </c>
      <c r="D1795" s="9" t="s">
        <v>1677</v>
      </c>
      <c r="F1795" s="6">
        <v>75</v>
      </c>
      <c r="G1795" s="6">
        <f t="shared" si="93"/>
        <v>75</v>
      </c>
      <c r="H1795" s="6">
        <v>75</v>
      </c>
      <c r="I1795" s="6">
        <f t="shared" si="94"/>
        <v>0</v>
      </c>
      <c r="J1795" s="7" t="str">
        <f t="shared" si="92"/>
        <v>PAGADO</v>
      </c>
      <c r="K1795" t="s">
        <v>693</v>
      </c>
    </row>
    <row r="1796" spans="1:11" x14ac:dyDescent="0.25">
      <c r="A1796">
        <v>2025</v>
      </c>
      <c r="C1796" s="9" t="s">
        <v>1778</v>
      </c>
      <c r="D1796" s="9" t="s">
        <v>1677</v>
      </c>
      <c r="F1796" s="6">
        <v>65</v>
      </c>
      <c r="G1796" s="6">
        <f t="shared" si="93"/>
        <v>65</v>
      </c>
      <c r="H1796" s="6">
        <v>65</v>
      </c>
      <c r="I1796" s="6">
        <f t="shared" si="94"/>
        <v>0</v>
      </c>
      <c r="J1796" s="7" t="str">
        <f t="shared" si="92"/>
        <v>PAGADO</v>
      </c>
      <c r="K1796" t="s">
        <v>693</v>
      </c>
    </row>
    <row r="1797" spans="1:11" x14ac:dyDescent="0.25">
      <c r="A1797">
        <v>2025</v>
      </c>
      <c r="C1797" s="9" t="s">
        <v>1779</v>
      </c>
      <c r="D1797" s="9" t="s">
        <v>705</v>
      </c>
      <c r="F1797" s="6">
        <v>30</v>
      </c>
      <c r="G1797" s="6">
        <f t="shared" si="93"/>
        <v>30</v>
      </c>
      <c r="H1797" s="6">
        <v>30</v>
      </c>
      <c r="I1797" s="6">
        <f t="shared" si="94"/>
        <v>0</v>
      </c>
      <c r="J1797" s="7" t="str">
        <f t="shared" si="92"/>
        <v>PAGADO</v>
      </c>
      <c r="K1797" s="9"/>
    </row>
    <row r="1798" spans="1:11" x14ac:dyDescent="0.25">
      <c r="A1798">
        <v>2025</v>
      </c>
      <c r="C1798" s="9" t="s">
        <v>1780</v>
      </c>
      <c r="D1798" s="9" t="s">
        <v>33</v>
      </c>
      <c r="F1798" s="6">
        <v>220</v>
      </c>
      <c r="G1798" s="6">
        <f t="shared" si="93"/>
        <v>220</v>
      </c>
      <c r="H1798" s="6">
        <v>220</v>
      </c>
      <c r="I1798" s="47">
        <f t="shared" si="94"/>
        <v>0</v>
      </c>
      <c r="J1798" s="7" t="str">
        <f t="shared" si="92"/>
        <v>PAGADO</v>
      </c>
    </row>
    <row r="1799" spans="1:11" x14ac:dyDescent="0.25">
      <c r="A1799">
        <v>2025</v>
      </c>
      <c r="C1799" s="9" t="s">
        <v>1781</v>
      </c>
      <c r="D1799" s="9" t="s">
        <v>1736</v>
      </c>
      <c r="F1799" s="6">
        <v>50</v>
      </c>
      <c r="G1799" s="6">
        <f t="shared" si="93"/>
        <v>50</v>
      </c>
      <c r="H1799" s="6">
        <v>50</v>
      </c>
      <c r="I1799" s="6">
        <f t="shared" si="94"/>
        <v>0</v>
      </c>
      <c r="J1799" s="7" t="str">
        <f t="shared" si="92"/>
        <v>PAGADO</v>
      </c>
      <c r="K1799" s="9"/>
    </row>
    <row r="1800" spans="1:11" x14ac:dyDescent="0.25">
      <c r="A1800">
        <v>2025</v>
      </c>
      <c r="C1800" s="9" t="s">
        <v>1782</v>
      </c>
      <c r="D1800" s="9" t="s">
        <v>1677</v>
      </c>
      <c r="F1800" s="6">
        <v>75</v>
      </c>
      <c r="G1800" s="6">
        <f t="shared" si="93"/>
        <v>75</v>
      </c>
      <c r="H1800" s="6">
        <v>75</v>
      </c>
      <c r="I1800" s="6">
        <f t="shared" si="94"/>
        <v>0</v>
      </c>
      <c r="J1800" s="7" t="str">
        <f t="shared" si="92"/>
        <v>PAGADO</v>
      </c>
      <c r="K1800" t="s">
        <v>693</v>
      </c>
    </row>
    <row r="1801" spans="1:11" x14ac:dyDescent="0.25">
      <c r="A1801">
        <v>2025</v>
      </c>
      <c r="C1801" s="9" t="s">
        <v>1783</v>
      </c>
      <c r="D1801" s="9" t="s">
        <v>74</v>
      </c>
      <c r="F1801" s="6">
        <v>70</v>
      </c>
      <c r="G1801" s="6">
        <f t="shared" si="93"/>
        <v>70</v>
      </c>
      <c r="H1801" s="6">
        <v>70</v>
      </c>
      <c r="I1801" s="24">
        <f t="shared" si="94"/>
        <v>0</v>
      </c>
      <c r="J1801" s="7" t="str">
        <f t="shared" si="92"/>
        <v>PAGADO</v>
      </c>
    </row>
    <row r="1802" spans="1:11" x14ac:dyDescent="0.25">
      <c r="A1802">
        <v>2025</v>
      </c>
      <c r="C1802" s="9" t="s">
        <v>1784</v>
      </c>
      <c r="D1802" s="9" t="s">
        <v>816</v>
      </c>
      <c r="F1802" s="6">
        <v>70</v>
      </c>
      <c r="G1802" s="6">
        <f t="shared" si="93"/>
        <v>70</v>
      </c>
      <c r="H1802" s="6">
        <v>70</v>
      </c>
      <c r="I1802" s="26">
        <f t="shared" si="94"/>
        <v>0</v>
      </c>
      <c r="J1802" s="7" t="str">
        <f t="shared" si="92"/>
        <v>PAGADO</v>
      </c>
    </row>
    <row r="1803" spans="1:11" x14ac:dyDescent="0.25">
      <c r="A1803">
        <v>2025</v>
      </c>
      <c r="C1803" s="9" t="s">
        <v>1785</v>
      </c>
      <c r="D1803" t="s">
        <v>74</v>
      </c>
      <c r="F1803" s="6">
        <v>80</v>
      </c>
      <c r="G1803" s="6">
        <f t="shared" si="93"/>
        <v>80</v>
      </c>
      <c r="H1803" s="6">
        <v>80</v>
      </c>
      <c r="I1803" s="16">
        <f t="shared" si="94"/>
        <v>0</v>
      </c>
      <c r="J1803" s="7" t="str">
        <f t="shared" si="92"/>
        <v>PAGADO</v>
      </c>
      <c r="K1803" s="9"/>
    </row>
    <row r="1804" spans="1:11" x14ac:dyDescent="0.25">
      <c r="A1804">
        <v>2025</v>
      </c>
      <c r="C1804" s="9" t="s">
        <v>1786</v>
      </c>
      <c r="D1804" t="s">
        <v>74</v>
      </c>
      <c r="F1804" s="6">
        <v>260</v>
      </c>
      <c r="G1804" s="6">
        <f t="shared" si="93"/>
        <v>260</v>
      </c>
      <c r="H1804" s="6">
        <v>260</v>
      </c>
      <c r="I1804" s="16">
        <f t="shared" si="94"/>
        <v>0</v>
      </c>
      <c r="J1804" s="7" t="str">
        <f t="shared" si="92"/>
        <v>PAGADO</v>
      </c>
      <c r="K1804" s="9"/>
    </row>
    <row r="1805" spans="1:11" x14ac:dyDescent="0.25">
      <c r="A1805">
        <v>2025</v>
      </c>
      <c r="C1805" s="9" t="s">
        <v>1787</v>
      </c>
      <c r="D1805" s="9" t="s">
        <v>1290</v>
      </c>
      <c r="F1805" s="6">
        <v>75</v>
      </c>
      <c r="G1805" s="6">
        <f t="shared" si="93"/>
        <v>75</v>
      </c>
      <c r="H1805" s="6">
        <f>38+37</f>
        <v>75</v>
      </c>
      <c r="I1805" s="6">
        <f t="shared" si="94"/>
        <v>0</v>
      </c>
      <c r="J1805" s="7" t="str">
        <f t="shared" ref="J1805:J1868" si="95">IF(I1805&gt;0,"DEBE","PAGADO")</f>
        <v>PAGADO</v>
      </c>
      <c r="K1805" s="9"/>
    </row>
    <row r="1806" spans="1:11" x14ac:dyDescent="0.25">
      <c r="A1806">
        <v>2025</v>
      </c>
      <c r="C1806" s="9" t="s">
        <v>1788</v>
      </c>
      <c r="D1806" s="9" t="s">
        <v>1360</v>
      </c>
      <c r="F1806" s="6">
        <v>70</v>
      </c>
      <c r="G1806" s="6">
        <f t="shared" si="93"/>
        <v>70</v>
      </c>
      <c r="H1806" s="6">
        <v>70</v>
      </c>
      <c r="I1806" s="6">
        <f t="shared" si="94"/>
        <v>0</v>
      </c>
      <c r="J1806" s="7" t="str">
        <f t="shared" si="95"/>
        <v>PAGADO</v>
      </c>
      <c r="K1806" s="9"/>
    </row>
    <row r="1807" spans="1:11" x14ac:dyDescent="0.25">
      <c r="A1807">
        <v>2025</v>
      </c>
      <c r="C1807" s="9" t="s">
        <v>1789</v>
      </c>
      <c r="D1807" s="9" t="s">
        <v>45</v>
      </c>
      <c r="F1807" s="6">
        <v>70</v>
      </c>
      <c r="G1807" s="6">
        <f t="shared" si="93"/>
        <v>70</v>
      </c>
      <c r="H1807" s="6">
        <v>70</v>
      </c>
      <c r="I1807" s="6">
        <f t="shared" si="94"/>
        <v>0</v>
      </c>
      <c r="J1807" s="7" t="str">
        <f t="shared" si="95"/>
        <v>PAGADO</v>
      </c>
      <c r="K1807" s="9"/>
    </row>
    <row r="1808" spans="1:11" x14ac:dyDescent="0.25">
      <c r="A1808">
        <v>2025</v>
      </c>
      <c r="C1808" s="9" t="s">
        <v>1790</v>
      </c>
      <c r="D1808" s="9" t="s">
        <v>1504</v>
      </c>
      <c r="F1808" s="6">
        <v>330</v>
      </c>
      <c r="G1808" s="6">
        <f t="shared" si="93"/>
        <v>330</v>
      </c>
      <c r="H1808" s="6">
        <v>330</v>
      </c>
      <c r="I1808" s="16">
        <f t="shared" si="94"/>
        <v>0</v>
      </c>
      <c r="J1808" s="7" t="str">
        <f t="shared" si="95"/>
        <v>PAGADO</v>
      </c>
      <c r="K1808" t="s">
        <v>693</v>
      </c>
    </row>
    <row r="1809" spans="1:11" x14ac:dyDescent="0.25">
      <c r="A1809">
        <v>2025</v>
      </c>
      <c r="C1809" s="9" t="s">
        <v>1791</v>
      </c>
      <c r="D1809" s="9" t="s">
        <v>1504</v>
      </c>
      <c r="F1809" s="6">
        <v>340</v>
      </c>
      <c r="G1809" s="6">
        <f t="shared" si="93"/>
        <v>340</v>
      </c>
      <c r="H1809" s="6">
        <v>340</v>
      </c>
      <c r="I1809" s="50">
        <f t="shared" si="94"/>
        <v>0</v>
      </c>
      <c r="J1809" s="7" t="str">
        <f t="shared" si="95"/>
        <v>PAGADO</v>
      </c>
      <c r="K1809" t="s">
        <v>693</v>
      </c>
    </row>
    <row r="1810" spans="1:11" x14ac:dyDescent="0.25">
      <c r="A1810">
        <v>2025</v>
      </c>
      <c r="C1810" s="9" t="s">
        <v>1792</v>
      </c>
      <c r="D1810" s="9" t="s">
        <v>1659</v>
      </c>
      <c r="F1810" s="6">
        <v>30</v>
      </c>
      <c r="G1810" s="6">
        <f t="shared" si="93"/>
        <v>30</v>
      </c>
      <c r="H1810" s="6">
        <f>15+15</f>
        <v>30</v>
      </c>
      <c r="I1810" s="6">
        <f t="shared" si="94"/>
        <v>0</v>
      </c>
      <c r="J1810" s="7" t="str">
        <f t="shared" si="95"/>
        <v>PAGADO</v>
      </c>
      <c r="K1810" s="9"/>
    </row>
    <row r="1811" spans="1:11" x14ac:dyDescent="0.25">
      <c r="A1811">
        <v>2025</v>
      </c>
      <c r="C1811" s="9" t="s">
        <v>1793</v>
      </c>
      <c r="D1811" s="9" t="s">
        <v>1510</v>
      </c>
      <c r="F1811" s="6">
        <v>70</v>
      </c>
      <c r="G1811" s="6">
        <f t="shared" si="93"/>
        <v>70</v>
      </c>
      <c r="H1811" s="6">
        <f>35+35</f>
        <v>70</v>
      </c>
      <c r="I1811" s="24">
        <f t="shared" si="94"/>
        <v>0</v>
      </c>
      <c r="J1811" s="7" t="str">
        <f t="shared" si="95"/>
        <v>PAGADO</v>
      </c>
      <c r="K1811" s="9"/>
    </row>
    <row r="1812" spans="1:11" x14ac:dyDescent="0.25">
      <c r="A1812">
        <v>2025</v>
      </c>
      <c r="C1812" s="9" t="s">
        <v>1794</v>
      </c>
      <c r="D1812" s="9" t="s">
        <v>1510</v>
      </c>
      <c r="F1812" s="6">
        <v>70</v>
      </c>
      <c r="G1812" s="6">
        <f t="shared" si="93"/>
        <v>70</v>
      </c>
      <c r="H1812" s="6">
        <f>35+35</f>
        <v>70</v>
      </c>
      <c r="I1812" s="24">
        <f t="shared" si="94"/>
        <v>0</v>
      </c>
      <c r="J1812" s="7" t="str">
        <f t="shared" si="95"/>
        <v>PAGADO</v>
      </c>
      <c r="K1812" s="9"/>
    </row>
    <row r="1813" spans="1:11" x14ac:dyDescent="0.25">
      <c r="A1813">
        <v>2025</v>
      </c>
      <c r="C1813" s="9" t="s">
        <v>1795</v>
      </c>
      <c r="D1813" s="9" t="s">
        <v>1510</v>
      </c>
      <c r="F1813" s="6">
        <v>80</v>
      </c>
      <c r="G1813" s="6">
        <f t="shared" si="93"/>
        <v>80</v>
      </c>
      <c r="H1813" s="6">
        <f>40+40</f>
        <v>80</v>
      </c>
      <c r="I1813" s="24">
        <f t="shared" si="94"/>
        <v>0</v>
      </c>
      <c r="J1813" s="7" t="str">
        <f t="shared" si="95"/>
        <v>PAGADO</v>
      </c>
      <c r="K1813" s="9"/>
    </row>
    <row r="1814" spans="1:11" x14ac:dyDescent="0.25">
      <c r="A1814">
        <v>2025</v>
      </c>
      <c r="C1814" s="9" t="s">
        <v>1796</v>
      </c>
      <c r="D1814" s="9" t="s">
        <v>1510</v>
      </c>
      <c r="F1814" s="6">
        <v>90</v>
      </c>
      <c r="G1814" s="6">
        <f t="shared" si="93"/>
        <v>90</v>
      </c>
      <c r="H1814" s="6">
        <f>45+45</f>
        <v>90</v>
      </c>
      <c r="I1814" s="24">
        <f t="shared" si="94"/>
        <v>0</v>
      </c>
      <c r="J1814" s="7" t="str">
        <f t="shared" si="95"/>
        <v>PAGADO</v>
      </c>
      <c r="K1814" s="9"/>
    </row>
    <row r="1815" spans="1:11" x14ac:dyDescent="0.25">
      <c r="A1815">
        <v>2025</v>
      </c>
      <c r="C1815" s="9" t="s">
        <v>1797</v>
      </c>
      <c r="D1815" s="9" t="s">
        <v>1606</v>
      </c>
      <c r="F1815" s="6">
        <v>75</v>
      </c>
      <c r="G1815" s="6">
        <f t="shared" si="93"/>
        <v>75</v>
      </c>
      <c r="H1815" s="6">
        <f>37.5+37.5</f>
        <v>75</v>
      </c>
      <c r="I1815" s="6">
        <f t="shared" si="94"/>
        <v>0</v>
      </c>
      <c r="J1815" s="7" t="str">
        <f t="shared" si="95"/>
        <v>PAGADO</v>
      </c>
      <c r="K1815" s="9"/>
    </row>
    <row r="1816" spans="1:11" x14ac:dyDescent="0.25">
      <c r="A1816">
        <v>2025</v>
      </c>
      <c r="C1816" s="9" t="s">
        <v>1798</v>
      </c>
      <c r="D1816" s="9" t="s">
        <v>1799</v>
      </c>
      <c r="F1816" s="6">
        <v>90</v>
      </c>
      <c r="G1816" s="6">
        <f t="shared" si="93"/>
        <v>90</v>
      </c>
      <c r="H1816" s="6">
        <f>45+45</f>
        <v>90</v>
      </c>
      <c r="I1816" s="6">
        <f t="shared" si="94"/>
        <v>0</v>
      </c>
      <c r="J1816" s="7" t="str">
        <f t="shared" si="95"/>
        <v>PAGADO</v>
      </c>
      <c r="K1816" s="9"/>
    </row>
    <row r="1817" spans="1:11" x14ac:dyDescent="0.25">
      <c r="A1817">
        <v>2025</v>
      </c>
      <c r="C1817" s="9" t="s">
        <v>1800</v>
      </c>
      <c r="D1817" s="9" t="s">
        <v>809</v>
      </c>
      <c r="F1817" s="6">
        <v>70</v>
      </c>
      <c r="G1817" s="6">
        <f t="shared" si="93"/>
        <v>70</v>
      </c>
      <c r="H1817" s="6">
        <v>70</v>
      </c>
      <c r="I1817" s="6">
        <f t="shared" si="94"/>
        <v>0</v>
      </c>
      <c r="J1817" s="7" t="str">
        <f t="shared" si="95"/>
        <v>PAGADO</v>
      </c>
      <c r="K1817" s="9"/>
    </row>
    <row r="1818" spans="1:11" x14ac:dyDescent="0.25">
      <c r="A1818">
        <v>2025</v>
      </c>
      <c r="C1818" s="9" t="s">
        <v>1801</v>
      </c>
      <c r="D1818" s="9" t="s">
        <v>809</v>
      </c>
      <c r="F1818" s="6">
        <v>20</v>
      </c>
      <c r="G1818" s="6">
        <f t="shared" si="93"/>
        <v>20</v>
      </c>
      <c r="H1818" s="6">
        <v>20</v>
      </c>
      <c r="I1818" s="6">
        <f t="shared" si="94"/>
        <v>0</v>
      </c>
      <c r="J1818" s="7" t="str">
        <f t="shared" si="95"/>
        <v>PAGADO</v>
      </c>
      <c r="K1818" s="9"/>
    </row>
    <row r="1819" spans="1:11" x14ac:dyDescent="0.25">
      <c r="A1819">
        <v>2025</v>
      </c>
      <c r="C1819" s="9" t="s">
        <v>1802</v>
      </c>
      <c r="D1819" s="9" t="s">
        <v>1309</v>
      </c>
      <c r="F1819" s="6">
        <v>25</v>
      </c>
      <c r="G1819" s="6">
        <f t="shared" si="93"/>
        <v>25</v>
      </c>
      <c r="H1819" s="6">
        <v>25</v>
      </c>
      <c r="I1819" s="24">
        <f t="shared" si="94"/>
        <v>0</v>
      </c>
      <c r="J1819" s="7" t="str">
        <f t="shared" si="95"/>
        <v>PAGADO</v>
      </c>
      <c r="K1819" s="9"/>
    </row>
    <row r="1820" spans="1:11" x14ac:dyDescent="0.25">
      <c r="A1820">
        <v>2025</v>
      </c>
      <c r="C1820" s="9" t="s">
        <v>1803</v>
      </c>
      <c r="D1820" s="9" t="s">
        <v>1309</v>
      </c>
      <c r="F1820" s="6">
        <v>15</v>
      </c>
      <c r="G1820" s="6">
        <f t="shared" si="93"/>
        <v>15</v>
      </c>
      <c r="H1820" s="6">
        <v>15</v>
      </c>
      <c r="I1820" s="24">
        <f t="shared" si="94"/>
        <v>0</v>
      </c>
      <c r="J1820" s="7" t="str">
        <f t="shared" si="95"/>
        <v>PAGADO</v>
      </c>
      <c r="K1820" s="9"/>
    </row>
    <row r="1821" spans="1:11" x14ac:dyDescent="0.25">
      <c r="A1821">
        <v>2025</v>
      </c>
      <c r="C1821" s="9" t="s">
        <v>1804</v>
      </c>
      <c r="D1821" s="9" t="s">
        <v>1247</v>
      </c>
      <c r="F1821" s="6">
        <v>80</v>
      </c>
      <c r="G1821" s="6">
        <f t="shared" si="93"/>
        <v>80</v>
      </c>
      <c r="H1821" s="6">
        <v>80</v>
      </c>
      <c r="I1821" s="6">
        <f t="shared" si="94"/>
        <v>0</v>
      </c>
      <c r="J1821" s="7" t="str">
        <f t="shared" si="95"/>
        <v>PAGADO</v>
      </c>
      <c r="K1821" s="9"/>
    </row>
    <row r="1822" spans="1:11" x14ac:dyDescent="0.25">
      <c r="A1822">
        <v>2025</v>
      </c>
      <c r="C1822" s="9" t="s">
        <v>1804</v>
      </c>
      <c r="D1822" s="9" t="s">
        <v>1504</v>
      </c>
      <c r="F1822" s="6">
        <v>80</v>
      </c>
      <c r="G1822" s="6">
        <f t="shared" si="93"/>
        <v>80</v>
      </c>
      <c r="H1822" s="6">
        <v>80</v>
      </c>
      <c r="I1822" s="50">
        <f t="shared" si="94"/>
        <v>0</v>
      </c>
      <c r="J1822" s="7" t="str">
        <f t="shared" si="95"/>
        <v>PAGADO</v>
      </c>
      <c r="K1822" t="s">
        <v>693</v>
      </c>
    </row>
    <row r="1823" spans="1:11" x14ac:dyDescent="0.25">
      <c r="A1823">
        <v>2025</v>
      </c>
      <c r="C1823" s="9" t="s">
        <v>1804</v>
      </c>
      <c r="D1823" s="9" t="s">
        <v>1460</v>
      </c>
      <c r="F1823" s="6">
        <v>80</v>
      </c>
      <c r="G1823" s="6">
        <f t="shared" ref="G1823:G1886" si="96">F1823-E1823</f>
        <v>80</v>
      </c>
      <c r="H1823" s="6">
        <f>40+40</f>
        <v>80</v>
      </c>
      <c r="I1823" s="6">
        <f t="shared" si="94"/>
        <v>0</v>
      </c>
      <c r="J1823" s="7" t="str">
        <f t="shared" si="95"/>
        <v>PAGADO</v>
      </c>
      <c r="K1823" s="9"/>
    </row>
    <row r="1824" spans="1:11" x14ac:dyDescent="0.25">
      <c r="A1824">
        <v>2025</v>
      </c>
      <c r="C1824" s="9" t="s">
        <v>1804</v>
      </c>
      <c r="D1824" s="9" t="s">
        <v>80</v>
      </c>
      <c r="F1824" s="6">
        <v>80</v>
      </c>
      <c r="G1824" s="6">
        <f t="shared" si="96"/>
        <v>80</v>
      </c>
      <c r="H1824" s="6">
        <f>40+40</f>
        <v>80</v>
      </c>
      <c r="I1824" s="6">
        <f t="shared" si="94"/>
        <v>0</v>
      </c>
      <c r="J1824" s="7" t="str">
        <f t="shared" si="95"/>
        <v>PAGADO</v>
      </c>
      <c r="K1824" s="9"/>
    </row>
    <row r="1825" spans="1:11" x14ac:dyDescent="0.25">
      <c r="A1825">
        <v>2025</v>
      </c>
      <c r="C1825" s="9" t="s">
        <v>1805</v>
      </c>
      <c r="D1825" s="9" t="s">
        <v>1677</v>
      </c>
      <c r="F1825" s="6">
        <v>80</v>
      </c>
      <c r="G1825" s="6">
        <f t="shared" si="96"/>
        <v>80</v>
      </c>
      <c r="H1825" s="24">
        <v>80</v>
      </c>
      <c r="I1825" s="6">
        <f t="shared" si="94"/>
        <v>0</v>
      </c>
      <c r="J1825" s="7" t="str">
        <f t="shared" si="95"/>
        <v>PAGADO</v>
      </c>
      <c r="K1825" t="s">
        <v>693</v>
      </c>
    </row>
    <row r="1826" spans="1:11" x14ac:dyDescent="0.25">
      <c r="A1826">
        <v>2025</v>
      </c>
      <c r="C1826" s="9" t="s">
        <v>1806</v>
      </c>
      <c r="D1826" s="9" t="s">
        <v>1309</v>
      </c>
      <c r="F1826" s="6">
        <v>50</v>
      </c>
      <c r="G1826" s="6">
        <f t="shared" si="96"/>
        <v>50</v>
      </c>
      <c r="H1826" s="6">
        <f>20+30</f>
        <v>50</v>
      </c>
      <c r="I1826" s="24">
        <f t="shared" si="94"/>
        <v>0</v>
      </c>
      <c r="J1826" s="7" t="str">
        <f t="shared" si="95"/>
        <v>PAGADO</v>
      </c>
    </row>
    <row r="1827" spans="1:11" x14ac:dyDescent="0.25">
      <c r="A1827">
        <v>2025</v>
      </c>
      <c r="C1827" s="9" t="s">
        <v>1807</v>
      </c>
      <c r="D1827" s="9" t="s">
        <v>1677</v>
      </c>
      <c r="F1827" s="6">
        <v>90</v>
      </c>
      <c r="G1827" s="6">
        <f t="shared" si="96"/>
        <v>90</v>
      </c>
      <c r="H1827" s="24">
        <v>90</v>
      </c>
      <c r="I1827" s="6">
        <f t="shared" ref="I1827:I1890" si="97">F1827-H1827</f>
        <v>0</v>
      </c>
      <c r="J1827" s="7" t="str">
        <f t="shared" si="95"/>
        <v>PAGADO</v>
      </c>
      <c r="K1827" t="s">
        <v>693</v>
      </c>
    </row>
    <row r="1828" spans="1:11" x14ac:dyDescent="0.25">
      <c r="A1828">
        <v>2025</v>
      </c>
      <c r="C1828" s="9" t="s">
        <v>1808</v>
      </c>
      <c r="D1828" s="9" t="s">
        <v>1677</v>
      </c>
      <c r="F1828" s="6">
        <v>90</v>
      </c>
      <c r="G1828" s="6">
        <f t="shared" si="96"/>
        <v>90</v>
      </c>
      <c r="H1828" s="24">
        <v>90</v>
      </c>
      <c r="I1828" s="6">
        <f t="shared" si="97"/>
        <v>0</v>
      </c>
      <c r="J1828" s="7" t="str">
        <f t="shared" si="95"/>
        <v>PAGADO</v>
      </c>
      <c r="K1828" t="s">
        <v>693</v>
      </c>
    </row>
    <row r="1829" spans="1:11" x14ac:dyDescent="0.25">
      <c r="A1829">
        <v>2025</v>
      </c>
      <c r="C1829" s="9" t="s">
        <v>1809</v>
      </c>
      <c r="D1829" s="9" t="s">
        <v>1677</v>
      </c>
      <c r="F1829" s="6">
        <v>90</v>
      </c>
      <c r="G1829" s="6">
        <f t="shared" si="96"/>
        <v>90</v>
      </c>
      <c r="H1829" s="24">
        <v>90</v>
      </c>
      <c r="I1829" s="6">
        <f t="shared" si="97"/>
        <v>0</v>
      </c>
      <c r="J1829" s="7" t="str">
        <f t="shared" si="95"/>
        <v>PAGADO</v>
      </c>
      <c r="K1829" t="s">
        <v>693</v>
      </c>
    </row>
    <row r="1830" spans="1:11" x14ac:dyDescent="0.25">
      <c r="A1830">
        <v>2025</v>
      </c>
      <c r="C1830" s="9" t="s">
        <v>1810</v>
      </c>
      <c r="D1830" s="9" t="s">
        <v>1799</v>
      </c>
      <c r="F1830" s="6">
        <v>140</v>
      </c>
      <c r="G1830" s="6">
        <f t="shared" si="96"/>
        <v>140</v>
      </c>
      <c r="H1830" s="6">
        <f>70+70</f>
        <v>140</v>
      </c>
      <c r="I1830" s="6">
        <f t="shared" si="97"/>
        <v>0</v>
      </c>
      <c r="J1830" s="7" t="str">
        <f t="shared" si="95"/>
        <v>PAGADO</v>
      </c>
      <c r="K1830" s="9"/>
    </row>
    <row r="1831" spans="1:11" x14ac:dyDescent="0.25">
      <c r="A1831">
        <v>2025</v>
      </c>
      <c r="C1831" s="9" t="s">
        <v>1811</v>
      </c>
      <c r="D1831" s="9" t="s">
        <v>488</v>
      </c>
      <c r="F1831" s="6">
        <v>65</v>
      </c>
      <c r="G1831" s="6">
        <f t="shared" si="96"/>
        <v>65</v>
      </c>
      <c r="H1831" s="6">
        <f>32.5+32.5</f>
        <v>65</v>
      </c>
      <c r="I1831" s="6">
        <f t="shared" si="97"/>
        <v>0</v>
      </c>
      <c r="J1831" s="7" t="str">
        <f t="shared" si="95"/>
        <v>PAGADO</v>
      </c>
      <c r="K1831" s="9"/>
    </row>
    <row r="1832" spans="1:11" x14ac:dyDescent="0.25">
      <c r="A1832">
        <v>2025</v>
      </c>
      <c r="C1832" s="9" t="s">
        <v>1812</v>
      </c>
      <c r="D1832" s="9" t="s">
        <v>488</v>
      </c>
      <c r="F1832" s="6">
        <v>150</v>
      </c>
      <c r="G1832" s="6">
        <f t="shared" si="96"/>
        <v>150</v>
      </c>
      <c r="H1832" s="6">
        <v>150</v>
      </c>
      <c r="I1832" s="6">
        <f t="shared" si="97"/>
        <v>0</v>
      </c>
      <c r="J1832" s="7" t="str">
        <f t="shared" si="95"/>
        <v>PAGADO</v>
      </c>
      <c r="K1832" s="9" t="s">
        <v>1813</v>
      </c>
    </row>
    <row r="1833" spans="1:11" x14ac:dyDescent="0.25">
      <c r="A1833">
        <v>2025</v>
      </c>
      <c r="C1833" s="9" t="s">
        <v>1814</v>
      </c>
      <c r="D1833" s="9" t="s">
        <v>488</v>
      </c>
      <c r="F1833" s="6">
        <v>140</v>
      </c>
      <c r="G1833" s="6">
        <f t="shared" si="96"/>
        <v>140</v>
      </c>
      <c r="H1833" s="6">
        <v>140</v>
      </c>
      <c r="I1833" s="16">
        <f t="shared" si="97"/>
        <v>0</v>
      </c>
      <c r="J1833" s="7" t="str">
        <f t="shared" si="95"/>
        <v>PAGADO</v>
      </c>
      <c r="K1833" s="33" t="s">
        <v>1815</v>
      </c>
    </row>
    <row r="1834" spans="1:11" x14ac:dyDescent="0.25">
      <c r="A1834">
        <v>2025</v>
      </c>
      <c r="C1834" s="9" t="s">
        <v>1812</v>
      </c>
      <c r="D1834" s="9" t="s">
        <v>1309</v>
      </c>
      <c r="F1834" s="6">
        <v>150</v>
      </c>
      <c r="G1834" s="6">
        <f t="shared" si="96"/>
        <v>150</v>
      </c>
      <c r="H1834" s="6">
        <f>80+70</f>
        <v>150</v>
      </c>
      <c r="I1834" s="6">
        <f t="shared" si="97"/>
        <v>0</v>
      </c>
      <c r="J1834" s="7" t="str">
        <f t="shared" si="95"/>
        <v>PAGADO</v>
      </c>
      <c r="K1834" s="9" t="s">
        <v>570</v>
      </c>
    </row>
    <row r="1835" spans="1:11" x14ac:dyDescent="0.25">
      <c r="A1835">
        <v>2025</v>
      </c>
      <c r="C1835" s="9" t="s">
        <v>1814</v>
      </c>
      <c r="D1835" s="9" t="s">
        <v>1309</v>
      </c>
      <c r="F1835" s="6">
        <v>140</v>
      </c>
      <c r="G1835" s="6">
        <f t="shared" si="96"/>
        <v>140</v>
      </c>
      <c r="H1835" s="6">
        <f>70+70</f>
        <v>140</v>
      </c>
      <c r="I1835" s="6">
        <f t="shared" si="97"/>
        <v>0</v>
      </c>
      <c r="J1835" s="7" t="str">
        <f t="shared" si="95"/>
        <v>PAGADO</v>
      </c>
      <c r="K1835" s="33" t="s">
        <v>570</v>
      </c>
    </row>
    <row r="1836" spans="1:11" x14ac:dyDescent="0.25">
      <c r="A1836">
        <v>2025</v>
      </c>
      <c r="C1836" s="9" t="s">
        <v>1816</v>
      </c>
      <c r="D1836" s="9" t="s">
        <v>1309</v>
      </c>
      <c r="F1836" s="6">
        <v>120</v>
      </c>
      <c r="G1836" s="6">
        <f t="shared" si="96"/>
        <v>120</v>
      </c>
      <c r="H1836" s="6">
        <f>60+60</f>
        <v>120</v>
      </c>
      <c r="I1836" s="6">
        <f t="shared" si="97"/>
        <v>0</v>
      </c>
      <c r="J1836" s="7" t="str">
        <f t="shared" si="95"/>
        <v>PAGADO</v>
      </c>
      <c r="K1836" s="9" t="s">
        <v>570</v>
      </c>
    </row>
    <row r="1837" spans="1:11" x14ac:dyDescent="0.25">
      <c r="A1837">
        <v>2025</v>
      </c>
      <c r="C1837" s="9" t="s">
        <v>1817</v>
      </c>
      <c r="D1837" s="9" t="s">
        <v>816</v>
      </c>
      <c r="F1837" s="6">
        <v>70</v>
      </c>
      <c r="G1837" s="6">
        <f t="shared" si="96"/>
        <v>70</v>
      </c>
      <c r="H1837" s="6">
        <v>70</v>
      </c>
      <c r="I1837" s="26">
        <f t="shared" si="97"/>
        <v>0</v>
      </c>
      <c r="J1837" s="7" t="str">
        <f t="shared" si="95"/>
        <v>PAGADO</v>
      </c>
    </row>
    <row r="1838" spans="1:11" x14ac:dyDescent="0.25">
      <c r="A1838">
        <v>2025</v>
      </c>
      <c r="C1838" s="9" t="s">
        <v>1811</v>
      </c>
      <c r="D1838" s="9" t="s">
        <v>661</v>
      </c>
      <c r="F1838" s="6">
        <v>65</v>
      </c>
      <c r="G1838" s="6">
        <f t="shared" si="96"/>
        <v>65</v>
      </c>
      <c r="H1838" s="6">
        <v>65</v>
      </c>
      <c r="I1838" s="6">
        <f t="shared" si="97"/>
        <v>0</v>
      </c>
      <c r="J1838" s="7" t="str">
        <f t="shared" si="95"/>
        <v>PAGADO</v>
      </c>
      <c r="K1838" s="9"/>
    </row>
    <row r="1839" spans="1:11" x14ac:dyDescent="0.25">
      <c r="A1839">
        <v>2025</v>
      </c>
      <c r="C1839" s="9" t="s">
        <v>1818</v>
      </c>
      <c r="D1839" s="9" t="s">
        <v>1606</v>
      </c>
      <c r="F1839" s="6">
        <v>100</v>
      </c>
      <c r="G1839" s="6">
        <f t="shared" si="96"/>
        <v>100</v>
      </c>
      <c r="H1839" s="6">
        <f>50+50</f>
        <v>100</v>
      </c>
      <c r="I1839" s="6">
        <f t="shared" si="97"/>
        <v>0</v>
      </c>
      <c r="J1839" s="7" t="str">
        <f t="shared" si="95"/>
        <v>PAGADO</v>
      </c>
      <c r="K1839" s="9"/>
    </row>
    <row r="1840" spans="1:11" x14ac:dyDescent="0.25">
      <c r="A1840">
        <v>2025</v>
      </c>
      <c r="C1840" s="9" t="s">
        <v>1819</v>
      </c>
      <c r="D1840" s="9" t="s">
        <v>1548</v>
      </c>
      <c r="F1840" s="6">
        <v>80</v>
      </c>
      <c r="G1840" s="6">
        <f t="shared" si="96"/>
        <v>80</v>
      </c>
      <c r="H1840" s="6">
        <v>80</v>
      </c>
      <c r="I1840" s="6">
        <f t="shared" si="97"/>
        <v>0</v>
      </c>
      <c r="J1840" s="7" t="str">
        <f t="shared" si="95"/>
        <v>PAGADO</v>
      </c>
      <c r="K1840" s="9"/>
    </row>
    <row r="1841" spans="1:12" x14ac:dyDescent="0.25">
      <c r="A1841">
        <v>2025</v>
      </c>
      <c r="C1841" s="9" t="s">
        <v>1819</v>
      </c>
      <c r="D1841" s="9" t="s">
        <v>816</v>
      </c>
      <c r="F1841" s="6">
        <v>80</v>
      </c>
      <c r="G1841" s="6">
        <f t="shared" si="96"/>
        <v>80</v>
      </c>
      <c r="H1841" s="6">
        <v>80</v>
      </c>
      <c r="I1841" s="27">
        <f t="shared" si="97"/>
        <v>0</v>
      </c>
      <c r="J1841" s="7" t="str">
        <f t="shared" si="95"/>
        <v>PAGADO</v>
      </c>
      <c r="K1841" s="9"/>
    </row>
    <row r="1842" spans="1:12" x14ac:dyDescent="0.25">
      <c r="A1842">
        <v>2025</v>
      </c>
      <c r="C1842" s="9" t="s">
        <v>1820</v>
      </c>
      <c r="D1842" s="9" t="s">
        <v>1055</v>
      </c>
      <c r="F1842" s="6">
        <v>70</v>
      </c>
      <c r="G1842" s="6">
        <f t="shared" si="96"/>
        <v>70</v>
      </c>
      <c r="H1842" s="6">
        <f>20+40+10</f>
        <v>70</v>
      </c>
      <c r="I1842" s="6">
        <f t="shared" si="97"/>
        <v>0</v>
      </c>
      <c r="J1842" s="7" t="str">
        <f t="shared" si="95"/>
        <v>PAGADO</v>
      </c>
      <c r="K1842" s="45" t="s">
        <v>1056</v>
      </c>
      <c r="L1842" t="s">
        <v>1821</v>
      </c>
    </row>
    <row r="1843" spans="1:12" x14ac:dyDescent="0.25">
      <c r="A1843">
        <v>2025</v>
      </c>
      <c r="C1843" s="9" t="s">
        <v>1822</v>
      </c>
      <c r="D1843" s="9" t="s">
        <v>1055</v>
      </c>
      <c r="F1843" s="6">
        <v>75</v>
      </c>
      <c r="G1843" s="6">
        <f t="shared" si="96"/>
        <v>75</v>
      </c>
      <c r="H1843" s="6">
        <f>20+50+5</f>
        <v>75</v>
      </c>
      <c r="I1843" s="6">
        <f t="shared" si="97"/>
        <v>0</v>
      </c>
      <c r="J1843" s="7" t="str">
        <f t="shared" si="95"/>
        <v>PAGADO</v>
      </c>
      <c r="K1843" s="33" t="s">
        <v>1823</v>
      </c>
      <c r="L1843" t="s">
        <v>1821</v>
      </c>
    </row>
    <row r="1844" spans="1:12" x14ac:dyDescent="0.25">
      <c r="A1844">
        <v>2025</v>
      </c>
      <c r="C1844" s="9" t="s">
        <v>1824</v>
      </c>
      <c r="D1844" s="9" t="s">
        <v>74</v>
      </c>
      <c r="F1844" s="6">
        <v>70</v>
      </c>
      <c r="G1844" s="6">
        <f t="shared" si="96"/>
        <v>70</v>
      </c>
      <c r="H1844" s="6">
        <v>0</v>
      </c>
      <c r="I1844" s="6">
        <f t="shared" si="97"/>
        <v>70</v>
      </c>
      <c r="J1844" s="7" t="str">
        <f t="shared" si="95"/>
        <v>DEBE</v>
      </c>
      <c r="K1844" s="9"/>
    </row>
    <row r="1845" spans="1:12" x14ac:dyDescent="0.25">
      <c r="A1845">
        <v>2025</v>
      </c>
      <c r="C1845" s="9" t="s">
        <v>1825</v>
      </c>
      <c r="D1845" s="9" t="s">
        <v>1677</v>
      </c>
      <c r="F1845" s="6">
        <v>65</v>
      </c>
      <c r="G1845" s="6">
        <f t="shared" si="96"/>
        <v>65</v>
      </c>
      <c r="H1845" s="24">
        <v>65</v>
      </c>
      <c r="I1845" s="6">
        <f t="shared" si="97"/>
        <v>0</v>
      </c>
      <c r="J1845" s="7" t="str">
        <f t="shared" si="95"/>
        <v>PAGADO</v>
      </c>
      <c r="K1845" t="s">
        <v>693</v>
      </c>
    </row>
    <row r="1846" spans="1:12" x14ac:dyDescent="0.25">
      <c r="A1846">
        <v>2025</v>
      </c>
      <c r="C1846" s="9" t="s">
        <v>1824</v>
      </c>
      <c r="D1846" s="9" t="s">
        <v>1677</v>
      </c>
      <c r="F1846" s="6">
        <v>70</v>
      </c>
      <c r="G1846" s="6">
        <f t="shared" si="96"/>
        <v>70</v>
      </c>
      <c r="H1846" s="24">
        <v>70</v>
      </c>
      <c r="I1846" s="6">
        <f t="shared" si="97"/>
        <v>0</v>
      </c>
      <c r="J1846" s="7" t="str">
        <f t="shared" si="95"/>
        <v>PAGADO</v>
      </c>
      <c r="K1846" t="s">
        <v>693</v>
      </c>
    </row>
    <row r="1847" spans="1:12" x14ac:dyDescent="0.25">
      <c r="A1847">
        <v>2025</v>
      </c>
      <c r="C1847" s="9" t="s">
        <v>1826</v>
      </c>
      <c r="D1847" s="9" t="s">
        <v>1677</v>
      </c>
      <c r="F1847" s="6">
        <v>70</v>
      </c>
      <c r="G1847" s="6">
        <f t="shared" si="96"/>
        <v>70</v>
      </c>
      <c r="H1847" s="24">
        <v>70</v>
      </c>
      <c r="I1847" s="6">
        <f t="shared" si="97"/>
        <v>0</v>
      </c>
      <c r="J1847" s="7" t="str">
        <f t="shared" si="95"/>
        <v>PAGADO</v>
      </c>
      <c r="K1847" t="s">
        <v>693</v>
      </c>
    </row>
    <row r="1848" spans="1:12" x14ac:dyDescent="0.25">
      <c r="A1848">
        <v>2025</v>
      </c>
      <c r="C1848" s="9" t="s">
        <v>1827</v>
      </c>
      <c r="D1848" s="9" t="s">
        <v>1677</v>
      </c>
      <c r="F1848" s="6">
        <v>70</v>
      </c>
      <c r="G1848" s="6">
        <f t="shared" si="96"/>
        <v>70</v>
      </c>
      <c r="H1848" s="24">
        <v>70</v>
      </c>
      <c r="I1848" s="6">
        <f t="shared" si="97"/>
        <v>0</v>
      </c>
      <c r="J1848" s="7" t="str">
        <f t="shared" si="95"/>
        <v>PAGADO</v>
      </c>
      <c r="K1848" t="s">
        <v>693</v>
      </c>
    </row>
    <row r="1849" spans="1:12" x14ac:dyDescent="0.25">
      <c r="A1849">
        <v>2025</v>
      </c>
      <c r="C1849" s="9" t="s">
        <v>1828</v>
      </c>
      <c r="D1849" s="9" t="s">
        <v>1677</v>
      </c>
      <c r="F1849" s="6">
        <v>65</v>
      </c>
      <c r="G1849" s="6">
        <f t="shared" si="96"/>
        <v>65</v>
      </c>
      <c r="H1849" s="24">
        <v>65</v>
      </c>
      <c r="I1849" s="6">
        <f t="shared" si="97"/>
        <v>0</v>
      </c>
      <c r="J1849" s="7" t="str">
        <f t="shared" si="95"/>
        <v>PAGADO</v>
      </c>
      <c r="K1849" t="s">
        <v>693</v>
      </c>
    </row>
    <row r="1850" spans="1:12" x14ac:dyDescent="0.25">
      <c r="A1850">
        <v>2025</v>
      </c>
      <c r="C1850" s="9" t="s">
        <v>1827</v>
      </c>
      <c r="D1850" s="9" t="s">
        <v>1360</v>
      </c>
      <c r="F1850" s="6">
        <v>70</v>
      </c>
      <c r="G1850" s="6">
        <f t="shared" si="96"/>
        <v>70</v>
      </c>
      <c r="H1850" s="6">
        <v>70</v>
      </c>
      <c r="I1850" s="6">
        <f t="shared" si="97"/>
        <v>0</v>
      </c>
      <c r="J1850" s="7" t="str">
        <f t="shared" si="95"/>
        <v>PAGADO</v>
      </c>
      <c r="K1850" s="9"/>
    </row>
    <row r="1851" spans="1:12" x14ac:dyDescent="0.25">
      <c r="A1851">
        <v>2025</v>
      </c>
      <c r="C1851" s="9" t="s">
        <v>1827</v>
      </c>
      <c r="D1851" s="9" t="s">
        <v>661</v>
      </c>
      <c r="F1851" s="6">
        <v>70</v>
      </c>
      <c r="G1851" s="6">
        <f t="shared" si="96"/>
        <v>70</v>
      </c>
      <c r="H1851" s="6">
        <v>70</v>
      </c>
      <c r="I1851" s="6">
        <f t="shared" si="97"/>
        <v>0</v>
      </c>
      <c r="J1851" s="7" t="str">
        <f t="shared" si="95"/>
        <v>PAGADO</v>
      </c>
      <c r="K1851" s="9"/>
    </row>
    <row r="1852" spans="1:12" x14ac:dyDescent="0.25">
      <c r="A1852">
        <v>2025</v>
      </c>
      <c r="C1852" s="9" t="s">
        <v>1826</v>
      </c>
      <c r="D1852" s="9" t="s">
        <v>661</v>
      </c>
      <c r="F1852" s="6">
        <v>70</v>
      </c>
      <c r="G1852" s="6">
        <f t="shared" si="96"/>
        <v>70</v>
      </c>
      <c r="H1852" s="6">
        <v>70</v>
      </c>
      <c r="I1852" s="6">
        <f t="shared" si="97"/>
        <v>0</v>
      </c>
      <c r="J1852" s="7" t="str">
        <f t="shared" si="95"/>
        <v>PAGADO</v>
      </c>
      <c r="K1852" s="9"/>
    </row>
    <row r="1853" spans="1:12" x14ac:dyDescent="0.25">
      <c r="A1853">
        <v>2025</v>
      </c>
      <c r="C1853" s="9" t="s">
        <v>1829</v>
      </c>
      <c r="D1853" s="9" t="s">
        <v>1476</v>
      </c>
      <c r="F1853" s="6">
        <v>250</v>
      </c>
      <c r="G1853" s="6">
        <f t="shared" si="96"/>
        <v>250</v>
      </c>
      <c r="H1853" s="6">
        <v>250</v>
      </c>
      <c r="I1853" s="6">
        <f t="shared" si="97"/>
        <v>0</v>
      </c>
      <c r="J1853" s="7" t="str">
        <f t="shared" si="95"/>
        <v>PAGADO</v>
      </c>
      <c r="K1853" s="9"/>
    </row>
    <row r="1854" spans="1:12" x14ac:dyDescent="0.25">
      <c r="A1854">
        <v>2025</v>
      </c>
      <c r="C1854" s="9" t="s">
        <v>1830</v>
      </c>
      <c r="D1854" s="9" t="s">
        <v>1476</v>
      </c>
      <c r="F1854" s="6">
        <v>250</v>
      </c>
      <c r="G1854" s="6">
        <f t="shared" si="96"/>
        <v>250</v>
      </c>
      <c r="H1854" s="6">
        <v>250</v>
      </c>
      <c r="I1854" s="6">
        <f t="shared" si="97"/>
        <v>0</v>
      </c>
      <c r="J1854" s="7" t="str">
        <f t="shared" si="95"/>
        <v>PAGADO</v>
      </c>
      <c r="K1854" s="9"/>
    </row>
    <row r="1855" spans="1:12" x14ac:dyDescent="0.25">
      <c r="A1855">
        <v>2025</v>
      </c>
      <c r="C1855" s="9" t="s">
        <v>1831</v>
      </c>
      <c r="D1855" s="9" t="s">
        <v>1476</v>
      </c>
      <c r="F1855" s="6">
        <v>250</v>
      </c>
      <c r="G1855" s="6">
        <f t="shared" si="96"/>
        <v>250</v>
      </c>
      <c r="H1855" s="6">
        <v>250</v>
      </c>
      <c r="I1855" s="6">
        <f t="shared" si="97"/>
        <v>0</v>
      </c>
      <c r="J1855" s="7" t="str">
        <f t="shared" si="95"/>
        <v>PAGADO</v>
      </c>
      <c r="K1855" s="9"/>
    </row>
    <row r="1856" spans="1:12" x14ac:dyDescent="0.25">
      <c r="A1856">
        <v>2025</v>
      </c>
      <c r="C1856" s="9" t="s">
        <v>1832</v>
      </c>
      <c r="D1856" t="s">
        <v>1390</v>
      </c>
      <c r="F1856" s="6">
        <v>20</v>
      </c>
      <c r="G1856" s="6">
        <f t="shared" si="96"/>
        <v>20</v>
      </c>
      <c r="H1856" s="6">
        <v>20</v>
      </c>
      <c r="I1856" s="6">
        <f t="shared" si="97"/>
        <v>0</v>
      </c>
      <c r="J1856" s="7" t="str">
        <f t="shared" si="95"/>
        <v>PAGADO</v>
      </c>
    </row>
    <row r="1857" spans="1:11" x14ac:dyDescent="0.25">
      <c r="A1857">
        <v>2025</v>
      </c>
      <c r="C1857" s="9" t="s">
        <v>1833</v>
      </c>
      <c r="D1857" s="9" t="s">
        <v>1504</v>
      </c>
      <c r="F1857" s="6">
        <v>140</v>
      </c>
      <c r="G1857" s="6">
        <f t="shared" si="96"/>
        <v>140</v>
      </c>
      <c r="H1857" s="6">
        <v>140</v>
      </c>
      <c r="I1857" s="24">
        <f t="shared" si="97"/>
        <v>0</v>
      </c>
      <c r="J1857" s="7" t="str">
        <f t="shared" si="95"/>
        <v>PAGADO</v>
      </c>
      <c r="K1857" t="s">
        <v>693</v>
      </c>
    </row>
    <row r="1858" spans="1:11" x14ac:dyDescent="0.25">
      <c r="A1858">
        <v>2025</v>
      </c>
      <c r="C1858" s="9" t="s">
        <v>1834</v>
      </c>
      <c r="D1858" s="9" t="s">
        <v>783</v>
      </c>
      <c r="F1858" s="6">
        <v>60</v>
      </c>
      <c r="G1858" s="6">
        <f t="shared" si="96"/>
        <v>60</v>
      </c>
      <c r="H1858" s="6">
        <v>60</v>
      </c>
      <c r="I1858" s="6">
        <f t="shared" si="97"/>
        <v>0</v>
      </c>
      <c r="J1858" s="7" t="str">
        <f t="shared" si="95"/>
        <v>PAGADO</v>
      </c>
    </row>
    <row r="1859" spans="1:11" x14ac:dyDescent="0.25">
      <c r="A1859">
        <v>2025</v>
      </c>
      <c r="C1859" s="9" t="s">
        <v>1707</v>
      </c>
      <c r="D1859" s="9" t="s">
        <v>783</v>
      </c>
      <c r="F1859" s="6">
        <v>60</v>
      </c>
      <c r="G1859" s="6">
        <f t="shared" si="96"/>
        <v>60</v>
      </c>
      <c r="H1859" s="6">
        <f>50+10</f>
        <v>60</v>
      </c>
      <c r="I1859" s="6">
        <f t="shared" si="97"/>
        <v>0</v>
      </c>
      <c r="J1859" s="7" t="str">
        <f t="shared" si="95"/>
        <v>PAGADO</v>
      </c>
    </row>
    <row r="1860" spans="1:11" x14ac:dyDescent="0.25">
      <c r="A1860">
        <v>2025</v>
      </c>
      <c r="C1860" s="9" t="s">
        <v>1835</v>
      </c>
      <c r="D1860" s="9" t="s">
        <v>1043</v>
      </c>
      <c r="F1860" s="6">
        <v>34</v>
      </c>
      <c r="G1860" s="6">
        <f t="shared" si="96"/>
        <v>34</v>
      </c>
      <c r="H1860" s="6">
        <v>34</v>
      </c>
      <c r="I1860" s="6">
        <f t="shared" si="97"/>
        <v>0</v>
      </c>
      <c r="J1860" s="7" t="str">
        <f t="shared" si="95"/>
        <v>PAGADO</v>
      </c>
      <c r="K1860" s="9"/>
    </row>
    <row r="1861" spans="1:11" x14ac:dyDescent="0.25">
      <c r="A1861">
        <v>2025</v>
      </c>
      <c r="C1861" s="9" t="s">
        <v>1836</v>
      </c>
      <c r="D1861" s="9" t="s">
        <v>74</v>
      </c>
      <c r="F1861" s="6">
        <v>220</v>
      </c>
      <c r="G1861" s="6">
        <f t="shared" si="96"/>
        <v>220</v>
      </c>
      <c r="H1861" s="6">
        <v>220</v>
      </c>
      <c r="I1861" s="51">
        <f t="shared" si="97"/>
        <v>0</v>
      </c>
      <c r="J1861" s="7" t="str">
        <f t="shared" si="95"/>
        <v>PAGADO</v>
      </c>
    </row>
    <row r="1862" spans="1:11" x14ac:dyDescent="0.25">
      <c r="A1862">
        <v>2025</v>
      </c>
      <c r="C1862" s="9" t="s">
        <v>1837</v>
      </c>
      <c r="D1862" s="9" t="s">
        <v>127</v>
      </c>
      <c r="F1862" s="6">
        <v>75</v>
      </c>
      <c r="G1862" s="6">
        <f t="shared" si="96"/>
        <v>75</v>
      </c>
      <c r="H1862" s="6">
        <v>75</v>
      </c>
      <c r="I1862" s="6">
        <f t="shared" si="97"/>
        <v>0</v>
      </c>
      <c r="J1862" s="7" t="str">
        <f t="shared" si="95"/>
        <v>PAGADO</v>
      </c>
    </row>
    <row r="1863" spans="1:11" x14ac:dyDescent="0.25">
      <c r="A1863">
        <v>2025</v>
      </c>
      <c r="C1863" s="9" t="s">
        <v>1838</v>
      </c>
      <c r="D1863" s="9" t="s">
        <v>127</v>
      </c>
      <c r="F1863" s="6">
        <v>85</v>
      </c>
      <c r="G1863" s="6">
        <f t="shared" si="96"/>
        <v>85</v>
      </c>
      <c r="H1863" s="6">
        <v>85</v>
      </c>
      <c r="I1863" s="6">
        <f t="shared" si="97"/>
        <v>0</v>
      </c>
      <c r="J1863" s="7" t="str">
        <f t="shared" si="95"/>
        <v>PAGADO</v>
      </c>
    </row>
    <row r="1864" spans="1:11" x14ac:dyDescent="0.25">
      <c r="A1864">
        <v>2025</v>
      </c>
      <c r="C1864" s="9" t="s">
        <v>1839</v>
      </c>
      <c r="D1864" s="9" t="s">
        <v>1360</v>
      </c>
      <c r="F1864" s="6">
        <v>80</v>
      </c>
      <c r="G1864" s="6">
        <f t="shared" si="96"/>
        <v>80</v>
      </c>
      <c r="H1864" s="6">
        <v>80</v>
      </c>
      <c r="I1864" s="24">
        <f t="shared" si="97"/>
        <v>0</v>
      </c>
      <c r="J1864" s="7" t="str">
        <f t="shared" si="95"/>
        <v>PAGADO</v>
      </c>
      <c r="K1864" s="9"/>
    </row>
    <row r="1865" spans="1:11" x14ac:dyDescent="0.25">
      <c r="A1865">
        <v>2025</v>
      </c>
      <c r="C1865" s="9" t="s">
        <v>1840</v>
      </c>
      <c r="D1865" s="9" t="s">
        <v>1841</v>
      </c>
      <c r="F1865" s="6">
        <v>25</v>
      </c>
      <c r="G1865" s="6">
        <f t="shared" si="96"/>
        <v>25</v>
      </c>
      <c r="H1865" s="6">
        <v>25</v>
      </c>
      <c r="I1865" s="6">
        <f t="shared" si="97"/>
        <v>0</v>
      </c>
      <c r="J1865" s="7" t="str">
        <f t="shared" si="95"/>
        <v>PAGADO</v>
      </c>
    </row>
    <row r="1866" spans="1:11" x14ac:dyDescent="0.25">
      <c r="A1866">
        <v>2025</v>
      </c>
      <c r="C1866" s="9" t="s">
        <v>1842</v>
      </c>
      <c r="D1866" s="9" t="s">
        <v>1841</v>
      </c>
      <c r="F1866" s="6">
        <v>70</v>
      </c>
      <c r="G1866" s="6">
        <f t="shared" si="96"/>
        <v>70</v>
      </c>
      <c r="H1866" s="6">
        <v>70</v>
      </c>
      <c r="I1866" s="6">
        <f t="shared" si="97"/>
        <v>0</v>
      </c>
      <c r="J1866" s="7" t="str">
        <f t="shared" si="95"/>
        <v>PAGADO</v>
      </c>
    </row>
    <row r="1867" spans="1:11" x14ac:dyDescent="0.25">
      <c r="A1867">
        <v>2025</v>
      </c>
      <c r="C1867" s="9" t="s">
        <v>1843</v>
      </c>
      <c r="D1867" s="9" t="s">
        <v>1679</v>
      </c>
      <c r="F1867" s="6">
        <v>60</v>
      </c>
      <c r="G1867" s="6">
        <f t="shared" si="96"/>
        <v>60</v>
      </c>
      <c r="H1867" s="6">
        <v>60</v>
      </c>
      <c r="I1867" s="6">
        <f t="shared" si="97"/>
        <v>0</v>
      </c>
      <c r="J1867" s="7" t="str">
        <f t="shared" si="95"/>
        <v>PAGADO</v>
      </c>
    </row>
    <row r="1868" spans="1:11" x14ac:dyDescent="0.25">
      <c r="A1868">
        <v>2025</v>
      </c>
      <c r="C1868" s="9" t="s">
        <v>1844</v>
      </c>
      <c r="D1868" s="9" t="s">
        <v>1679</v>
      </c>
      <c r="F1868" s="6">
        <v>60</v>
      </c>
      <c r="G1868" s="6">
        <f t="shared" si="96"/>
        <v>60</v>
      </c>
      <c r="H1868" s="6">
        <v>60</v>
      </c>
      <c r="I1868" s="6">
        <f t="shared" si="97"/>
        <v>0</v>
      </c>
      <c r="J1868" s="7" t="str">
        <f t="shared" si="95"/>
        <v>PAGADO</v>
      </c>
    </row>
    <row r="1869" spans="1:11" x14ac:dyDescent="0.25">
      <c r="A1869">
        <v>2025</v>
      </c>
      <c r="C1869" s="9" t="s">
        <v>1845</v>
      </c>
      <c r="D1869" s="9" t="s">
        <v>1679</v>
      </c>
      <c r="F1869" s="6">
        <v>50</v>
      </c>
      <c r="G1869" s="6">
        <f t="shared" si="96"/>
        <v>50</v>
      </c>
      <c r="H1869" s="6">
        <v>50</v>
      </c>
      <c r="I1869" s="6">
        <f t="shared" si="97"/>
        <v>0</v>
      </c>
      <c r="J1869" s="7" t="str">
        <f t="shared" ref="J1869:J1932" si="98">IF(I1869&gt;0,"DEBE","PAGADO")</f>
        <v>PAGADO</v>
      </c>
    </row>
    <row r="1870" spans="1:11" x14ac:dyDescent="0.25">
      <c r="A1870">
        <v>2025</v>
      </c>
      <c r="C1870" s="9" t="s">
        <v>1846</v>
      </c>
      <c r="D1870" s="9" t="s">
        <v>1679</v>
      </c>
      <c r="F1870" s="6">
        <v>45</v>
      </c>
      <c r="G1870" s="6">
        <f t="shared" si="96"/>
        <v>45</v>
      </c>
      <c r="H1870" s="6">
        <v>45</v>
      </c>
      <c r="I1870" s="6">
        <f t="shared" si="97"/>
        <v>0</v>
      </c>
      <c r="J1870" s="7" t="str">
        <f t="shared" si="98"/>
        <v>PAGADO</v>
      </c>
    </row>
    <row r="1871" spans="1:11" x14ac:dyDescent="0.25">
      <c r="A1871">
        <v>2025</v>
      </c>
      <c r="C1871" s="9" t="s">
        <v>1847</v>
      </c>
      <c r="D1871" s="9" t="s">
        <v>1360</v>
      </c>
      <c r="F1871" s="6">
        <v>90</v>
      </c>
      <c r="G1871" s="6">
        <f t="shared" si="96"/>
        <v>90</v>
      </c>
      <c r="H1871" s="6">
        <v>90</v>
      </c>
      <c r="I1871" s="6">
        <f t="shared" si="97"/>
        <v>0</v>
      </c>
      <c r="J1871" s="7" t="str">
        <f t="shared" si="98"/>
        <v>PAGADO</v>
      </c>
    </row>
    <row r="1872" spans="1:11" x14ac:dyDescent="0.25">
      <c r="A1872">
        <v>2025</v>
      </c>
      <c r="C1872" s="9" t="s">
        <v>1848</v>
      </c>
      <c r="D1872" s="9" t="s">
        <v>1849</v>
      </c>
      <c r="F1872" s="6">
        <v>60</v>
      </c>
      <c r="G1872" s="6">
        <f t="shared" si="96"/>
        <v>60</v>
      </c>
      <c r="H1872" s="6">
        <v>60</v>
      </c>
      <c r="I1872" s="6">
        <f t="shared" si="97"/>
        <v>0</v>
      </c>
      <c r="J1872" s="7" t="str">
        <f t="shared" si="98"/>
        <v>PAGADO</v>
      </c>
    </row>
    <row r="1873" spans="1:11" x14ac:dyDescent="0.25">
      <c r="A1873">
        <v>2025</v>
      </c>
      <c r="C1873" s="9" t="s">
        <v>1850</v>
      </c>
      <c r="D1873" s="9" t="s">
        <v>1849</v>
      </c>
      <c r="F1873" s="6">
        <v>80</v>
      </c>
      <c r="G1873" s="6">
        <f t="shared" si="96"/>
        <v>80</v>
      </c>
      <c r="H1873" s="6">
        <v>80</v>
      </c>
      <c r="I1873" s="6">
        <f t="shared" si="97"/>
        <v>0</v>
      </c>
      <c r="J1873" s="7" t="str">
        <f t="shared" si="98"/>
        <v>PAGADO</v>
      </c>
    </row>
    <row r="1874" spans="1:11" x14ac:dyDescent="0.25">
      <c r="A1874">
        <v>2025</v>
      </c>
      <c r="C1874" s="9" t="s">
        <v>1851</v>
      </c>
      <c r="D1874" s="9" t="s">
        <v>1849</v>
      </c>
      <c r="F1874" s="6">
        <v>60</v>
      </c>
      <c r="G1874" s="6">
        <f t="shared" si="96"/>
        <v>60</v>
      </c>
      <c r="H1874" s="6">
        <v>60</v>
      </c>
      <c r="I1874" s="6">
        <f t="shared" si="97"/>
        <v>0</v>
      </c>
      <c r="J1874" s="7" t="str">
        <f t="shared" si="98"/>
        <v>PAGADO</v>
      </c>
    </row>
    <row r="1875" spans="1:11" x14ac:dyDescent="0.25">
      <c r="A1875">
        <v>2025</v>
      </c>
      <c r="C1875" s="9" t="s">
        <v>1852</v>
      </c>
      <c r="D1875" s="9" t="s">
        <v>1849</v>
      </c>
      <c r="F1875" s="6">
        <v>180</v>
      </c>
      <c r="G1875" s="6">
        <f t="shared" si="96"/>
        <v>180</v>
      </c>
      <c r="H1875" s="6">
        <v>180</v>
      </c>
      <c r="I1875" s="6">
        <f t="shared" si="97"/>
        <v>0</v>
      </c>
      <c r="J1875" s="7" t="str">
        <f t="shared" si="98"/>
        <v>PAGADO</v>
      </c>
    </row>
    <row r="1876" spans="1:11" x14ac:dyDescent="0.25">
      <c r="A1876">
        <v>2025</v>
      </c>
      <c r="C1876" s="9" t="s">
        <v>1853</v>
      </c>
      <c r="D1876" s="9" t="s">
        <v>1363</v>
      </c>
      <c r="F1876" s="6">
        <v>80</v>
      </c>
      <c r="G1876" s="6">
        <f t="shared" si="96"/>
        <v>80</v>
      </c>
      <c r="H1876" s="6">
        <v>80</v>
      </c>
      <c r="I1876" s="6">
        <f t="shared" si="97"/>
        <v>0</v>
      </c>
      <c r="J1876" s="7" t="str">
        <f t="shared" si="98"/>
        <v>PAGADO</v>
      </c>
    </row>
    <row r="1877" spans="1:11" x14ac:dyDescent="0.25">
      <c r="A1877">
        <v>2025</v>
      </c>
      <c r="C1877" s="9" t="s">
        <v>1854</v>
      </c>
      <c r="D1877" s="9" t="s">
        <v>1363</v>
      </c>
      <c r="F1877" s="6">
        <v>80</v>
      </c>
      <c r="G1877" s="6">
        <f t="shared" si="96"/>
        <v>80</v>
      </c>
      <c r="H1877" s="6">
        <v>80</v>
      </c>
      <c r="I1877" s="6">
        <f t="shared" si="97"/>
        <v>0</v>
      </c>
      <c r="J1877" s="7" t="str">
        <f t="shared" si="98"/>
        <v>PAGADO</v>
      </c>
    </row>
    <row r="1878" spans="1:11" x14ac:dyDescent="0.25">
      <c r="A1878">
        <v>2025</v>
      </c>
      <c r="C1878" s="9" t="s">
        <v>1855</v>
      </c>
      <c r="D1878" s="9" t="s">
        <v>1309</v>
      </c>
      <c r="F1878" s="6">
        <v>100</v>
      </c>
      <c r="G1878" s="6">
        <f t="shared" si="96"/>
        <v>100</v>
      </c>
      <c r="H1878" s="6">
        <v>100</v>
      </c>
      <c r="I1878" s="6">
        <f t="shared" si="97"/>
        <v>0</v>
      </c>
      <c r="J1878" s="7" t="str">
        <f t="shared" si="98"/>
        <v>PAGADO</v>
      </c>
      <c r="K1878" s="9"/>
    </row>
    <row r="1879" spans="1:11" x14ac:dyDescent="0.25">
      <c r="A1879">
        <v>2025</v>
      </c>
      <c r="C1879" s="9" t="s">
        <v>1856</v>
      </c>
      <c r="D1879" s="9" t="s">
        <v>783</v>
      </c>
      <c r="F1879" s="6">
        <v>75</v>
      </c>
      <c r="G1879" s="6">
        <f t="shared" si="96"/>
        <v>75</v>
      </c>
      <c r="H1879" s="6">
        <f>10+50+15</f>
        <v>75</v>
      </c>
      <c r="I1879" s="6">
        <f t="shared" si="97"/>
        <v>0</v>
      </c>
      <c r="J1879" s="7" t="str">
        <f t="shared" si="98"/>
        <v>PAGADO</v>
      </c>
    </row>
    <row r="1880" spans="1:11" x14ac:dyDescent="0.25">
      <c r="A1880">
        <v>2025</v>
      </c>
      <c r="C1880" s="9" t="s">
        <v>1857</v>
      </c>
      <c r="D1880" s="9" t="s">
        <v>1504</v>
      </c>
      <c r="F1880" s="6">
        <v>140</v>
      </c>
      <c r="G1880" s="6">
        <f t="shared" si="96"/>
        <v>140</v>
      </c>
      <c r="H1880" s="6">
        <v>140</v>
      </c>
      <c r="I1880" s="24">
        <f t="shared" si="97"/>
        <v>0</v>
      </c>
      <c r="J1880" s="7" t="str">
        <f t="shared" si="98"/>
        <v>PAGADO</v>
      </c>
      <c r="K1880" t="s">
        <v>693</v>
      </c>
    </row>
    <row r="1881" spans="1:11" x14ac:dyDescent="0.25">
      <c r="A1881">
        <v>2025</v>
      </c>
      <c r="C1881" s="9" t="s">
        <v>1811</v>
      </c>
      <c r="D1881" s="9" t="s">
        <v>1501</v>
      </c>
      <c r="F1881" s="6">
        <v>65</v>
      </c>
      <c r="G1881" s="6">
        <f t="shared" si="96"/>
        <v>65</v>
      </c>
      <c r="H1881" s="6">
        <f>10+55</f>
        <v>65</v>
      </c>
      <c r="I1881" s="6">
        <f t="shared" si="97"/>
        <v>0</v>
      </c>
      <c r="J1881" s="7" t="str">
        <f t="shared" si="98"/>
        <v>PAGADO</v>
      </c>
      <c r="K1881" s="9"/>
    </row>
    <row r="1882" spans="1:11" x14ac:dyDescent="0.25">
      <c r="A1882">
        <v>2025</v>
      </c>
      <c r="C1882" s="9" t="s">
        <v>1811</v>
      </c>
      <c r="D1882" s="9" t="s">
        <v>67</v>
      </c>
      <c r="F1882" s="6">
        <v>70</v>
      </c>
      <c r="G1882" s="6">
        <f t="shared" si="96"/>
        <v>70</v>
      </c>
      <c r="H1882" s="6">
        <f>50+20</f>
        <v>70</v>
      </c>
      <c r="I1882" s="26">
        <f t="shared" si="97"/>
        <v>0</v>
      </c>
      <c r="J1882" s="7" t="str">
        <f t="shared" si="98"/>
        <v>PAGADO</v>
      </c>
      <c r="K1882" s="9"/>
    </row>
    <row r="1883" spans="1:11" x14ac:dyDescent="0.25">
      <c r="A1883">
        <v>2025</v>
      </c>
      <c r="C1883" s="9" t="s">
        <v>1398</v>
      </c>
      <c r="D1883" s="9" t="s">
        <v>661</v>
      </c>
      <c r="F1883" s="6">
        <v>15</v>
      </c>
      <c r="G1883" s="6">
        <f t="shared" si="96"/>
        <v>15</v>
      </c>
      <c r="H1883" s="6">
        <v>15</v>
      </c>
      <c r="I1883" s="6">
        <f t="shared" si="97"/>
        <v>0</v>
      </c>
      <c r="J1883" s="7" t="str">
        <f t="shared" si="98"/>
        <v>PAGADO</v>
      </c>
      <c r="K1883" s="9"/>
    </row>
    <row r="1884" spans="1:11" x14ac:dyDescent="0.25">
      <c r="A1884">
        <v>2025</v>
      </c>
      <c r="C1884" s="9" t="s">
        <v>1858</v>
      </c>
      <c r="D1884" s="9" t="s">
        <v>1309</v>
      </c>
      <c r="F1884" s="6">
        <v>15</v>
      </c>
      <c r="G1884" s="6">
        <f t="shared" si="96"/>
        <v>15</v>
      </c>
      <c r="H1884" s="6">
        <v>15</v>
      </c>
      <c r="I1884" s="24">
        <f t="shared" si="97"/>
        <v>0</v>
      </c>
      <c r="J1884" s="7" t="str">
        <f t="shared" si="98"/>
        <v>PAGADO</v>
      </c>
      <c r="K1884" s="9"/>
    </row>
    <row r="1885" spans="1:11" x14ac:dyDescent="0.25">
      <c r="A1885">
        <v>2025</v>
      </c>
      <c r="C1885" s="9" t="s">
        <v>1859</v>
      </c>
      <c r="D1885" s="9" t="s">
        <v>1309</v>
      </c>
      <c r="F1885" s="6">
        <v>40</v>
      </c>
      <c r="G1885" s="6">
        <f t="shared" si="96"/>
        <v>40</v>
      </c>
      <c r="H1885" s="6">
        <v>40</v>
      </c>
      <c r="I1885" s="24">
        <f t="shared" si="97"/>
        <v>0</v>
      </c>
      <c r="J1885" s="7" t="str">
        <f t="shared" si="98"/>
        <v>PAGADO</v>
      </c>
      <c r="K1885" s="9"/>
    </row>
    <row r="1886" spans="1:11" x14ac:dyDescent="0.25">
      <c r="A1886">
        <v>2025</v>
      </c>
      <c r="C1886" s="9" t="s">
        <v>1857</v>
      </c>
      <c r="D1886" s="9" t="s">
        <v>816</v>
      </c>
      <c r="F1886" s="6">
        <v>140</v>
      </c>
      <c r="G1886" s="6">
        <f t="shared" si="96"/>
        <v>140</v>
      </c>
      <c r="H1886" s="6">
        <v>140</v>
      </c>
      <c r="I1886" s="27">
        <f t="shared" si="97"/>
        <v>0</v>
      </c>
      <c r="J1886" s="7" t="str">
        <f t="shared" si="98"/>
        <v>PAGADO</v>
      </c>
    </row>
    <row r="1887" spans="1:11" x14ac:dyDescent="0.25">
      <c r="A1887">
        <v>2025</v>
      </c>
      <c r="C1887" s="9" t="s">
        <v>1860</v>
      </c>
      <c r="D1887" s="9" t="s">
        <v>816</v>
      </c>
      <c r="F1887" s="6">
        <v>190</v>
      </c>
      <c r="G1887" s="6">
        <f t="shared" ref="G1887:G1950" si="99">F1887-E1887</f>
        <v>190</v>
      </c>
      <c r="H1887" s="6">
        <v>190</v>
      </c>
      <c r="I1887" s="26">
        <f t="shared" si="97"/>
        <v>0</v>
      </c>
      <c r="J1887" s="7" t="str">
        <f t="shared" si="98"/>
        <v>PAGADO</v>
      </c>
    </row>
    <row r="1888" spans="1:11" x14ac:dyDescent="0.25">
      <c r="A1888">
        <v>2025</v>
      </c>
      <c r="C1888" s="9" t="s">
        <v>1552</v>
      </c>
      <c r="D1888" s="9" t="s">
        <v>1685</v>
      </c>
      <c r="F1888" s="6">
        <v>25</v>
      </c>
      <c r="G1888" s="6">
        <f t="shared" si="99"/>
        <v>25</v>
      </c>
      <c r="H1888" s="6">
        <v>25</v>
      </c>
      <c r="I1888" s="6">
        <f t="shared" si="97"/>
        <v>0</v>
      </c>
      <c r="J1888" s="7" t="str">
        <f t="shared" si="98"/>
        <v>PAGADO</v>
      </c>
    </row>
    <row r="1889" spans="1:12" x14ac:dyDescent="0.25">
      <c r="A1889">
        <v>2025</v>
      </c>
      <c r="C1889" s="9" t="s">
        <v>1861</v>
      </c>
      <c r="D1889" s="9" t="s">
        <v>33</v>
      </c>
      <c r="F1889" s="6">
        <v>100</v>
      </c>
      <c r="G1889" s="6">
        <f t="shared" si="99"/>
        <v>100</v>
      </c>
      <c r="H1889" s="6">
        <v>100</v>
      </c>
      <c r="I1889" s="47">
        <f t="shared" si="97"/>
        <v>0</v>
      </c>
      <c r="J1889" s="7" t="str">
        <f t="shared" si="98"/>
        <v>PAGADO</v>
      </c>
    </row>
    <row r="1890" spans="1:12" x14ac:dyDescent="0.25">
      <c r="A1890">
        <v>2025</v>
      </c>
      <c r="C1890" s="9" t="s">
        <v>1862</v>
      </c>
      <c r="D1890" s="9" t="s">
        <v>33</v>
      </c>
      <c r="F1890" s="6">
        <v>100</v>
      </c>
      <c r="G1890" s="6">
        <f t="shared" si="99"/>
        <v>100</v>
      </c>
      <c r="H1890" s="6">
        <v>100</v>
      </c>
      <c r="I1890" s="6">
        <f t="shared" si="97"/>
        <v>0</v>
      </c>
      <c r="J1890" s="7" t="str">
        <f t="shared" si="98"/>
        <v>PAGADO</v>
      </c>
    </row>
    <row r="1891" spans="1:12" x14ac:dyDescent="0.25">
      <c r="A1891">
        <v>2025</v>
      </c>
      <c r="C1891" s="9" t="s">
        <v>1863</v>
      </c>
      <c r="D1891" s="9" t="s">
        <v>45</v>
      </c>
      <c r="F1891" s="6">
        <v>15</v>
      </c>
      <c r="G1891" s="6">
        <f t="shared" si="99"/>
        <v>15</v>
      </c>
      <c r="H1891" s="6">
        <v>15</v>
      </c>
      <c r="I1891" s="6">
        <f t="shared" ref="I1891:I1954" si="100">F1891-H1891</f>
        <v>0</v>
      </c>
      <c r="J1891" s="7" t="str">
        <f t="shared" si="98"/>
        <v>PAGADO</v>
      </c>
    </row>
    <row r="1892" spans="1:12" x14ac:dyDescent="0.25">
      <c r="A1892">
        <v>2025</v>
      </c>
      <c r="C1892" s="9" t="s">
        <v>1864</v>
      </c>
      <c r="D1892" s="9" t="s">
        <v>1360</v>
      </c>
      <c r="F1892" s="6">
        <v>70</v>
      </c>
      <c r="G1892" s="6">
        <f t="shared" si="99"/>
        <v>70</v>
      </c>
      <c r="H1892" s="6">
        <f>35+35</f>
        <v>70</v>
      </c>
      <c r="I1892" s="24">
        <f t="shared" si="100"/>
        <v>0</v>
      </c>
      <c r="J1892" s="7" t="str">
        <f t="shared" si="98"/>
        <v>PAGADO</v>
      </c>
    </row>
    <row r="1893" spans="1:12" x14ac:dyDescent="0.25">
      <c r="A1893">
        <v>2025</v>
      </c>
      <c r="C1893" s="9" t="s">
        <v>1865</v>
      </c>
      <c r="D1893" s="9" t="s">
        <v>1360</v>
      </c>
      <c r="F1893" s="6">
        <v>60</v>
      </c>
      <c r="G1893" s="6">
        <f t="shared" si="99"/>
        <v>60</v>
      </c>
      <c r="H1893" s="6">
        <f>30+30</f>
        <v>60</v>
      </c>
      <c r="I1893" s="24">
        <f t="shared" si="100"/>
        <v>0</v>
      </c>
      <c r="J1893" s="7" t="str">
        <f t="shared" si="98"/>
        <v>PAGADO</v>
      </c>
    </row>
    <row r="1894" spans="1:12" x14ac:dyDescent="0.25">
      <c r="A1894">
        <v>2025</v>
      </c>
      <c r="C1894" s="9" t="s">
        <v>1866</v>
      </c>
      <c r="D1894" s="9" t="s">
        <v>1360</v>
      </c>
      <c r="F1894" s="6">
        <v>70</v>
      </c>
      <c r="G1894" s="6">
        <f t="shared" si="99"/>
        <v>70</v>
      </c>
      <c r="H1894" s="6">
        <f>35+35</f>
        <v>70</v>
      </c>
      <c r="I1894" s="24">
        <f t="shared" si="100"/>
        <v>0</v>
      </c>
      <c r="J1894" s="7" t="str">
        <f t="shared" si="98"/>
        <v>PAGADO</v>
      </c>
    </row>
    <row r="1895" spans="1:12" x14ac:dyDescent="0.25">
      <c r="A1895">
        <v>2025</v>
      </c>
      <c r="C1895" s="14" t="s">
        <v>1867</v>
      </c>
      <c r="D1895" s="9" t="s">
        <v>1309</v>
      </c>
      <c r="F1895" s="6">
        <v>80</v>
      </c>
      <c r="G1895" s="6">
        <f t="shared" si="99"/>
        <v>80</v>
      </c>
      <c r="H1895" s="6">
        <v>80</v>
      </c>
      <c r="I1895" s="6">
        <f t="shared" si="100"/>
        <v>0</v>
      </c>
      <c r="J1895" s="7" t="str">
        <f t="shared" si="98"/>
        <v>PAGADO</v>
      </c>
      <c r="K1895" s="9"/>
    </row>
    <row r="1896" spans="1:12" x14ac:dyDescent="0.25">
      <c r="A1896">
        <v>2025</v>
      </c>
      <c r="C1896" s="14" t="s">
        <v>1861</v>
      </c>
      <c r="D1896" s="9" t="s">
        <v>1309</v>
      </c>
      <c r="F1896" s="6">
        <v>75</v>
      </c>
      <c r="G1896" s="6">
        <f t="shared" si="99"/>
        <v>75</v>
      </c>
      <c r="H1896" s="6">
        <f>50+25</f>
        <v>75</v>
      </c>
      <c r="I1896" s="6">
        <f t="shared" si="100"/>
        <v>0</v>
      </c>
      <c r="J1896" s="7" t="str">
        <f t="shared" si="98"/>
        <v>PAGADO</v>
      </c>
      <c r="K1896" s="9"/>
    </row>
    <row r="1897" spans="1:12" x14ac:dyDescent="0.25">
      <c r="A1897">
        <v>2025</v>
      </c>
      <c r="C1897" t="s">
        <v>1868</v>
      </c>
      <c r="D1897" s="9" t="s">
        <v>1309</v>
      </c>
      <c r="F1897" s="6">
        <v>30</v>
      </c>
      <c r="G1897" s="6">
        <f t="shared" si="99"/>
        <v>30</v>
      </c>
      <c r="H1897" s="6">
        <v>30</v>
      </c>
      <c r="I1897" s="24">
        <f t="shared" si="100"/>
        <v>0</v>
      </c>
      <c r="J1897" s="7" t="str">
        <f t="shared" si="98"/>
        <v>PAGADO</v>
      </c>
      <c r="K1897" s="9"/>
    </row>
    <row r="1898" spans="1:12" x14ac:dyDescent="0.25">
      <c r="A1898">
        <v>2025</v>
      </c>
      <c r="C1898" t="s">
        <v>1869</v>
      </c>
      <c r="D1898" s="9" t="s">
        <v>1736</v>
      </c>
      <c r="F1898" s="6">
        <v>150</v>
      </c>
      <c r="G1898" s="6">
        <f t="shared" si="99"/>
        <v>150</v>
      </c>
      <c r="H1898" s="6">
        <f>75+75</f>
        <v>150</v>
      </c>
      <c r="I1898" s="26">
        <f t="shared" si="100"/>
        <v>0</v>
      </c>
      <c r="J1898" s="7" t="str">
        <f t="shared" si="98"/>
        <v>PAGADO</v>
      </c>
      <c r="K1898" s="9"/>
    </row>
    <row r="1899" spans="1:12" x14ac:dyDescent="0.25">
      <c r="A1899">
        <v>2025</v>
      </c>
      <c r="C1899" s="9" t="s">
        <v>1870</v>
      </c>
      <c r="D1899" s="9" t="s">
        <v>1679</v>
      </c>
      <c r="F1899" s="6">
        <v>100</v>
      </c>
      <c r="G1899" s="6">
        <f t="shared" si="99"/>
        <v>100</v>
      </c>
      <c r="H1899" s="6">
        <v>100</v>
      </c>
      <c r="I1899" s="6">
        <f t="shared" si="100"/>
        <v>0</v>
      </c>
      <c r="J1899" s="7" t="str">
        <f t="shared" si="98"/>
        <v>PAGADO</v>
      </c>
    </row>
    <row r="1900" spans="1:12" x14ac:dyDescent="0.25">
      <c r="A1900">
        <v>2025</v>
      </c>
      <c r="C1900" s="9" t="s">
        <v>1620</v>
      </c>
      <c r="D1900" s="9" t="s">
        <v>1679</v>
      </c>
      <c r="F1900" s="6">
        <v>70</v>
      </c>
      <c r="G1900" s="6">
        <f t="shared" si="99"/>
        <v>70</v>
      </c>
      <c r="H1900" s="6">
        <v>70</v>
      </c>
      <c r="I1900" s="6">
        <f t="shared" si="100"/>
        <v>0</v>
      </c>
      <c r="J1900" s="7" t="str">
        <f t="shared" si="98"/>
        <v>PAGADO</v>
      </c>
    </row>
    <row r="1901" spans="1:12" x14ac:dyDescent="0.25">
      <c r="A1901">
        <v>2025</v>
      </c>
      <c r="C1901" s="9" t="s">
        <v>937</v>
      </c>
      <c r="D1901" s="9" t="s">
        <v>236</v>
      </c>
      <c r="F1901" s="6">
        <v>55</v>
      </c>
      <c r="G1901" s="6">
        <f t="shared" si="99"/>
        <v>55</v>
      </c>
      <c r="H1901" s="6">
        <v>55</v>
      </c>
      <c r="I1901" s="6">
        <f t="shared" si="100"/>
        <v>0</v>
      </c>
      <c r="J1901" s="7" t="str">
        <f t="shared" si="98"/>
        <v>PAGADO</v>
      </c>
    </row>
    <row r="1902" spans="1:12" x14ac:dyDescent="0.25">
      <c r="A1902">
        <v>2025</v>
      </c>
      <c r="C1902" t="s">
        <v>1871</v>
      </c>
      <c r="D1902" s="9" t="s">
        <v>1309</v>
      </c>
      <c r="F1902" s="6">
        <v>15</v>
      </c>
      <c r="G1902" s="6">
        <f t="shared" si="99"/>
        <v>15</v>
      </c>
      <c r="H1902" s="6">
        <v>15</v>
      </c>
      <c r="I1902" s="6">
        <f t="shared" si="100"/>
        <v>0</v>
      </c>
      <c r="J1902" s="7" t="str">
        <f t="shared" si="98"/>
        <v>PAGADO</v>
      </c>
      <c r="K1902" s="9"/>
    </row>
    <row r="1903" spans="1:12" x14ac:dyDescent="0.25">
      <c r="A1903">
        <v>2025</v>
      </c>
      <c r="C1903" s="9" t="s">
        <v>1872</v>
      </c>
      <c r="D1903" s="9" t="s">
        <v>722</v>
      </c>
      <c r="F1903" s="6">
        <v>70</v>
      </c>
      <c r="G1903" s="6">
        <f t="shared" si="99"/>
        <v>70</v>
      </c>
      <c r="H1903" s="6">
        <v>70</v>
      </c>
      <c r="I1903" s="6">
        <f t="shared" si="100"/>
        <v>0</v>
      </c>
      <c r="J1903" s="7" t="str">
        <f t="shared" si="98"/>
        <v>PAGADO</v>
      </c>
    </row>
    <row r="1904" spans="1:12" x14ac:dyDescent="0.25">
      <c r="A1904">
        <v>2025</v>
      </c>
      <c r="C1904" s="9" t="s">
        <v>1873</v>
      </c>
      <c r="D1904" s="9" t="s">
        <v>1055</v>
      </c>
      <c r="F1904" s="6">
        <v>70</v>
      </c>
      <c r="G1904" s="6">
        <f t="shared" si="99"/>
        <v>70</v>
      </c>
      <c r="H1904" s="6">
        <f>20+25+20+5</f>
        <v>70</v>
      </c>
      <c r="I1904" s="6">
        <f t="shared" si="100"/>
        <v>0</v>
      </c>
      <c r="J1904" s="7" t="str">
        <f t="shared" si="98"/>
        <v>PAGADO</v>
      </c>
      <c r="K1904" s="45" t="s">
        <v>1056</v>
      </c>
      <c r="L1904" t="s">
        <v>1821</v>
      </c>
    </row>
    <row r="1905" spans="1:12" x14ac:dyDescent="0.25">
      <c r="A1905">
        <v>2025</v>
      </c>
      <c r="C1905" s="9" t="s">
        <v>1874</v>
      </c>
      <c r="D1905" s="9" t="s">
        <v>1055</v>
      </c>
      <c r="F1905" s="6">
        <v>70</v>
      </c>
      <c r="G1905" s="6">
        <f t="shared" si="99"/>
        <v>70</v>
      </c>
      <c r="H1905" s="6">
        <f>20+50</f>
        <v>70</v>
      </c>
      <c r="I1905" s="6">
        <f t="shared" si="100"/>
        <v>0</v>
      </c>
      <c r="J1905" s="7" t="str">
        <f t="shared" si="98"/>
        <v>PAGADO</v>
      </c>
      <c r="K1905" s="33" t="s">
        <v>1823</v>
      </c>
      <c r="L1905" t="s">
        <v>1821</v>
      </c>
    </row>
    <row r="1906" spans="1:12" x14ac:dyDescent="0.25">
      <c r="A1906">
        <v>2025</v>
      </c>
      <c r="C1906" s="9" t="s">
        <v>504</v>
      </c>
      <c r="D1906" s="9" t="s">
        <v>1659</v>
      </c>
      <c r="F1906" s="6">
        <v>80</v>
      </c>
      <c r="G1906" s="6">
        <f t="shared" si="99"/>
        <v>80</v>
      </c>
      <c r="H1906" s="6">
        <v>80</v>
      </c>
      <c r="I1906" s="6">
        <f t="shared" si="100"/>
        <v>0</v>
      </c>
      <c r="J1906" s="7" t="str">
        <f t="shared" si="98"/>
        <v>PAGADO</v>
      </c>
      <c r="K1906" s="9"/>
    </row>
    <row r="1907" spans="1:12" x14ac:dyDescent="0.25">
      <c r="A1907">
        <v>2025</v>
      </c>
      <c r="C1907" s="52" t="s">
        <v>1875</v>
      </c>
      <c r="D1907" s="9" t="s">
        <v>1451</v>
      </c>
      <c r="F1907" s="6">
        <v>90</v>
      </c>
      <c r="G1907" s="6">
        <f t="shared" si="99"/>
        <v>90</v>
      </c>
      <c r="H1907" s="6">
        <f>45+45</f>
        <v>90</v>
      </c>
      <c r="I1907" s="6">
        <f t="shared" si="100"/>
        <v>0</v>
      </c>
      <c r="J1907" s="7" t="str">
        <f t="shared" si="98"/>
        <v>PAGADO</v>
      </c>
    </row>
    <row r="1908" spans="1:12" x14ac:dyDescent="0.25">
      <c r="A1908">
        <v>2025</v>
      </c>
      <c r="C1908" s="52" t="s">
        <v>1876</v>
      </c>
      <c r="D1908" s="9" t="s">
        <v>1451</v>
      </c>
      <c r="F1908" s="6">
        <v>90</v>
      </c>
      <c r="G1908" s="6">
        <f t="shared" si="99"/>
        <v>90</v>
      </c>
      <c r="H1908" s="6">
        <f>45+45</f>
        <v>90</v>
      </c>
      <c r="I1908" s="6">
        <f t="shared" si="100"/>
        <v>0</v>
      </c>
      <c r="J1908" s="7" t="str">
        <f t="shared" si="98"/>
        <v>PAGADO</v>
      </c>
    </row>
    <row r="1909" spans="1:12" x14ac:dyDescent="0.25">
      <c r="A1909">
        <v>2025</v>
      </c>
      <c r="C1909" s="52" t="s">
        <v>1861</v>
      </c>
      <c r="D1909" s="9" t="s">
        <v>1451</v>
      </c>
      <c r="F1909" s="6">
        <v>75</v>
      </c>
      <c r="G1909" s="6">
        <f t="shared" si="99"/>
        <v>75</v>
      </c>
      <c r="H1909" s="6">
        <f>37.5+37.5</f>
        <v>75</v>
      </c>
      <c r="I1909" s="6">
        <f t="shared" si="100"/>
        <v>0</v>
      </c>
      <c r="J1909" s="7" t="str">
        <f t="shared" si="98"/>
        <v>PAGADO</v>
      </c>
    </row>
    <row r="1910" spans="1:12" x14ac:dyDescent="0.25">
      <c r="A1910">
        <v>2025</v>
      </c>
      <c r="C1910" s="52" t="s">
        <v>1862</v>
      </c>
      <c r="D1910" s="9" t="s">
        <v>1451</v>
      </c>
      <c r="F1910" s="6">
        <v>75</v>
      </c>
      <c r="G1910" s="6">
        <f t="shared" si="99"/>
        <v>75</v>
      </c>
      <c r="H1910" s="6">
        <f>37.5+37.5</f>
        <v>75</v>
      </c>
      <c r="I1910" s="6">
        <f t="shared" si="100"/>
        <v>0</v>
      </c>
      <c r="J1910" s="7" t="str">
        <f t="shared" si="98"/>
        <v>PAGADO</v>
      </c>
    </row>
    <row r="1911" spans="1:12" x14ac:dyDescent="0.25">
      <c r="A1911">
        <v>2025</v>
      </c>
      <c r="C1911" s="52" t="s">
        <v>1877</v>
      </c>
      <c r="D1911" s="9" t="s">
        <v>1451</v>
      </c>
      <c r="F1911" s="6">
        <v>150</v>
      </c>
      <c r="G1911" s="6">
        <f t="shared" si="99"/>
        <v>150</v>
      </c>
      <c r="H1911" s="6">
        <f>75+75</f>
        <v>150</v>
      </c>
      <c r="I1911" s="6">
        <f t="shared" si="100"/>
        <v>0</v>
      </c>
      <c r="J1911" s="7" t="str">
        <f t="shared" si="98"/>
        <v>PAGADO</v>
      </c>
    </row>
    <row r="1912" spans="1:12" x14ac:dyDescent="0.25">
      <c r="A1912">
        <v>2025</v>
      </c>
      <c r="C1912" s="52" t="s">
        <v>1878</v>
      </c>
      <c r="D1912" s="9" t="s">
        <v>1451</v>
      </c>
      <c r="F1912" s="6">
        <v>90</v>
      </c>
      <c r="G1912" s="6">
        <f t="shared" si="99"/>
        <v>90</v>
      </c>
      <c r="H1912" s="6">
        <v>90</v>
      </c>
      <c r="I1912" s="6">
        <f t="shared" si="100"/>
        <v>0</v>
      </c>
      <c r="J1912" s="7" t="str">
        <f t="shared" si="98"/>
        <v>PAGADO</v>
      </c>
    </row>
    <row r="1913" spans="1:12" x14ac:dyDescent="0.25">
      <c r="A1913">
        <v>2025</v>
      </c>
      <c r="C1913" s="9" t="s">
        <v>1861</v>
      </c>
      <c r="D1913" s="9" t="s">
        <v>816</v>
      </c>
      <c r="F1913" s="6">
        <v>80</v>
      </c>
      <c r="G1913" s="6">
        <f t="shared" si="99"/>
        <v>80</v>
      </c>
      <c r="H1913" s="6">
        <v>80</v>
      </c>
      <c r="I1913" s="27">
        <f t="shared" si="100"/>
        <v>0</v>
      </c>
      <c r="J1913" s="7" t="str">
        <f t="shared" si="98"/>
        <v>PAGADO</v>
      </c>
      <c r="K1913" s="9"/>
    </row>
    <row r="1914" spans="1:12" x14ac:dyDescent="0.25">
      <c r="A1914">
        <v>2025</v>
      </c>
      <c r="C1914" s="9" t="s">
        <v>1862</v>
      </c>
      <c r="D1914" s="9" t="s">
        <v>816</v>
      </c>
      <c r="F1914" s="6">
        <v>80</v>
      </c>
      <c r="G1914" s="6">
        <f t="shared" si="99"/>
        <v>80</v>
      </c>
      <c r="H1914" s="6">
        <v>80</v>
      </c>
      <c r="I1914" s="16">
        <f t="shared" si="100"/>
        <v>0</v>
      </c>
      <c r="J1914" s="7" t="str">
        <f t="shared" si="98"/>
        <v>PAGADO</v>
      </c>
      <c r="K1914" s="9"/>
    </row>
    <row r="1915" spans="1:12" x14ac:dyDescent="0.25">
      <c r="A1915">
        <v>2025</v>
      </c>
      <c r="C1915" s="9" t="s">
        <v>1879</v>
      </c>
      <c r="D1915" t="s">
        <v>1399</v>
      </c>
      <c r="F1915" s="6">
        <v>60</v>
      </c>
      <c r="G1915" s="6">
        <f t="shared" si="99"/>
        <v>60</v>
      </c>
      <c r="H1915" s="6">
        <v>60</v>
      </c>
      <c r="I1915" s="6">
        <f t="shared" si="100"/>
        <v>0</v>
      </c>
      <c r="J1915" s="7" t="str">
        <f t="shared" si="98"/>
        <v>PAGADO</v>
      </c>
    </row>
    <row r="1916" spans="1:12" x14ac:dyDescent="0.25">
      <c r="A1916">
        <v>2025</v>
      </c>
      <c r="C1916" t="s">
        <v>1880</v>
      </c>
      <c r="D1916" s="9" t="s">
        <v>1309</v>
      </c>
      <c r="F1916" s="6">
        <v>60</v>
      </c>
      <c r="G1916" s="6">
        <f t="shared" si="99"/>
        <v>60</v>
      </c>
      <c r="H1916" s="6">
        <v>60</v>
      </c>
      <c r="I1916" s="24">
        <f t="shared" si="100"/>
        <v>0</v>
      </c>
      <c r="J1916" s="7" t="str">
        <f t="shared" si="98"/>
        <v>PAGADO</v>
      </c>
      <c r="K1916" s="9"/>
    </row>
    <row r="1917" spans="1:12" x14ac:dyDescent="0.25">
      <c r="A1917">
        <v>2025</v>
      </c>
      <c r="C1917" t="s">
        <v>1881</v>
      </c>
      <c r="D1917" s="9" t="s">
        <v>1309</v>
      </c>
      <c r="F1917" s="6">
        <v>35</v>
      </c>
      <c r="G1917" s="6">
        <f t="shared" si="99"/>
        <v>35</v>
      </c>
      <c r="H1917" s="6">
        <v>35</v>
      </c>
      <c r="I1917" s="26">
        <f t="shared" si="100"/>
        <v>0</v>
      </c>
      <c r="J1917" s="7" t="str">
        <f t="shared" si="98"/>
        <v>PAGADO</v>
      </c>
      <c r="K1917" s="9"/>
    </row>
    <row r="1918" spans="1:12" x14ac:dyDescent="0.25">
      <c r="A1918">
        <v>2025</v>
      </c>
      <c r="C1918" t="s">
        <v>1882</v>
      </c>
      <c r="D1918" s="9" t="s">
        <v>1309</v>
      </c>
      <c r="F1918" s="6">
        <v>50</v>
      </c>
      <c r="G1918" s="6">
        <f t="shared" si="99"/>
        <v>50</v>
      </c>
      <c r="H1918" s="6">
        <f>30+20</f>
        <v>50</v>
      </c>
      <c r="I1918" s="6">
        <f t="shared" si="100"/>
        <v>0</v>
      </c>
      <c r="J1918" s="7" t="str">
        <f t="shared" si="98"/>
        <v>PAGADO</v>
      </c>
      <c r="K1918" s="9"/>
    </row>
    <row r="1919" spans="1:12" x14ac:dyDescent="0.25">
      <c r="A1919">
        <v>2025</v>
      </c>
      <c r="C1919" s="9" t="s">
        <v>1883</v>
      </c>
      <c r="D1919" t="s">
        <v>39</v>
      </c>
      <c r="F1919" s="6">
        <v>30</v>
      </c>
      <c r="G1919" s="6">
        <f t="shared" si="99"/>
        <v>30</v>
      </c>
      <c r="H1919" s="6">
        <v>30</v>
      </c>
      <c r="I1919" s="6">
        <f t="shared" si="100"/>
        <v>0</v>
      </c>
      <c r="J1919" s="7" t="str">
        <f t="shared" si="98"/>
        <v>PAGADO</v>
      </c>
    </row>
    <row r="1920" spans="1:12" x14ac:dyDescent="0.25">
      <c r="A1920">
        <v>2025</v>
      </c>
      <c r="C1920" s="9" t="s">
        <v>1861</v>
      </c>
      <c r="D1920" s="9" t="s">
        <v>1388</v>
      </c>
      <c r="F1920" s="6">
        <v>75</v>
      </c>
      <c r="G1920" s="6">
        <f t="shared" si="99"/>
        <v>75</v>
      </c>
      <c r="H1920" s="6">
        <f>30+45</f>
        <v>75</v>
      </c>
      <c r="I1920" s="6">
        <f t="shared" si="100"/>
        <v>0</v>
      </c>
      <c r="J1920" s="7" t="str">
        <f t="shared" si="98"/>
        <v>PAGADO</v>
      </c>
      <c r="K1920" s="33"/>
    </row>
    <row r="1921" spans="1:11" x14ac:dyDescent="0.25">
      <c r="A1921">
        <v>2025</v>
      </c>
      <c r="C1921" s="9" t="s">
        <v>1884</v>
      </c>
      <c r="D1921" s="9" t="s">
        <v>1388</v>
      </c>
      <c r="F1921" s="6">
        <v>100</v>
      </c>
      <c r="G1921" s="6">
        <f t="shared" si="99"/>
        <v>100</v>
      </c>
      <c r="H1921" s="6">
        <v>100</v>
      </c>
      <c r="I1921" s="6">
        <f t="shared" si="100"/>
        <v>0</v>
      </c>
      <c r="J1921" s="7" t="str">
        <f t="shared" si="98"/>
        <v>PAGADO</v>
      </c>
    </row>
    <row r="1922" spans="1:11" x14ac:dyDescent="0.25">
      <c r="A1922">
        <v>2025</v>
      </c>
      <c r="C1922" s="9" t="s">
        <v>1885</v>
      </c>
      <c r="D1922" s="9" t="s">
        <v>1677</v>
      </c>
      <c r="F1922" s="6">
        <v>140</v>
      </c>
      <c r="G1922" s="6">
        <f t="shared" si="99"/>
        <v>140</v>
      </c>
      <c r="H1922" s="24">
        <v>140</v>
      </c>
      <c r="I1922" s="6">
        <f t="shared" si="100"/>
        <v>0</v>
      </c>
      <c r="J1922" s="7" t="str">
        <f t="shared" si="98"/>
        <v>PAGADO</v>
      </c>
      <c r="K1922" t="s">
        <v>693</v>
      </c>
    </row>
    <row r="1923" spans="1:11" x14ac:dyDescent="0.25">
      <c r="A1923">
        <v>2025</v>
      </c>
      <c r="C1923" s="9" t="s">
        <v>851</v>
      </c>
      <c r="D1923" s="9" t="s">
        <v>1886</v>
      </c>
      <c r="F1923" s="6">
        <v>110</v>
      </c>
      <c r="G1923" s="6">
        <f t="shared" si="99"/>
        <v>110</v>
      </c>
      <c r="H1923" s="6">
        <v>110</v>
      </c>
      <c r="I1923" s="6">
        <f t="shared" si="100"/>
        <v>0</v>
      </c>
      <c r="J1923" s="7" t="str">
        <f t="shared" si="98"/>
        <v>PAGADO</v>
      </c>
    </row>
    <row r="1924" spans="1:11" x14ac:dyDescent="0.25">
      <c r="A1924">
        <v>2025</v>
      </c>
      <c r="C1924" s="9" t="s">
        <v>1887</v>
      </c>
      <c r="D1924" s="9" t="s">
        <v>1363</v>
      </c>
      <c r="F1924" s="6">
        <v>75</v>
      </c>
      <c r="G1924" s="6">
        <f t="shared" si="99"/>
        <v>75</v>
      </c>
      <c r="H1924" s="6">
        <v>75</v>
      </c>
      <c r="I1924" s="6">
        <f t="shared" si="100"/>
        <v>0</v>
      </c>
      <c r="J1924" s="7" t="str">
        <f t="shared" si="98"/>
        <v>PAGADO</v>
      </c>
    </row>
    <row r="1925" spans="1:11" x14ac:dyDescent="0.25">
      <c r="A1925">
        <v>2025</v>
      </c>
      <c r="C1925" s="9" t="s">
        <v>1126</v>
      </c>
      <c r="D1925" s="9" t="s">
        <v>1363</v>
      </c>
      <c r="F1925" s="6">
        <v>75</v>
      </c>
      <c r="G1925" s="6">
        <f t="shared" si="99"/>
        <v>75</v>
      </c>
      <c r="H1925" s="6">
        <v>75</v>
      </c>
      <c r="I1925" s="6">
        <f t="shared" si="100"/>
        <v>0</v>
      </c>
      <c r="J1925" s="7" t="str">
        <f t="shared" si="98"/>
        <v>PAGADO</v>
      </c>
    </row>
    <row r="1926" spans="1:11" x14ac:dyDescent="0.25">
      <c r="A1926">
        <v>2025</v>
      </c>
      <c r="C1926" s="9" t="s">
        <v>1888</v>
      </c>
      <c r="D1926" s="9" t="s">
        <v>1425</v>
      </c>
      <c r="F1926" s="6">
        <v>65</v>
      </c>
      <c r="G1926" s="6">
        <f t="shared" si="99"/>
        <v>65</v>
      </c>
      <c r="H1926" s="6">
        <v>65</v>
      </c>
      <c r="I1926" s="26">
        <f t="shared" si="100"/>
        <v>0</v>
      </c>
      <c r="J1926" s="7" t="str">
        <f t="shared" si="98"/>
        <v>PAGADO</v>
      </c>
    </row>
    <row r="1927" spans="1:11" x14ac:dyDescent="0.25">
      <c r="A1927">
        <v>2025</v>
      </c>
      <c r="C1927" s="9" t="s">
        <v>1889</v>
      </c>
      <c r="D1927" s="9" t="s">
        <v>1425</v>
      </c>
      <c r="F1927" s="6">
        <v>60</v>
      </c>
      <c r="G1927" s="6">
        <f t="shared" si="99"/>
        <v>60</v>
      </c>
      <c r="H1927" s="6">
        <v>60</v>
      </c>
      <c r="I1927" s="26">
        <f t="shared" si="100"/>
        <v>0</v>
      </c>
      <c r="J1927" s="7" t="str">
        <f t="shared" si="98"/>
        <v>PAGADO</v>
      </c>
    </row>
    <row r="1928" spans="1:11" x14ac:dyDescent="0.25">
      <c r="A1928">
        <v>2025</v>
      </c>
      <c r="C1928" s="9" t="s">
        <v>1890</v>
      </c>
      <c r="D1928" s="9" t="s">
        <v>1425</v>
      </c>
      <c r="F1928" s="6">
        <v>10</v>
      </c>
      <c r="G1928" s="6">
        <f t="shared" si="99"/>
        <v>10</v>
      </c>
      <c r="H1928" s="6">
        <v>10</v>
      </c>
      <c r="I1928" s="26">
        <f t="shared" si="100"/>
        <v>0</v>
      </c>
      <c r="J1928" s="7" t="str">
        <f t="shared" si="98"/>
        <v>PAGADO</v>
      </c>
    </row>
    <row r="1929" spans="1:11" x14ac:dyDescent="0.25">
      <c r="A1929">
        <v>2025</v>
      </c>
      <c r="C1929" s="9" t="s">
        <v>1891</v>
      </c>
      <c r="D1929" s="9" t="s">
        <v>1425</v>
      </c>
      <c r="F1929" s="6">
        <v>40</v>
      </c>
      <c r="G1929" s="6">
        <f t="shared" si="99"/>
        <v>40</v>
      </c>
      <c r="H1929" s="6">
        <v>40</v>
      </c>
      <c r="I1929" s="26">
        <f t="shared" si="100"/>
        <v>0</v>
      </c>
      <c r="J1929" s="7" t="str">
        <f t="shared" si="98"/>
        <v>PAGADO</v>
      </c>
    </row>
    <row r="1930" spans="1:11" x14ac:dyDescent="0.25">
      <c r="A1930">
        <v>2025</v>
      </c>
      <c r="C1930" s="9" t="s">
        <v>1892</v>
      </c>
      <c r="D1930" s="9" t="s">
        <v>1504</v>
      </c>
      <c r="F1930" s="6">
        <v>130</v>
      </c>
      <c r="G1930" s="6">
        <f t="shared" si="99"/>
        <v>130</v>
      </c>
      <c r="H1930" s="6">
        <v>130</v>
      </c>
      <c r="I1930" s="24">
        <f t="shared" si="100"/>
        <v>0</v>
      </c>
      <c r="J1930" s="7" t="str">
        <f t="shared" si="98"/>
        <v>PAGADO</v>
      </c>
      <c r="K1930" t="s">
        <v>693</v>
      </c>
    </row>
    <row r="1931" spans="1:11" x14ac:dyDescent="0.25">
      <c r="A1931">
        <v>2025</v>
      </c>
      <c r="C1931" s="9" t="s">
        <v>1893</v>
      </c>
      <c r="D1931" s="9" t="s">
        <v>1504</v>
      </c>
      <c r="F1931" s="6">
        <v>130</v>
      </c>
      <c r="G1931" s="6">
        <f t="shared" si="99"/>
        <v>130</v>
      </c>
      <c r="H1931" s="6">
        <v>130</v>
      </c>
      <c r="I1931" s="24">
        <f t="shared" si="100"/>
        <v>0</v>
      </c>
      <c r="J1931" s="7" t="str">
        <f t="shared" si="98"/>
        <v>PAGADO</v>
      </c>
      <c r="K1931" t="s">
        <v>693</v>
      </c>
    </row>
    <row r="1932" spans="1:11" x14ac:dyDescent="0.25">
      <c r="A1932">
        <v>2025</v>
      </c>
      <c r="C1932" s="9" t="s">
        <v>1894</v>
      </c>
      <c r="D1932" s="9" t="s">
        <v>1504</v>
      </c>
      <c r="F1932" s="6">
        <v>60</v>
      </c>
      <c r="G1932" s="6">
        <f t="shared" si="99"/>
        <v>60</v>
      </c>
      <c r="H1932" s="6">
        <v>60</v>
      </c>
      <c r="I1932" s="24">
        <f t="shared" si="100"/>
        <v>0</v>
      </c>
      <c r="J1932" s="7" t="str">
        <f t="shared" si="98"/>
        <v>PAGADO</v>
      </c>
      <c r="K1932" t="s">
        <v>693</v>
      </c>
    </row>
    <row r="1933" spans="1:11" x14ac:dyDescent="0.25">
      <c r="A1933">
        <v>2025</v>
      </c>
      <c r="C1933" s="9" t="s">
        <v>1895</v>
      </c>
      <c r="D1933" s="9" t="s">
        <v>1504</v>
      </c>
      <c r="F1933" s="6">
        <v>60</v>
      </c>
      <c r="G1933" s="6">
        <f t="shared" si="99"/>
        <v>60</v>
      </c>
      <c r="H1933" s="6">
        <v>60</v>
      </c>
      <c r="I1933" s="24">
        <f t="shared" si="100"/>
        <v>0</v>
      </c>
      <c r="J1933" s="7" t="str">
        <f t="shared" ref="J1933:J1996" si="101">IF(I1933&gt;0,"DEBE","PAGADO")</f>
        <v>PAGADO</v>
      </c>
      <c r="K1933" t="s">
        <v>693</v>
      </c>
    </row>
    <row r="1934" spans="1:11" x14ac:dyDescent="0.25">
      <c r="A1934">
        <v>2025</v>
      </c>
      <c r="C1934" s="9" t="s">
        <v>1896</v>
      </c>
      <c r="D1934" s="9" t="s">
        <v>1504</v>
      </c>
      <c r="F1934" s="6">
        <v>50</v>
      </c>
      <c r="G1934" s="6">
        <f t="shared" si="99"/>
        <v>50</v>
      </c>
      <c r="H1934" s="6">
        <v>50</v>
      </c>
      <c r="I1934" s="24">
        <f t="shared" si="100"/>
        <v>0</v>
      </c>
      <c r="J1934" s="7" t="str">
        <f t="shared" si="101"/>
        <v>PAGADO</v>
      </c>
      <c r="K1934" t="s">
        <v>693</v>
      </c>
    </row>
    <row r="1935" spans="1:11" x14ac:dyDescent="0.25">
      <c r="A1935">
        <v>2025</v>
      </c>
      <c r="C1935" s="9" t="s">
        <v>1897</v>
      </c>
      <c r="D1935" s="9" t="s">
        <v>1504</v>
      </c>
      <c r="F1935" s="6">
        <v>70</v>
      </c>
      <c r="G1935" s="6">
        <f t="shared" si="99"/>
        <v>70</v>
      </c>
      <c r="H1935" s="6">
        <v>70</v>
      </c>
      <c r="I1935" s="24">
        <f t="shared" si="100"/>
        <v>0</v>
      </c>
      <c r="J1935" s="7" t="str">
        <f t="shared" si="101"/>
        <v>PAGADO</v>
      </c>
      <c r="K1935" t="s">
        <v>693</v>
      </c>
    </row>
    <row r="1936" spans="1:11" x14ac:dyDescent="0.25">
      <c r="A1936">
        <v>2025</v>
      </c>
      <c r="C1936" s="9" t="s">
        <v>1898</v>
      </c>
      <c r="D1936" s="9" t="s">
        <v>1504</v>
      </c>
      <c r="F1936" s="6">
        <v>100</v>
      </c>
      <c r="G1936" s="6">
        <f t="shared" si="99"/>
        <v>100</v>
      </c>
      <c r="H1936" s="6">
        <v>100</v>
      </c>
      <c r="I1936" s="24">
        <f t="shared" si="100"/>
        <v>0</v>
      </c>
      <c r="J1936" s="7" t="str">
        <f t="shared" si="101"/>
        <v>PAGADO</v>
      </c>
      <c r="K1936" t="s">
        <v>693</v>
      </c>
    </row>
    <row r="1937" spans="1:11" x14ac:dyDescent="0.25">
      <c r="A1937">
        <v>2025</v>
      </c>
      <c r="C1937" s="9" t="s">
        <v>1899</v>
      </c>
      <c r="D1937" s="9" t="s">
        <v>1504</v>
      </c>
      <c r="F1937" s="6">
        <v>100</v>
      </c>
      <c r="G1937" s="6">
        <f t="shared" si="99"/>
        <v>100</v>
      </c>
      <c r="H1937" s="6">
        <v>100</v>
      </c>
      <c r="I1937" s="24">
        <f t="shared" si="100"/>
        <v>0</v>
      </c>
      <c r="J1937" s="7" t="str">
        <f t="shared" si="101"/>
        <v>PAGADO</v>
      </c>
      <c r="K1937" t="s">
        <v>693</v>
      </c>
    </row>
    <row r="1938" spans="1:11" x14ac:dyDescent="0.25">
      <c r="A1938">
        <v>2025</v>
      </c>
      <c r="C1938" s="9" t="s">
        <v>1900</v>
      </c>
      <c r="D1938" s="9" t="s">
        <v>1504</v>
      </c>
      <c r="F1938" s="6">
        <v>100</v>
      </c>
      <c r="G1938" s="6">
        <f t="shared" si="99"/>
        <v>100</v>
      </c>
      <c r="H1938" s="6">
        <v>100</v>
      </c>
      <c r="I1938" s="24">
        <f t="shared" si="100"/>
        <v>0</v>
      </c>
      <c r="J1938" s="7" t="str">
        <f t="shared" si="101"/>
        <v>PAGADO</v>
      </c>
      <c r="K1938" t="s">
        <v>693</v>
      </c>
    </row>
    <row r="1939" spans="1:11" x14ac:dyDescent="0.25">
      <c r="A1939">
        <v>2025</v>
      </c>
      <c r="C1939" s="9" t="s">
        <v>1901</v>
      </c>
      <c r="D1939" s="9" t="s">
        <v>1504</v>
      </c>
      <c r="F1939" s="6">
        <v>60</v>
      </c>
      <c r="G1939" s="6">
        <f t="shared" si="99"/>
        <v>60</v>
      </c>
      <c r="H1939" s="6">
        <f>50+10</f>
        <v>60</v>
      </c>
      <c r="I1939" s="27">
        <f t="shared" si="100"/>
        <v>0</v>
      </c>
      <c r="J1939" s="7" t="str">
        <f t="shared" si="101"/>
        <v>PAGADO</v>
      </c>
      <c r="K1939" t="s">
        <v>693</v>
      </c>
    </row>
    <row r="1940" spans="1:11" x14ac:dyDescent="0.25">
      <c r="A1940">
        <v>2025</v>
      </c>
      <c r="C1940" s="9" t="s">
        <v>1902</v>
      </c>
      <c r="D1940" s="9" t="s">
        <v>1504</v>
      </c>
      <c r="F1940" s="6">
        <v>60</v>
      </c>
      <c r="G1940" s="6">
        <f t="shared" si="99"/>
        <v>60</v>
      </c>
      <c r="H1940" s="6">
        <v>60</v>
      </c>
      <c r="I1940" s="27">
        <f t="shared" si="100"/>
        <v>0</v>
      </c>
      <c r="J1940" s="7" t="str">
        <f t="shared" si="101"/>
        <v>PAGADO</v>
      </c>
      <c r="K1940" t="s">
        <v>693</v>
      </c>
    </row>
    <row r="1941" spans="1:11" x14ac:dyDescent="0.25">
      <c r="A1941">
        <v>2025</v>
      </c>
      <c r="C1941" s="9" t="s">
        <v>1903</v>
      </c>
      <c r="D1941" s="9" t="s">
        <v>1504</v>
      </c>
      <c r="F1941" s="6">
        <v>60</v>
      </c>
      <c r="G1941" s="6">
        <f t="shared" si="99"/>
        <v>60</v>
      </c>
      <c r="H1941" s="6">
        <v>60</v>
      </c>
      <c r="I1941" s="27">
        <f t="shared" si="100"/>
        <v>0</v>
      </c>
      <c r="J1941" s="7" t="str">
        <f t="shared" si="101"/>
        <v>PAGADO</v>
      </c>
      <c r="K1941" t="s">
        <v>693</v>
      </c>
    </row>
    <row r="1942" spans="1:11" x14ac:dyDescent="0.25">
      <c r="A1942">
        <v>2025</v>
      </c>
      <c r="C1942" s="9" t="s">
        <v>1904</v>
      </c>
      <c r="D1942" s="9" t="s">
        <v>1504</v>
      </c>
      <c r="F1942" s="6">
        <v>75</v>
      </c>
      <c r="G1942" s="6">
        <f t="shared" si="99"/>
        <v>75</v>
      </c>
      <c r="H1942" s="6">
        <v>75</v>
      </c>
      <c r="I1942" s="27">
        <f t="shared" si="100"/>
        <v>0</v>
      </c>
      <c r="J1942" s="7" t="str">
        <f t="shared" si="101"/>
        <v>PAGADO</v>
      </c>
      <c r="K1942" t="s">
        <v>693</v>
      </c>
    </row>
    <row r="1943" spans="1:11" x14ac:dyDescent="0.25">
      <c r="A1943">
        <v>2025</v>
      </c>
      <c r="C1943" s="9" t="s">
        <v>1905</v>
      </c>
      <c r="D1943" s="9" t="s">
        <v>1504</v>
      </c>
      <c r="F1943" s="6">
        <v>90</v>
      </c>
      <c r="G1943" s="6">
        <f t="shared" si="99"/>
        <v>90</v>
      </c>
      <c r="H1943" s="6">
        <v>90</v>
      </c>
      <c r="I1943" s="26">
        <f t="shared" si="100"/>
        <v>0</v>
      </c>
      <c r="J1943" s="7" t="str">
        <f t="shared" si="101"/>
        <v>PAGADO</v>
      </c>
      <c r="K1943" t="s">
        <v>693</v>
      </c>
    </row>
    <row r="1944" spans="1:11" x14ac:dyDescent="0.25">
      <c r="A1944">
        <v>2025</v>
      </c>
      <c r="C1944" s="9" t="s">
        <v>1906</v>
      </c>
      <c r="D1944" s="9" t="s">
        <v>1504</v>
      </c>
      <c r="F1944" s="6">
        <v>75</v>
      </c>
      <c r="G1944" s="6">
        <f t="shared" si="99"/>
        <v>75</v>
      </c>
      <c r="H1944" s="6">
        <v>75</v>
      </c>
      <c r="I1944" s="26">
        <f t="shared" si="100"/>
        <v>0</v>
      </c>
      <c r="J1944" s="7" t="str">
        <f t="shared" si="101"/>
        <v>PAGADO</v>
      </c>
      <c r="K1944" t="s">
        <v>693</v>
      </c>
    </row>
    <row r="1945" spans="1:11" x14ac:dyDescent="0.25">
      <c r="A1945">
        <v>2025</v>
      </c>
      <c r="C1945" s="9" t="s">
        <v>1907</v>
      </c>
      <c r="D1945" s="9" t="s">
        <v>1504</v>
      </c>
      <c r="F1945" s="6">
        <v>75</v>
      </c>
      <c r="G1945" s="6">
        <f t="shared" si="99"/>
        <v>75</v>
      </c>
      <c r="H1945" s="6">
        <v>75</v>
      </c>
      <c r="I1945" s="26">
        <f t="shared" si="100"/>
        <v>0</v>
      </c>
      <c r="J1945" s="7" t="str">
        <f t="shared" si="101"/>
        <v>PAGADO</v>
      </c>
      <c r="K1945" t="s">
        <v>693</v>
      </c>
    </row>
    <row r="1946" spans="1:11" x14ac:dyDescent="0.25">
      <c r="A1946">
        <v>2025</v>
      </c>
      <c r="C1946" t="s">
        <v>1908</v>
      </c>
      <c r="D1946" s="9" t="s">
        <v>1309</v>
      </c>
      <c r="F1946" s="6">
        <v>80</v>
      </c>
      <c r="G1946" s="6">
        <f t="shared" si="99"/>
        <v>80</v>
      </c>
      <c r="H1946" s="24">
        <v>80</v>
      </c>
      <c r="I1946" s="26">
        <f t="shared" si="100"/>
        <v>0</v>
      </c>
      <c r="J1946" s="7" t="str">
        <f t="shared" si="101"/>
        <v>PAGADO</v>
      </c>
      <c r="K1946" s="9"/>
    </row>
    <row r="1947" spans="1:11" x14ac:dyDescent="0.25">
      <c r="A1947">
        <v>2025</v>
      </c>
      <c r="C1947" t="s">
        <v>1909</v>
      </c>
      <c r="D1947" s="9" t="s">
        <v>1309</v>
      </c>
      <c r="F1947" s="6">
        <v>80</v>
      </c>
      <c r="G1947" s="6">
        <f t="shared" si="99"/>
        <v>80</v>
      </c>
      <c r="H1947" s="24">
        <v>80</v>
      </c>
      <c r="I1947" s="26">
        <f t="shared" si="100"/>
        <v>0</v>
      </c>
      <c r="J1947" s="7" t="str">
        <f t="shared" si="101"/>
        <v>PAGADO</v>
      </c>
      <c r="K1947" s="9"/>
    </row>
    <row r="1948" spans="1:11" x14ac:dyDescent="0.25">
      <c r="A1948">
        <v>2025</v>
      </c>
      <c r="C1948" s="9" t="s">
        <v>1910</v>
      </c>
      <c r="D1948" t="s">
        <v>153</v>
      </c>
      <c r="F1948" s="6">
        <v>85</v>
      </c>
      <c r="G1948" s="6">
        <f t="shared" si="99"/>
        <v>85</v>
      </c>
      <c r="H1948" s="6">
        <f>40+45</f>
        <v>85</v>
      </c>
      <c r="I1948" s="6">
        <f t="shared" si="100"/>
        <v>0</v>
      </c>
      <c r="J1948" s="7" t="str">
        <f t="shared" si="101"/>
        <v>PAGADO</v>
      </c>
    </row>
    <row r="1949" spans="1:11" x14ac:dyDescent="0.25">
      <c r="A1949">
        <v>2025</v>
      </c>
      <c r="C1949" s="9" t="s">
        <v>1910</v>
      </c>
      <c r="D1949" t="s">
        <v>80</v>
      </c>
      <c r="F1949" s="6">
        <v>85</v>
      </c>
      <c r="G1949" s="6">
        <f t="shared" si="99"/>
        <v>85</v>
      </c>
      <c r="H1949" s="6">
        <v>85</v>
      </c>
      <c r="I1949" s="6">
        <f t="shared" si="100"/>
        <v>0</v>
      </c>
      <c r="J1949" s="7" t="str">
        <f t="shared" si="101"/>
        <v>PAGADO</v>
      </c>
    </row>
    <row r="1950" spans="1:11" x14ac:dyDescent="0.25">
      <c r="A1950">
        <v>2025</v>
      </c>
      <c r="C1950" s="9" t="s">
        <v>1911</v>
      </c>
      <c r="D1950" s="9" t="s">
        <v>1476</v>
      </c>
      <c r="F1950" s="6">
        <v>100</v>
      </c>
      <c r="G1950" s="6">
        <f t="shared" si="99"/>
        <v>100</v>
      </c>
      <c r="H1950" s="6">
        <v>100</v>
      </c>
      <c r="I1950" s="6">
        <f t="shared" si="100"/>
        <v>0</v>
      </c>
      <c r="J1950" s="7" t="str">
        <f t="shared" si="101"/>
        <v>PAGADO</v>
      </c>
    </row>
    <row r="1951" spans="1:11" x14ac:dyDescent="0.25">
      <c r="A1951">
        <v>2025</v>
      </c>
      <c r="C1951" s="9" t="s">
        <v>1912</v>
      </c>
      <c r="D1951" s="9" t="s">
        <v>1460</v>
      </c>
      <c r="F1951" s="6">
        <v>70</v>
      </c>
      <c r="G1951" s="6">
        <f t="shared" ref="G1951:G1980" si="102">F1951-E1951</f>
        <v>70</v>
      </c>
      <c r="H1951" s="6">
        <f>20+50</f>
        <v>70</v>
      </c>
      <c r="I1951" s="6">
        <f t="shared" si="100"/>
        <v>0</v>
      </c>
      <c r="J1951" s="7" t="str">
        <f t="shared" si="101"/>
        <v>PAGADO</v>
      </c>
    </row>
    <row r="1952" spans="1:11" x14ac:dyDescent="0.25">
      <c r="A1952">
        <v>2025</v>
      </c>
      <c r="C1952" s="9" t="s">
        <v>1913</v>
      </c>
      <c r="D1952" s="9" t="s">
        <v>1451</v>
      </c>
      <c r="F1952" s="6">
        <v>100</v>
      </c>
      <c r="G1952" s="6">
        <f t="shared" si="102"/>
        <v>100</v>
      </c>
      <c r="H1952" s="6">
        <v>100</v>
      </c>
      <c r="I1952" s="6">
        <f t="shared" si="100"/>
        <v>0</v>
      </c>
      <c r="J1952" s="7" t="str">
        <f t="shared" si="101"/>
        <v>PAGADO</v>
      </c>
    </row>
    <row r="1953" spans="1:10" x14ac:dyDescent="0.25">
      <c r="A1953">
        <v>2025</v>
      </c>
      <c r="C1953" s="9" t="s">
        <v>1901</v>
      </c>
      <c r="D1953" s="9" t="s">
        <v>1451</v>
      </c>
      <c r="F1953" s="6">
        <v>60</v>
      </c>
      <c r="G1953" s="6">
        <f t="shared" si="102"/>
        <v>60</v>
      </c>
      <c r="H1953" s="6">
        <v>60</v>
      </c>
      <c r="I1953" s="6">
        <f t="shared" si="100"/>
        <v>0</v>
      </c>
      <c r="J1953" s="7" t="str">
        <f t="shared" si="101"/>
        <v>PAGADO</v>
      </c>
    </row>
    <row r="1954" spans="1:10" x14ac:dyDescent="0.25">
      <c r="A1954">
        <v>2025</v>
      </c>
      <c r="C1954" t="s">
        <v>1914</v>
      </c>
      <c r="D1954" s="9" t="s">
        <v>1841</v>
      </c>
      <c r="F1954" s="6">
        <v>160</v>
      </c>
      <c r="G1954" s="6">
        <f t="shared" si="102"/>
        <v>160</v>
      </c>
      <c r="H1954" s="6">
        <f>70+90</f>
        <v>160</v>
      </c>
      <c r="I1954" s="6">
        <f t="shared" si="100"/>
        <v>0</v>
      </c>
      <c r="J1954" s="7" t="str">
        <f t="shared" si="101"/>
        <v>PAGADO</v>
      </c>
    </row>
    <row r="1955" spans="1:10" x14ac:dyDescent="0.25">
      <c r="A1955">
        <v>2025</v>
      </c>
      <c r="C1955" t="s">
        <v>1915</v>
      </c>
      <c r="D1955" s="9" t="s">
        <v>1841</v>
      </c>
      <c r="F1955" s="6">
        <v>60</v>
      </c>
      <c r="G1955" s="6">
        <f t="shared" si="102"/>
        <v>60</v>
      </c>
      <c r="H1955" s="6">
        <v>60</v>
      </c>
      <c r="I1955" s="6">
        <f t="shared" ref="I1955:I2018" si="103">F1955-H1955</f>
        <v>0</v>
      </c>
      <c r="J1955" s="7" t="str">
        <f t="shared" si="101"/>
        <v>PAGADO</v>
      </c>
    </row>
    <row r="1956" spans="1:10" x14ac:dyDescent="0.25">
      <c r="A1956">
        <v>2025</v>
      </c>
      <c r="C1956" s="9" t="s">
        <v>1835</v>
      </c>
      <c r="D1956" s="9" t="s">
        <v>807</v>
      </c>
      <c r="F1956" s="6">
        <v>17</v>
      </c>
      <c r="G1956" s="6">
        <f t="shared" si="102"/>
        <v>17</v>
      </c>
      <c r="H1956" s="6">
        <v>17</v>
      </c>
      <c r="I1956" s="6">
        <f t="shared" si="103"/>
        <v>0</v>
      </c>
      <c r="J1956" s="7" t="str">
        <f t="shared" si="101"/>
        <v>PAGADO</v>
      </c>
    </row>
    <row r="1957" spans="1:10" x14ac:dyDescent="0.25">
      <c r="A1957">
        <v>2025</v>
      </c>
      <c r="C1957" s="9" t="s">
        <v>1835</v>
      </c>
      <c r="D1957" s="9" t="s">
        <v>74</v>
      </c>
      <c r="F1957" s="6">
        <v>17</v>
      </c>
      <c r="G1957" s="6">
        <f t="shared" si="102"/>
        <v>17</v>
      </c>
      <c r="H1957" s="6">
        <v>0</v>
      </c>
      <c r="I1957" s="6">
        <f t="shared" si="103"/>
        <v>17</v>
      </c>
      <c r="J1957" s="7" t="str">
        <f t="shared" si="101"/>
        <v>DEBE</v>
      </c>
    </row>
    <row r="1958" spans="1:10" x14ac:dyDescent="0.25">
      <c r="A1958">
        <v>2025</v>
      </c>
      <c r="C1958" t="s">
        <v>1916</v>
      </c>
      <c r="D1958" s="9" t="s">
        <v>18</v>
      </c>
      <c r="F1958" s="6">
        <v>140</v>
      </c>
      <c r="G1958" s="6">
        <f t="shared" si="102"/>
        <v>140</v>
      </c>
      <c r="H1958" s="6">
        <v>140</v>
      </c>
      <c r="I1958" s="6">
        <f t="shared" si="103"/>
        <v>0</v>
      </c>
      <c r="J1958" s="7" t="str">
        <f t="shared" si="101"/>
        <v>PAGADO</v>
      </c>
    </row>
    <row r="1959" spans="1:10" x14ac:dyDescent="0.25">
      <c r="A1959">
        <v>2025</v>
      </c>
      <c r="C1959" t="s">
        <v>1917</v>
      </c>
      <c r="D1959" s="9" t="s">
        <v>39</v>
      </c>
      <c r="F1959" s="6">
        <v>25</v>
      </c>
      <c r="G1959" s="6">
        <f t="shared" si="102"/>
        <v>25</v>
      </c>
      <c r="H1959" s="6">
        <v>25</v>
      </c>
      <c r="I1959" s="6">
        <f t="shared" si="103"/>
        <v>0</v>
      </c>
      <c r="J1959" s="7" t="str">
        <f t="shared" si="101"/>
        <v>PAGADO</v>
      </c>
    </row>
    <row r="1960" spans="1:10" x14ac:dyDescent="0.25">
      <c r="A1960">
        <v>2025</v>
      </c>
      <c r="C1960" s="9" t="s">
        <v>1910</v>
      </c>
      <c r="D1960" s="9" t="s">
        <v>1388</v>
      </c>
      <c r="F1960" s="6">
        <v>85</v>
      </c>
      <c r="G1960" s="6">
        <f t="shared" si="102"/>
        <v>85</v>
      </c>
      <c r="H1960" s="6">
        <f>40+45</f>
        <v>85</v>
      </c>
      <c r="I1960" s="6">
        <f t="shared" si="103"/>
        <v>0</v>
      </c>
      <c r="J1960" s="7" t="str">
        <f t="shared" si="101"/>
        <v>PAGADO</v>
      </c>
    </row>
    <row r="1961" spans="1:10" x14ac:dyDescent="0.25">
      <c r="A1961">
        <v>2025</v>
      </c>
      <c r="C1961" s="9" t="s">
        <v>1918</v>
      </c>
      <c r="D1961" s="9" t="s">
        <v>1425</v>
      </c>
      <c r="F1961" s="6">
        <v>15</v>
      </c>
      <c r="G1961" s="6">
        <f t="shared" si="102"/>
        <v>15</v>
      </c>
      <c r="H1961" s="6">
        <v>15</v>
      </c>
      <c r="I1961" s="26">
        <f t="shared" si="103"/>
        <v>0</v>
      </c>
      <c r="J1961" s="7" t="str">
        <f t="shared" si="101"/>
        <v>PAGADO</v>
      </c>
    </row>
    <row r="1962" spans="1:10" x14ac:dyDescent="0.25">
      <c r="A1962">
        <v>2025</v>
      </c>
      <c r="C1962" s="9" t="s">
        <v>1919</v>
      </c>
      <c r="D1962" s="9" t="s">
        <v>45</v>
      </c>
      <c r="F1962" s="6">
        <v>15</v>
      </c>
      <c r="G1962" s="6">
        <f t="shared" si="102"/>
        <v>15</v>
      </c>
      <c r="H1962" s="6">
        <v>15</v>
      </c>
      <c r="I1962" s="6">
        <f t="shared" si="103"/>
        <v>0</v>
      </c>
      <c r="J1962" s="7" t="str">
        <f t="shared" si="101"/>
        <v>PAGADO</v>
      </c>
    </row>
    <row r="1963" spans="1:10" x14ac:dyDescent="0.25">
      <c r="A1963">
        <v>2025</v>
      </c>
      <c r="C1963" s="9" t="s">
        <v>1920</v>
      </c>
      <c r="D1963" s="9" t="s">
        <v>1736</v>
      </c>
      <c r="F1963" s="6">
        <v>15</v>
      </c>
      <c r="G1963" s="6">
        <f t="shared" si="102"/>
        <v>15</v>
      </c>
      <c r="H1963" s="6">
        <v>15</v>
      </c>
      <c r="I1963" s="6">
        <f t="shared" si="103"/>
        <v>0</v>
      </c>
      <c r="J1963" s="7" t="str">
        <f t="shared" si="101"/>
        <v>PAGADO</v>
      </c>
    </row>
    <row r="1964" spans="1:10" x14ac:dyDescent="0.25">
      <c r="A1964">
        <v>2025</v>
      </c>
      <c r="C1964" s="9" t="s">
        <v>1921</v>
      </c>
      <c r="D1964" s="9" t="s">
        <v>816</v>
      </c>
      <c r="F1964" s="6">
        <v>65</v>
      </c>
      <c r="G1964" s="6">
        <f t="shared" si="102"/>
        <v>65</v>
      </c>
      <c r="H1964" s="6">
        <v>65</v>
      </c>
      <c r="I1964" s="26">
        <f t="shared" si="103"/>
        <v>0</v>
      </c>
      <c r="J1964" s="7" t="str">
        <f t="shared" si="101"/>
        <v>PAGADO</v>
      </c>
    </row>
    <row r="1965" spans="1:10" x14ac:dyDescent="0.25">
      <c r="A1965">
        <v>2025</v>
      </c>
      <c r="C1965" s="9" t="s">
        <v>1922</v>
      </c>
      <c r="D1965" s="9" t="s">
        <v>816</v>
      </c>
      <c r="F1965" s="6">
        <v>60</v>
      </c>
      <c r="G1965" s="6">
        <f t="shared" si="102"/>
        <v>60</v>
      </c>
      <c r="H1965" s="6">
        <v>60</v>
      </c>
      <c r="I1965" s="48">
        <f t="shared" si="103"/>
        <v>0</v>
      </c>
      <c r="J1965" s="7" t="str">
        <f t="shared" si="101"/>
        <v>PAGADO</v>
      </c>
    </row>
    <row r="1966" spans="1:10" x14ac:dyDescent="0.25">
      <c r="A1966">
        <v>2025</v>
      </c>
      <c r="C1966" s="9" t="s">
        <v>1923</v>
      </c>
      <c r="D1966" s="9" t="s">
        <v>1451</v>
      </c>
      <c r="F1966" s="6">
        <v>35</v>
      </c>
      <c r="G1966" s="6">
        <f t="shared" si="102"/>
        <v>35</v>
      </c>
      <c r="H1966" s="6">
        <v>35</v>
      </c>
      <c r="I1966" s="6">
        <f t="shared" si="103"/>
        <v>0</v>
      </c>
      <c r="J1966" s="7" t="str">
        <f t="shared" si="101"/>
        <v>PAGADO</v>
      </c>
    </row>
    <row r="1967" spans="1:10" x14ac:dyDescent="0.25">
      <c r="A1967">
        <v>2025</v>
      </c>
      <c r="C1967" s="9" t="s">
        <v>1924</v>
      </c>
      <c r="D1967" s="9" t="s">
        <v>488</v>
      </c>
      <c r="F1967" s="6">
        <v>15</v>
      </c>
      <c r="G1967" s="6">
        <f t="shared" si="102"/>
        <v>15</v>
      </c>
      <c r="H1967" s="6">
        <v>15</v>
      </c>
      <c r="I1967" s="6">
        <f t="shared" si="103"/>
        <v>0</v>
      </c>
      <c r="J1967" s="7" t="str">
        <f t="shared" si="101"/>
        <v>PAGADO</v>
      </c>
    </row>
    <row r="1968" spans="1:10" x14ac:dyDescent="0.25">
      <c r="A1968">
        <v>2025</v>
      </c>
      <c r="C1968" s="9" t="s">
        <v>1925</v>
      </c>
      <c r="D1968" s="9" t="s">
        <v>488</v>
      </c>
      <c r="F1968" s="6">
        <v>30</v>
      </c>
      <c r="G1968" s="6">
        <f t="shared" si="102"/>
        <v>30</v>
      </c>
      <c r="H1968" s="6">
        <v>30</v>
      </c>
      <c r="I1968" s="6">
        <f t="shared" si="103"/>
        <v>0</v>
      </c>
      <c r="J1968" s="7" t="str">
        <f t="shared" si="101"/>
        <v>PAGADO</v>
      </c>
    </row>
    <row r="1969" spans="1:11" x14ac:dyDescent="0.25">
      <c r="A1969">
        <v>2025</v>
      </c>
      <c r="C1969" t="s">
        <v>1926</v>
      </c>
      <c r="D1969" s="9" t="s">
        <v>1486</v>
      </c>
      <c r="F1969" s="6">
        <v>90</v>
      </c>
      <c r="G1969" s="6">
        <f t="shared" si="102"/>
        <v>90</v>
      </c>
      <c r="H1969" s="6">
        <f>45+45</f>
        <v>90</v>
      </c>
      <c r="I1969" s="6">
        <f t="shared" si="103"/>
        <v>0</v>
      </c>
      <c r="J1969" s="7" t="str">
        <f t="shared" si="101"/>
        <v>PAGADO</v>
      </c>
    </row>
    <row r="1970" spans="1:11" x14ac:dyDescent="0.25">
      <c r="A1970">
        <v>2025</v>
      </c>
      <c r="C1970" t="s">
        <v>1927</v>
      </c>
      <c r="D1970" s="9" t="s">
        <v>488</v>
      </c>
      <c r="F1970" s="6">
        <v>75</v>
      </c>
      <c r="G1970" s="6">
        <f t="shared" si="102"/>
        <v>75</v>
      </c>
      <c r="H1970" s="6">
        <f>37.5+37.5</f>
        <v>75</v>
      </c>
      <c r="I1970" s="6">
        <f t="shared" si="103"/>
        <v>0</v>
      </c>
      <c r="J1970" s="7" t="str">
        <f t="shared" si="101"/>
        <v>PAGADO</v>
      </c>
    </row>
    <row r="1971" spans="1:11" x14ac:dyDescent="0.25">
      <c r="A1971">
        <v>2025</v>
      </c>
      <c r="C1971" t="s">
        <v>1928</v>
      </c>
      <c r="D1971" s="9" t="s">
        <v>1486</v>
      </c>
      <c r="F1971" s="6">
        <v>70</v>
      </c>
      <c r="G1971" s="6">
        <f t="shared" si="102"/>
        <v>70</v>
      </c>
      <c r="H1971" s="6">
        <f>35+35</f>
        <v>70</v>
      </c>
      <c r="I1971" s="6">
        <f t="shared" si="103"/>
        <v>0</v>
      </c>
      <c r="J1971" s="7" t="str">
        <f t="shared" si="101"/>
        <v>PAGADO</v>
      </c>
    </row>
    <row r="1972" spans="1:11" x14ac:dyDescent="0.25">
      <c r="A1972">
        <v>2025</v>
      </c>
      <c r="C1972" s="9" t="s">
        <v>1929</v>
      </c>
      <c r="D1972" s="9" t="s">
        <v>1736</v>
      </c>
      <c r="F1972" s="6">
        <v>130</v>
      </c>
      <c r="G1972" s="6">
        <f t="shared" si="102"/>
        <v>130</v>
      </c>
      <c r="H1972" s="6">
        <f>65+65</f>
        <v>130</v>
      </c>
      <c r="I1972" s="6">
        <f t="shared" si="103"/>
        <v>0</v>
      </c>
      <c r="J1972" s="7" t="str">
        <f t="shared" si="101"/>
        <v>PAGADO</v>
      </c>
    </row>
    <row r="1973" spans="1:11" x14ac:dyDescent="0.25">
      <c r="A1973">
        <v>2025</v>
      </c>
      <c r="C1973" s="9" t="s">
        <v>1930</v>
      </c>
      <c r="D1973" s="9" t="s">
        <v>1679</v>
      </c>
      <c r="F1973" s="6">
        <v>160</v>
      </c>
      <c r="G1973" s="6">
        <f t="shared" si="102"/>
        <v>160</v>
      </c>
      <c r="H1973" s="6">
        <v>160</v>
      </c>
      <c r="I1973" s="6">
        <f t="shared" si="103"/>
        <v>0</v>
      </c>
      <c r="J1973" s="7" t="str">
        <f t="shared" si="101"/>
        <v>PAGADO</v>
      </c>
    </row>
    <row r="1974" spans="1:11" x14ac:dyDescent="0.25">
      <c r="A1974">
        <v>2025</v>
      </c>
      <c r="C1974" s="9" t="s">
        <v>1931</v>
      </c>
      <c r="D1974" s="9" t="s">
        <v>488</v>
      </c>
      <c r="F1974" s="6">
        <v>40</v>
      </c>
      <c r="G1974" s="6">
        <f t="shared" si="102"/>
        <v>40</v>
      </c>
      <c r="H1974" s="6">
        <v>40</v>
      </c>
      <c r="I1974" s="6">
        <f t="shared" si="103"/>
        <v>0</v>
      </c>
      <c r="J1974" s="7" t="str">
        <f t="shared" si="101"/>
        <v>PAGADO</v>
      </c>
    </row>
    <row r="1975" spans="1:11" x14ac:dyDescent="0.25">
      <c r="A1975">
        <v>2025</v>
      </c>
      <c r="C1975" s="9" t="s">
        <v>1932</v>
      </c>
      <c r="D1975" s="9" t="s">
        <v>1933</v>
      </c>
      <c r="F1975" s="6">
        <v>80</v>
      </c>
      <c r="G1975" s="6">
        <f t="shared" si="102"/>
        <v>80</v>
      </c>
      <c r="H1975" s="6">
        <v>80</v>
      </c>
      <c r="I1975" s="6">
        <f t="shared" si="103"/>
        <v>0</v>
      </c>
      <c r="J1975" s="7" t="str">
        <f t="shared" si="101"/>
        <v>PAGADO</v>
      </c>
    </row>
    <row r="1976" spans="1:11" x14ac:dyDescent="0.25">
      <c r="A1976">
        <v>2025</v>
      </c>
      <c r="C1976" t="s">
        <v>1934</v>
      </c>
      <c r="D1976" s="9" t="s">
        <v>18</v>
      </c>
      <c r="F1976" s="6">
        <v>170</v>
      </c>
      <c r="G1976" s="6">
        <f t="shared" si="102"/>
        <v>170</v>
      </c>
      <c r="H1976" s="6">
        <f>10+160</f>
        <v>170</v>
      </c>
      <c r="I1976" s="6">
        <f t="shared" si="103"/>
        <v>0</v>
      </c>
      <c r="J1976" s="7" t="str">
        <f t="shared" si="101"/>
        <v>PAGADO</v>
      </c>
    </row>
    <row r="1977" spans="1:11" x14ac:dyDescent="0.25">
      <c r="A1977">
        <v>2025</v>
      </c>
      <c r="C1977" s="9" t="s">
        <v>1935</v>
      </c>
      <c r="D1977" t="s">
        <v>1399</v>
      </c>
      <c r="F1977" s="6">
        <v>40</v>
      </c>
      <c r="G1977" s="6">
        <f t="shared" si="102"/>
        <v>40</v>
      </c>
      <c r="H1977" s="6">
        <v>40</v>
      </c>
      <c r="I1977" s="6">
        <f t="shared" si="103"/>
        <v>0</v>
      </c>
      <c r="J1977" s="7" t="str">
        <f t="shared" si="101"/>
        <v>PAGADO</v>
      </c>
    </row>
    <row r="1978" spans="1:11" x14ac:dyDescent="0.25">
      <c r="A1978">
        <v>2025</v>
      </c>
      <c r="C1978" s="9" t="s">
        <v>1936</v>
      </c>
      <c r="D1978" t="s">
        <v>1399</v>
      </c>
      <c r="F1978" s="6">
        <v>90</v>
      </c>
      <c r="G1978" s="6">
        <f t="shared" si="102"/>
        <v>90</v>
      </c>
      <c r="H1978" s="6">
        <v>90</v>
      </c>
      <c r="I1978" s="6">
        <f t="shared" si="103"/>
        <v>0</v>
      </c>
      <c r="J1978" s="7" t="str">
        <f t="shared" si="101"/>
        <v>PAGADO</v>
      </c>
    </row>
    <row r="1979" spans="1:11" x14ac:dyDescent="0.25">
      <c r="A1979">
        <v>2025</v>
      </c>
      <c r="C1979" s="9" t="s">
        <v>1937</v>
      </c>
      <c r="D1979" s="9" t="s">
        <v>1388</v>
      </c>
      <c r="F1979" s="6">
        <v>270</v>
      </c>
      <c r="G1979" s="6">
        <f t="shared" si="102"/>
        <v>270</v>
      </c>
      <c r="H1979" s="6">
        <f>135+135</f>
        <v>270</v>
      </c>
      <c r="I1979" s="6">
        <f t="shared" si="103"/>
        <v>0</v>
      </c>
      <c r="J1979" s="7" t="str">
        <f t="shared" si="101"/>
        <v>PAGADO</v>
      </c>
      <c r="K1979" s="33"/>
    </row>
    <row r="1980" spans="1:11" x14ac:dyDescent="0.25">
      <c r="A1980">
        <v>2025</v>
      </c>
      <c r="C1980" t="s">
        <v>1440</v>
      </c>
      <c r="D1980" s="9" t="s">
        <v>1388</v>
      </c>
      <c r="F1980" s="6">
        <v>110</v>
      </c>
      <c r="G1980" s="6">
        <f t="shared" si="102"/>
        <v>110</v>
      </c>
      <c r="H1980" s="53">
        <v>110</v>
      </c>
      <c r="I1980" s="6">
        <f t="shared" si="103"/>
        <v>0</v>
      </c>
      <c r="J1980" s="7" t="str">
        <f t="shared" si="101"/>
        <v>PAGADO</v>
      </c>
      <c r="K1980" s="33"/>
    </row>
    <row r="1981" spans="1:11" x14ac:dyDescent="0.25">
      <c r="A1981">
        <v>2025</v>
      </c>
      <c r="C1981" s="9" t="s">
        <v>1938</v>
      </c>
      <c r="D1981" s="9" t="s">
        <v>74</v>
      </c>
      <c r="F1981" s="6">
        <v>50</v>
      </c>
      <c r="G1981" s="6">
        <v>0</v>
      </c>
      <c r="H1981" s="6">
        <v>50</v>
      </c>
      <c r="I1981" s="24">
        <f t="shared" si="103"/>
        <v>0</v>
      </c>
      <c r="J1981" s="7" t="str">
        <f t="shared" si="101"/>
        <v>PAGADO</v>
      </c>
    </row>
    <row r="1982" spans="1:11" x14ac:dyDescent="0.25">
      <c r="A1982">
        <v>2025</v>
      </c>
      <c r="C1982" s="9" t="s">
        <v>1939</v>
      </c>
      <c r="D1982" s="9" t="s">
        <v>1504</v>
      </c>
      <c r="F1982" s="6">
        <v>80</v>
      </c>
      <c r="G1982" s="6">
        <f t="shared" ref="G1982:G2045" si="104">F1982-E1982</f>
        <v>80</v>
      </c>
      <c r="H1982" s="6">
        <v>80</v>
      </c>
      <c r="I1982" s="26">
        <f t="shared" si="103"/>
        <v>0</v>
      </c>
      <c r="J1982" s="7" t="str">
        <f t="shared" si="101"/>
        <v>PAGADO</v>
      </c>
      <c r="K1982" t="s">
        <v>693</v>
      </c>
    </row>
    <row r="1983" spans="1:11" x14ac:dyDescent="0.25">
      <c r="A1983">
        <v>2025</v>
      </c>
      <c r="C1983" s="9" t="s">
        <v>1940</v>
      </c>
      <c r="D1983" s="9" t="s">
        <v>1504</v>
      </c>
      <c r="F1983" s="6">
        <v>75</v>
      </c>
      <c r="G1983" s="6">
        <f t="shared" si="104"/>
        <v>75</v>
      </c>
      <c r="H1983" s="6">
        <v>75</v>
      </c>
      <c r="I1983" s="26">
        <f t="shared" si="103"/>
        <v>0</v>
      </c>
      <c r="J1983" s="7" t="str">
        <f t="shared" si="101"/>
        <v>PAGADO</v>
      </c>
      <c r="K1983" t="s">
        <v>693</v>
      </c>
    </row>
    <row r="1984" spans="1:11" x14ac:dyDescent="0.25">
      <c r="A1984">
        <v>2025</v>
      </c>
      <c r="C1984" s="9" t="s">
        <v>1941</v>
      </c>
      <c r="D1984" s="9" t="s">
        <v>1504</v>
      </c>
      <c r="F1984" s="6">
        <v>75</v>
      </c>
      <c r="G1984" s="6">
        <f t="shared" si="104"/>
        <v>75</v>
      </c>
      <c r="H1984" s="6">
        <v>75</v>
      </c>
      <c r="I1984" s="26">
        <f t="shared" si="103"/>
        <v>0</v>
      </c>
      <c r="J1984" s="7" t="str">
        <f t="shared" si="101"/>
        <v>PAGADO</v>
      </c>
      <c r="K1984" t="s">
        <v>693</v>
      </c>
    </row>
    <row r="1985" spans="1:11" x14ac:dyDescent="0.25">
      <c r="A1985">
        <v>2025</v>
      </c>
      <c r="C1985" s="9" t="s">
        <v>1942</v>
      </c>
      <c r="D1985" s="9" t="s">
        <v>1504</v>
      </c>
      <c r="F1985" s="6">
        <v>80</v>
      </c>
      <c r="G1985" s="6">
        <f t="shared" si="104"/>
        <v>80</v>
      </c>
      <c r="H1985" s="6">
        <v>80</v>
      </c>
      <c r="I1985" s="26">
        <f t="shared" si="103"/>
        <v>0</v>
      </c>
      <c r="J1985" s="7" t="str">
        <f t="shared" si="101"/>
        <v>PAGADO</v>
      </c>
      <c r="K1985" t="s">
        <v>693</v>
      </c>
    </row>
    <row r="1986" spans="1:11" x14ac:dyDescent="0.25">
      <c r="A1986">
        <v>2025</v>
      </c>
      <c r="C1986" s="9" t="s">
        <v>1943</v>
      </c>
      <c r="D1986" s="9" t="s">
        <v>1504</v>
      </c>
      <c r="F1986" s="6">
        <v>80</v>
      </c>
      <c r="G1986" s="6">
        <f t="shared" si="104"/>
        <v>80</v>
      </c>
      <c r="H1986" s="6">
        <f>70+10</f>
        <v>80</v>
      </c>
      <c r="I1986" s="27">
        <f t="shared" si="103"/>
        <v>0</v>
      </c>
      <c r="J1986" s="7" t="str">
        <f t="shared" si="101"/>
        <v>PAGADO</v>
      </c>
      <c r="K1986" t="s">
        <v>693</v>
      </c>
    </row>
    <row r="1987" spans="1:11" x14ac:dyDescent="0.25">
      <c r="A1987">
        <v>2025</v>
      </c>
      <c r="C1987" s="9" t="s">
        <v>1944</v>
      </c>
      <c r="D1987" s="9" t="s">
        <v>1504</v>
      </c>
      <c r="F1987" s="6">
        <v>70</v>
      </c>
      <c r="G1987" s="6">
        <f t="shared" si="104"/>
        <v>70</v>
      </c>
      <c r="H1987" s="6">
        <v>70</v>
      </c>
      <c r="I1987" s="26">
        <f t="shared" si="103"/>
        <v>0</v>
      </c>
      <c r="J1987" s="7" t="str">
        <f t="shared" si="101"/>
        <v>PAGADO</v>
      </c>
      <c r="K1987" t="s">
        <v>693</v>
      </c>
    </row>
    <row r="1988" spans="1:11" x14ac:dyDescent="0.25">
      <c r="A1988">
        <v>2025</v>
      </c>
      <c r="C1988" s="9" t="s">
        <v>1945</v>
      </c>
      <c r="D1988" s="9" t="s">
        <v>1504</v>
      </c>
      <c r="F1988" s="6">
        <v>160</v>
      </c>
      <c r="G1988" s="6">
        <f t="shared" si="104"/>
        <v>160</v>
      </c>
      <c r="H1988" s="6">
        <v>160</v>
      </c>
      <c r="I1988" s="26">
        <f t="shared" si="103"/>
        <v>0</v>
      </c>
      <c r="J1988" s="7" t="str">
        <f t="shared" si="101"/>
        <v>PAGADO</v>
      </c>
      <c r="K1988" t="s">
        <v>693</v>
      </c>
    </row>
    <row r="1989" spans="1:11" x14ac:dyDescent="0.25">
      <c r="A1989">
        <v>2025</v>
      </c>
      <c r="C1989" s="9" t="s">
        <v>1946</v>
      </c>
      <c r="D1989" t="s">
        <v>1390</v>
      </c>
      <c r="F1989" s="6">
        <v>130</v>
      </c>
      <c r="G1989" s="6">
        <f t="shared" si="104"/>
        <v>130</v>
      </c>
      <c r="H1989" s="6">
        <v>130</v>
      </c>
      <c r="I1989" s="6">
        <f t="shared" si="103"/>
        <v>0</v>
      </c>
      <c r="J1989" s="7" t="str">
        <f t="shared" si="101"/>
        <v>PAGADO</v>
      </c>
    </row>
    <row r="1990" spans="1:11" x14ac:dyDescent="0.25">
      <c r="A1990">
        <v>2025</v>
      </c>
      <c r="C1990" s="9" t="s">
        <v>1947</v>
      </c>
      <c r="D1990" t="s">
        <v>1399</v>
      </c>
      <c r="F1990" s="6">
        <v>55</v>
      </c>
      <c r="G1990" s="6">
        <f t="shared" si="104"/>
        <v>55</v>
      </c>
      <c r="H1990" s="6">
        <v>55</v>
      </c>
      <c r="I1990" s="6">
        <f t="shared" si="103"/>
        <v>0</v>
      </c>
      <c r="J1990" s="7" t="str">
        <f t="shared" si="101"/>
        <v>PAGADO</v>
      </c>
    </row>
    <row r="1991" spans="1:11" x14ac:dyDescent="0.25">
      <c r="A1991">
        <v>2025</v>
      </c>
      <c r="C1991" s="9" t="s">
        <v>1948</v>
      </c>
      <c r="D1991" s="9" t="s">
        <v>1451</v>
      </c>
      <c r="F1991" s="6">
        <v>55</v>
      </c>
      <c r="G1991" s="6">
        <f t="shared" si="104"/>
        <v>55</v>
      </c>
      <c r="H1991" s="6">
        <v>55</v>
      </c>
      <c r="I1991" s="6">
        <f t="shared" si="103"/>
        <v>0</v>
      </c>
      <c r="J1991" s="7" t="str">
        <f t="shared" si="101"/>
        <v>PAGADO</v>
      </c>
    </row>
    <row r="1992" spans="1:11" x14ac:dyDescent="0.25">
      <c r="A1992">
        <v>2025</v>
      </c>
      <c r="C1992" s="9" t="s">
        <v>1949</v>
      </c>
      <c r="D1992" s="9" t="s">
        <v>1425</v>
      </c>
      <c r="F1992" s="6">
        <v>20</v>
      </c>
      <c r="G1992" s="6">
        <f t="shared" si="104"/>
        <v>20</v>
      </c>
      <c r="H1992" s="6">
        <f>12.5+7.5</f>
        <v>20</v>
      </c>
      <c r="I1992" s="6">
        <f t="shared" si="103"/>
        <v>0</v>
      </c>
      <c r="J1992" s="7" t="str">
        <f t="shared" si="101"/>
        <v>PAGADO</v>
      </c>
    </row>
    <row r="1993" spans="1:11" x14ac:dyDescent="0.25">
      <c r="A1993">
        <v>2025</v>
      </c>
      <c r="C1993" s="9" t="s">
        <v>1950</v>
      </c>
      <c r="D1993" s="9" t="s">
        <v>1849</v>
      </c>
      <c r="F1993" s="6">
        <v>55</v>
      </c>
      <c r="G1993" s="6">
        <f t="shared" si="104"/>
        <v>55</v>
      </c>
      <c r="H1993" s="6">
        <v>55</v>
      </c>
      <c r="I1993" s="6">
        <f t="shared" si="103"/>
        <v>0</v>
      </c>
      <c r="J1993" s="7" t="str">
        <f t="shared" si="101"/>
        <v>PAGADO</v>
      </c>
    </row>
    <row r="1994" spans="1:11" x14ac:dyDescent="0.25">
      <c r="A1994">
        <v>2025</v>
      </c>
      <c r="C1994" s="9" t="s">
        <v>1951</v>
      </c>
      <c r="D1994" s="9" t="s">
        <v>523</v>
      </c>
      <c r="F1994" s="6">
        <v>110</v>
      </c>
      <c r="G1994" s="6">
        <f t="shared" si="104"/>
        <v>110</v>
      </c>
      <c r="H1994" s="6">
        <v>110</v>
      </c>
      <c r="I1994" s="6">
        <f t="shared" si="103"/>
        <v>0</v>
      </c>
      <c r="J1994" s="7" t="str">
        <f t="shared" si="101"/>
        <v>PAGADO</v>
      </c>
    </row>
    <row r="1995" spans="1:11" x14ac:dyDescent="0.25">
      <c r="A1995">
        <v>2025</v>
      </c>
      <c r="C1995" s="9" t="s">
        <v>1952</v>
      </c>
      <c r="D1995" s="9" t="s">
        <v>1736</v>
      </c>
      <c r="F1995" s="6">
        <v>160</v>
      </c>
      <c r="G1995" s="6">
        <f t="shared" si="104"/>
        <v>160</v>
      </c>
      <c r="H1995" s="6">
        <v>160</v>
      </c>
      <c r="I1995" s="6">
        <f t="shared" si="103"/>
        <v>0</v>
      </c>
      <c r="J1995" s="7" t="str">
        <f t="shared" si="101"/>
        <v>PAGADO</v>
      </c>
    </row>
    <row r="1996" spans="1:11" x14ac:dyDescent="0.25">
      <c r="A1996">
        <v>2025</v>
      </c>
      <c r="C1996" s="9" t="s">
        <v>1953</v>
      </c>
      <c r="D1996" s="9" t="s">
        <v>1677</v>
      </c>
      <c r="F1996" s="6">
        <v>65</v>
      </c>
      <c r="G1996" s="6">
        <f t="shared" si="104"/>
        <v>65</v>
      </c>
      <c r="H1996" s="6">
        <v>65</v>
      </c>
      <c r="I1996" s="6">
        <f t="shared" si="103"/>
        <v>0</v>
      </c>
      <c r="J1996" s="7" t="str">
        <f t="shared" si="101"/>
        <v>PAGADO</v>
      </c>
      <c r="K1996" t="s">
        <v>693</v>
      </c>
    </row>
    <row r="1997" spans="1:11" x14ac:dyDescent="0.25">
      <c r="A1997">
        <v>2025</v>
      </c>
      <c r="C1997" s="9" t="s">
        <v>1948</v>
      </c>
      <c r="D1997" s="9" t="s">
        <v>1677</v>
      </c>
      <c r="F1997" s="6">
        <v>55</v>
      </c>
      <c r="G1997" s="6">
        <f t="shared" si="104"/>
        <v>55</v>
      </c>
      <c r="H1997" s="6">
        <v>55</v>
      </c>
      <c r="I1997" s="6">
        <f t="shared" si="103"/>
        <v>0</v>
      </c>
      <c r="J1997" s="7" t="str">
        <f t="shared" ref="J1997:J2060" si="105">IF(I1997&gt;0,"DEBE","PAGADO")</f>
        <v>PAGADO</v>
      </c>
      <c r="K1997" t="s">
        <v>693</v>
      </c>
    </row>
    <row r="1998" spans="1:11" x14ac:dyDescent="0.25">
      <c r="A1998">
        <v>2025</v>
      </c>
      <c r="C1998" s="9" t="s">
        <v>1954</v>
      </c>
      <c r="D1998" s="9" t="s">
        <v>1677</v>
      </c>
      <c r="F1998" s="6">
        <v>17</v>
      </c>
      <c r="G1998" s="6">
        <f t="shared" si="104"/>
        <v>17</v>
      </c>
      <c r="H1998" s="6">
        <v>17</v>
      </c>
      <c r="I1998" s="6">
        <f t="shared" si="103"/>
        <v>0</v>
      </c>
      <c r="J1998" s="7" t="str">
        <f t="shared" si="105"/>
        <v>PAGADO</v>
      </c>
      <c r="K1998" t="s">
        <v>693</v>
      </c>
    </row>
    <row r="1999" spans="1:11" x14ac:dyDescent="0.25">
      <c r="A1999">
        <v>2025</v>
      </c>
      <c r="C1999" s="9" t="s">
        <v>1955</v>
      </c>
      <c r="D1999" s="9" t="s">
        <v>816</v>
      </c>
      <c r="F1999" s="6">
        <v>68</v>
      </c>
      <c r="G1999" s="6">
        <f t="shared" si="104"/>
        <v>68</v>
      </c>
      <c r="H1999" s="6">
        <v>68</v>
      </c>
      <c r="I1999" s="54">
        <f t="shared" si="103"/>
        <v>0</v>
      </c>
      <c r="J1999" s="7" t="str">
        <f t="shared" si="105"/>
        <v>PAGADO</v>
      </c>
    </row>
    <row r="2000" spans="1:11" x14ac:dyDescent="0.25">
      <c r="A2000">
        <v>2025</v>
      </c>
      <c r="C2000" s="9" t="s">
        <v>1956</v>
      </c>
      <c r="D2000" s="9" t="s">
        <v>1290</v>
      </c>
      <c r="F2000" s="6">
        <v>25</v>
      </c>
      <c r="G2000" s="6">
        <f t="shared" si="104"/>
        <v>25</v>
      </c>
      <c r="H2000" s="6">
        <v>25</v>
      </c>
      <c r="I2000" s="6">
        <f t="shared" si="103"/>
        <v>0</v>
      </c>
      <c r="J2000" s="7" t="str">
        <f t="shared" si="105"/>
        <v>PAGADO</v>
      </c>
    </row>
    <row r="2001" spans="1:11" x14ac:dyDescent="0.25">
      <c r="A2001">
        <v>2025</v>
      </c>
      <c r="C2001" s="9" t="s">
        <v>1707</v>
      </c>
      <c r="D2001" s="9" t="s">
        <v>127</v>
      </c>
      <c r="F2001" s="6">
        <v>75</v>
      </c>
      <c r="G2001" s="6">
        <f t="shared" si="104"/>
        <v>75</v>
      </c>
      <c r="H2001" s="6">
        <v>75</v>
      </c>
      <c r="I2001" s="6">
        <f t="shared" si="103"/>
        <v>0</v>
      </c>
      <c r="J2001" s="7" t="str">
        <f t="shared" si="105"/>
        <v>PAGADO</v>
      </c>
    </row>
    <row r="2002" spans="1:11" x14ac:dyDescent="0.25">
      <c r="A2002">
        <v>2025</v>
      </c>
      <c r="C2002" s="9" t="s">
        <v>1957</v>
      </c>
      <c r="D2002" s="9" t="s">
        <v>202</v>
      </c>
      <c r="F2002" s="6">
        <v>60</v>
      </c>
      <c r="G2002" s="6">
        <f t="shared" si="104"/>
        <v>60</v>
      </c>
      <c r="H2002" s="6">
        <v>60</v>
      </c>
      <c r="I2002" s="6">
        <f t="shared" si="103"/>
        <v>0</v>
      </c>
      <c r="J2002" s="7" t="str">
        <f t="shared" si="105"/>
        <v>PAGADO</v>
      </c>
    </row>
    <row r="2003" spans="1:11" x14ac:dyDescent="0.25">
      <c r="A2003">
        <v>2025</v>
      </c>
      <c r="C2003" s="9" t="s">
        <v>1958</v>
      </c>
      <c r="D2003" s="9" t="s">
        <v>67</v>
      </c>
      <c r="F2003" s="6">
        <v>80</v>
      </c>
      <c r="G2003" s="6">
        <f t="shared" si="104"/>
        <v>80</v>
      </c>
      <c r="H2003" s="6">
        <f>50+30</f>
        <v>80</v>
      </c>
      <c r="I2003" s="26">
        <f t="shared" si="103"/>
        <v>0</v>
      </c>
      <c r="J2003" s="7" t="str">
        <f t="shared" si="105"/>
        <v>PAGADO</v>
      </c>
      <c r="K2003" s="9"/>
    </row>
    <row r="2004" spans="1:11" x14ac:dyDescent="0.25">
      <c r="A2004">
        <v>2025</v>
      </c>
      <c r="C2004" s="9" t="s">
        <v>1959</v>
      </c>
      <c r="D2004" s="9" t="s">
        <v>661</v>
      </c>
      <c r="F2004" s="6">
        <v>20</v>
      </c>
      <c r="G2004" s="6">
        <f t="shared" si="104"/>
        <v>20</v>
      </c>
      <c r="H2004" s="6">
        <v>20</v>
      </c>
      <c r="I2004" s="6">
        <f t="shared" si="103"/>
        <v>0</v>
      </c>
      <c r="J2004" s="7" t="str">
        <f t="shared" si="105"/>
        <v>PAGADO</v>
      </c>
      <c r="K2004" s="9"/>
    </row>
    <row r="2005" spans="1:11" x14ac:dyDescent="0.25">
      <c r="A2005">
        <v>2025</v>
      </c>
      <c r="C2005" t="s">
        <v>1960</v>
      </c>
      <c r="D2005" s="9" t="s">
        <v>1360</v>
      </c>
      <c r="F2005" s="6">
        <v>200</v>
      </c>
      <c r="G2005" s="6">
        <f t="shared" si="104"/>
        <v>200</v>
      </c>
      <c r="H2005" s="6">
        <v>200</v>
      </c>
      <c r="I2005" s="6">
        <f t="shared" si="103"/>
        <v>0</v>
      </c>
      <c r="J2005" s="7" t="str">
        <f t="shared" si="105"/>
        <v>PAGADO</v>
      </c>
      <c r="K2005" s="9"/>
    </row>
    <row r="2006" spans="1:11" x14ac:dyDescent="0.25">
      <c r="A2006">
        <v>2025</v>
      </c>
      <c r="C2006" s="9" t="s">
        <v>1961</v>
      </c>
      <c r="D2006" s="9" t="s">
        <v>1425</v>
      </c>
      <c r="F2006" s="6">
        <v>15</v>
      </c>
      <c r="G2006" s="6">
        <f t="shared" si="104"/>
        <v>15</v>
      </c>
      <c r="H2006" s="6">
        <v>15</v>
      </c>
      <c r="I2006" s="16">
        <f t="shared" si="103"/>
        <v>0</v>
      </c>
      <c r="J2006" s="7" t="str">
        <f t="shared" si="105"/>
        <v>PAGADO</v>
      </c>
      <c r="K2006" s="9"/>
    </row>
    <row r="2007" spans="1:11" x14ac:dyDescent="0.25">
      <c r="A2007">
        <v>2025</v>
      </c>
      <c r="C2007" s="9" t="s">
        <v>1962</v>
      </c>
      <c r="D2007" s="9" t="s">
        <v>1309</v>
      </c>
      <c r="F2007" s="6">
        <v>85</v>
      </c>
      <c r="G2007" s="6">
        <f t="shared" si="104"/>
        <v>85</v>
      </c>
      <c r="H2007" s="6">
        <v>85</v>
      </c>
      <c r="I2007" s="26">
        <f t="shared" si="103"/>
        <v>0</v>
      </c>
      <c r="J2007" s="7" t="str">
        <f t="shared" si="105"/>
        <v>PAGADO</v>
      </c>
      <c r="K2007" s="9"/>
    </row>
    <row r="2008" spans="1:11" x14ac:dyDescent="0.25">
      <c r="A2008">
        <v>2025</v>
      </c>
      <c r="C2008" s="9" t="s">
        <v>1963</v>
      </c>
      <c r="D2008" s="9" t="s">
        <v>1290</v>
      </c>
      <c r="F2008" s="6">
        <v>230</v>
      </c>
      <c r="G2008" s="6">
        <f t="shared" si="104"/>
        <v>230</v>
      </c>
      <c r="H2008" s="6">
        <v>230</v>
      </c>
      <c r="I2008" s="55">
        <f t="shared" si="103"/>
        <v>0</v>
      </c>
      <c r="J2008" s="7" t="str">
        <f t="shared" si="105"/>
        <v>PAGADO</v>
      </c>
      <c r="K2008" s="9"/>
    </row>
    <row r="2009" spans="1:11" x14ac:dyDescent="0.25">
      <c r="A2009">
        <v>2025</v>
      </c>
      <c r="C2009" s="9" t="s">
        <v>1964</v>
      </c>
      <c r="D2009" s="9" t="s">
        <v>597</v>
      </c>
      <c r="F2009" s="6">
        <v>220</v>
      </c>
      <c r="G2009" s="6">
        <f t="shared" si="104"/>
        <v>220</v>
      </c>
      <c r="H2009" s="6">
        <f>200+20</f>
        <v>220</v>
      </c>
      <c r="I2009" s="26">
        <f t="shared" si="103"/>
        <v>0</v>
      </c>
      <c r="J2009" s="7" t="str">
        <f t="shared" si="105"/>
        <v>PAGADO</v>
      </c>
      <c r="K2009" s="9"/>
    </row>
    <row r="2010" spans="1:11" x14ac:dyDescent="0.25">
      <c r="A2010">
        <v>2025</v>
      </c>
      <c r="C2010" s="9" t="s">
        <v>1965</v>
      </c>
      <c r="D2010" s="9" t="s">
        <v>1290</v>
      </c>
      <c r="F2010" s="6">
        <v>150</v>
      </c>
      <c r="G2010" s="6">
        <f t="shared" si="104"/>
        <v>150</v>
      </c>
      <c r="H2010" s="6">
        <f>75+75</f>
        <v>150</v>
      </c>
      <c r="I2010" s="6">
        <f t="shared" si="103"/>
        <v>0</v>
      </c>
      <c r="J2010" s="7" t="str">
        <f t="shared" si="105"/>
        <v>PAGADO</v>
      </c>
      <c r="K2010" s="9"/>
    </row>
    <row r="2011" spans="1:11" x14ac:dyDescent="0.25">
      <c r="A2011">
        <v>2025</v>
      </c>
      <c r="C2011" s="9" t="s">
        <v>1966</v>
      </c>
      <c r="D2011" s="9" t="s">
        <v>597</v>
      </c>
      <c r="F2011" s="6">
        <v>220</v>
      </c>
      <c r="G2011" s="6">
        <f t="shared" si="104"/>
        <v>220</v>
      </c>
      <c r="H2011" s="6">
        <f>200+20</f>
        <v>220</v>
      </c>
      <c r="I2011" s="26">
        <f t="shared" si="103"/>
        <v>0</v>
      </c>
      <c r="J2011" s="7" t="str">
        <f t="shared" si="105"/>
        <v>PAGADO</v>
      </c>
      <c r="K2011" s="9"/>
    </row>
    <row r="2012" spans="1:11" x14ac:dyDescent="0.25">
      <c r="A2012">
        <v>2025</v>
      </c>
      <c r="C2012" s="9" t="s">
        <v>1967</v>
      </c>
      <c r="D2012" s="9" t="s">
        <v>1679</v>
      </c>
      <c r="F2012" s="6">
        <v>80</v>
      </c>
      <c r="G2012" s="6">
        <f t="shared" si="104"/>
        <v>80</v>
      </c>
      <c r="H2012" s="6">
        <v>80</v>
      </c>
      <c r="I2012" s="6">
        <f t="shared" si="103"/>
        <v>0</v>
      </c>
      <c r="J2012" s="7" t="str">
        <f t="shared" si="105"/>
        <v>PAGADO</v>
      </c>
    </row>
    <row r="2013" spans="1:11" x14ac:dyDescent="0.25">
      <c r="A2013">
        <v>2025</v>
      </c>
      <c r="C2013" s="9" t="s">
        <v>1968</v>
      </c>
      <c r="D2013" s="9" t="s">
        <v>1679</v>
      </c>
      <c r="F2013" s="6">
        <v>50</v>
      </c>
      <c r="G2013" s="6">
        <f t="shared" si="104"/>
        <v>50</v>
      </c>
      <c r="H2013" s="6">
        <v>50</v>
      </c>
      <c r="I2013" s="6">
        <f t="shared" si="103"/>
        <v>0</v>
      </c>
      <c r="J2013" s="7" t="str">
        <f t="shared" si="105"/>
        <v>PAGADO</v>
      </c>
    </row>
    <row r="2014" spans="1:11" x14ac:dyDescent="0.25">
      <c r="A2014">
        <v>2025</v>
      </c>
      <c r="C2014" s="9" t="s">
        <v>1969</v>
      </c>
      <c r="D2014" s="9" t="s">
        <v>1388</v>
      </c>
      <c r="F2014" s="6">
        <v>1300</v>
      </c>
      <c r="G2014" s="6">
        <f t="shared" si="104"/>
        <v>1300</v>
      </c>
      <c r="H2014" s="6">
        <f>430+500+370</f>
        <v>1300</v>
      </c>
      <c r="I2014" s="6">
        <f t="shared" si="103"/>
        <v>0</v>
      </c>
      <c r="J2014" s="7" t="str">
        <f t="shared" si="105"/>
        <v>PAGADO</v>
      </c>
      <c r="K2014" s="33"/>
    </row>
    <row r="2015" spans="1:11" x14ac:dyDescent="0.25">
      <c r="A2015">
        <v>2025</v>
      </c>
      <c r="C2015" s="9" t="s">
        <v>1970</v>
      </c>
      <c r="D2015" s="9" t="s">
        <v>1145</v>
      </c>
      <c r="F2015" s="6">
        <v>25</v>
      </c>
      <c r="G2015" s="6">
        <f t="shared" si="104"/>
        <v>25</v>
      </c>
      <c r="H2015" s="6">
        <v>25</v>
      </c>
      <c r="I2015" s="6">
        <f t="shared" si="103"/>
        <v>0</v>
      </c>
      <c r="J2015" s="7" t="str">
        <f t="shared" si="105"/>
        <v>PAGADO</v>
      </c>
      <c r="K2015" s="9"/>
    </row>
    <row r="2016" spans="1:11" x14ac:dyDescent="0.25">
      <c r="A2016">
        <v>2025</v>
      </c>
      <c r="C2016" s="9" t="s">
        <v>1971</v>
      </c>
      <c r="D2016" s="9" t="s">
        <v>1145</v>
      </c>
      <c r="F2016" s="6">
        <v>25</v>
      </c>
      <c r="G2016" s="6">
        <f t="shared" si="104"/>
        <v>25</v>
      </c>
      <c r="H2016" s="6">
        <v>25</v>
      </c>
      <c r="I2016" s="6">
        <f t="shared" si="103"/>
        <v>0</v>
      </c>
      <c r="J2016" s="7" t="str">
        <f t="shared" si="105"/>
        <v>PAGADO</v>
      </c>
      <c r="K2016" s="9"/>
    </row>
    <row r="2017" spans="1:12" x14ac:dyDescent="0.25">
      <c r="A2017">
        <v>2025</v>
      </c>
      <c r="C2017" s="9" t="s">
        <v>1972</v>
      </c>
      <c r="D2017" s="9" t="s">
        <v>597</v>
      </c>
      <c r="F2017" s="6">
        <v>170</v>
      </c>
      <c r="G2017" s="6">
        <f t="shared" si="104"/>
        <v>170</v>
      </c>
      <c r="H2017" s="6">
        <v>170</v>
      </c>
      <c r="I2017" s="6">
        <f t="shared" si="103"/>
        <v>0</v>
      </c>
      <c r="J2017" s="7" t="str">
        <f t="shared" si="105"/>
        <v>PAGADO</v>
      </c>
    </row>
    <row r="2018" spans="1:12" x14ac:dyDescent="0.25">
      <c r="A2018">
        <v>2025</v>
      </c>
      <c r="C2018" s="9" t="s">
        <v>1973</v>
      </c>
      <c r="D2018" s="9" t="s">
        <v>1055</v>
      </c>
      <c r="F2018" s="6">
        <v>70</v>
      </c>
      <c r="G2018" s="6">
        <f t="shared" si="104"/>
        <v>70</v>
      </c>
      <c r="H2018" s="6">
        <f>20+50</f>
        <v>70</v>
      </c>
      <c r="I2018" s="6">
        <f t="shared" si="103"/>
        <v>0</v>
      </c>
      <c r="J2018" s="7" t="str">
        <f t="shared" si="105"/>
        <v>PAGADO</v>
      </c>
      <c r="K2018" s="45" t="s">
        <v>1056</v>
      </c>
      <c r="L2018" t="s">
        <v>1821</v>
      </c>
    </row>
    <row r="2019" spans="1:12" x14ac:dyDescent="0.25">
      <c r="A2019">
        <v>2025</v>
      </c>
      <c r="C2019" s="9" t="s">
        <v>1974</v>
      </c>
      <c r="D2019" s="9" t="s">
        <v>1504</v>
      </c>
      <c r="F2019" s="6">
        <v>90</v>
      </c>
      <c r="G2019" s="6">
        <f t="shared" si="104"/>
        <v>90</v>
      </c>
      <c r="H2019" s="6">
        <v>90</v>
      </c>
      <c r="I2019" s="26">
        <f t="shared" ref="I2019:I2082" si="106">F2019-H2019</f>
        <v>0</v>
      </c>
      <c r="J2019" s="7" t="str">
        <f t="shared" si="105"/>
        <v>PAGADO</v>
      </c>
      <c r="K2019" t="s">
        <v>693</v>
      </c>
    </row>
    <row r="2020" spans="1:12" x14ac:dyDescent="0.25">
      <c r="A2020">
        <v>2025</v>
      </c>
      <c r="C2020" s="9" t="s">
        <v>1975</v>
      </c>
      <c r="D2020" s="9" t="s">
        <v>1504</v>
      </c>
      <c r="F2020" s="6">
        <v>90</v>
      </c>
      <c r="G2020" s="6">
        <f t="shared" si="104"/>
        <v>90</v>
      </c>
      <c r="H2020" s="6">
        <v>90</v>
      </c>
      <c r="I2020" s="26">
        <f t="shared" si="106"/>
        <v>0</v>
      </c>
      <c r="J2020" s="7" t="str">
        <f t="shared" si="105"/>
        <v>PAGADO</v>
      </c>
      <c r="K2020" t="s">
        <v>693</v>
      </c>
    </row>
    <row r="2021" spans="1:12" x14ac:dyDescent="0.25">
      <c r="A2021">
        <v>2025</v>
      </c>
      <c r="C2021" s="9" t="s">
        <v>1976</v>
      </c>
      <c r="D2021" s="9" t="s">
        <v>1504</v>
      </c>
      <c r="F2021" s="6">
        <v>80</v>
      </c>
      <c r="G2021" s="6">
        <f t="shared" si="104"/>
        <v>80</v>
      </c>
      <c r="H2021" s="6">
        <v>80</v>
      </c>
      <c r="I2021" s="26">
        <f t="shared" si="106"/>
        <v>0</v>
      </c>
      <c r="J2021" s="7" t="str">
        <f t="shared" si="105"/>
        <v>PAGADO</v>
      </c>
      <c r="K2021" t="s">
        <v>693</v>
      </c>
    </row>
    <row r="2022" spans="1:12" x14ac:dyDescent="0.25">
      <c r="A2022">
        <v>2025</v>
      </c>
      <c r="C2022" s="9" t="s">
        <v>1977</v>
      </c>
      <c r="D2022" s="9" t="s">
        <v>1309</v>
      </c>
      <c r="F2022" s="6">
        <v>60</v>
      </c>
      <c r="G2022" s="6">
        <f t="shared" si="104"/>
        <v>60</v>
      </c>
      <c r="H2022" s="6">
        <f>10+50</f>
        <v>60</v>
      </c>
      <c r="I2022" s="26">
        <f t="shared" si="106"/>
        <v>0</v>
      </c>
      <c r="J2022" s="7" t="str">
        <f t="shared" si="105"/>
        <v>PAGADO</v>
      </c>
      <c r="K2022" s="9"/>
    </row>
    <row r="2023" spans="1:12" x14ac:dyDescent="0.25">
      <c r="A2023">
        <v>2025</v>
      </c>
      <c r="C2023" s="9" t="s">
        <v>1978</v>
      </c>
      <c r="D2023" s="9" t="s">
        <v>816</v>
      </c>
      <c r="F2023" s="6">
        <v>75</v>
      </c>
      <c r="G2023" s="6">
        <f t="shared" si="104"/>
        <v>75</v>
      </c>
      <c r="H2023" s="6">
        <v>75</v>
      </c>
      <c r="I2023" s="48">
        <f t="shared" si="106"/>
        <v>0</v>
      </c>
      <c r="J2023" s="7" t="str">
        <f t="shared" si="105"/>
        <v>PAGADO</v>
      </c>
      <c r="K2023" s="9"/>
    </row>
    <row r="2024" spans="1:12" x14ac:dyDescent="0.25">
      <c r="A2024">
        <v>2025</v>
      </c>
      <c r="C2024" s="9" t="s">
        <v>1979</v>
      </c>
      <c r="D2024" s="9" t="s">
        <v>816</v>
      </c>
      <c r="F2024" s="6">
        <v>60</v>
      </c>
      <c r="G2024" s="6">
        <f t="shared" si="104"/>
        <v>60</v>
      </c>
      <c r="H2024" s="6">
        <v>60</v>
      </c>
      <c r="I2024" s="48">
        <f t="shared" si="106"/>
        <v>0</v>
      </c>
      <c r="J2024" s="7" t="str">
        <f t="shared" si="105"/>
        <v>PAGADO</v>
      </c>
      <c r="K2024" s="9"/>
    </row>
    <row r="2025" spans="1:12" x14ac:dyDescent="0.25">
      <c r="A2025">
        <v>2025</v>
      </c>
      <c r="C2025" s="9" t="s">
        <v>1980</v>
      </c>
      <c r="D2025" s="9" t="s">
        <v>816</v>
      </c>
      <c r="F2025" s="6">
        <v>60</v>
      </c>
      <c r="G2025" s="6">
        <f t="shared" si="104"/>
        <v>60</v>
      </c>
      <c r="H2025" s="6">
        <v>60</v>
      </c>
      <c r="I2025" s="48">
        <f t="shared" si="106"/>
        <v>0</v>
      </c>
      <c r="J2025" s="7" t="str">
        <f t="shared" si="105"/>
        <v>PAGADO</v>
      </c>
      <c r="K2025" s="9"/>
    </row>
    <row r="2026" spans="1:12" x14ac:dyDescent="0.25">
      <c r="A2026">
        <v>2025</v>
      </c>
      <c r="C2026" s="9" t="s">
        <v>1981</v>
      </c>
      <c r="D2026" s="9" t="s">
        <v>816</v>
      </c>
      <c r="F2026" s="6">
        <v>60</v>
      </c>
      <c r="G2026" s="6">
        <f t="shared" si="104"/>
        <v>60</v>
      </c>
      <c r="H2026" s="6">
        <v>60</v>
      </c>
      <c r="I2026" s="48">
        <f t="shared" si="106"/>
        <v>0</v>
      </c>
      <c r="J2026" s="7" t="str">
        <f t="shared" si="105"/>
        <v>PAGADO</v>
      </c>
      <c r="K2026" s="9"/>
    </row>
    <row r="2027" spans="1:12" x14ac:dyDescent="0.25">
      <c r="A2027">
        <v>2025</v>
      </c>
      <c r="C2027" t="s">
        <v>1982</v>
      </c>
      <c r="D2027" s="9" t="s">
        <v>1466</v>
      </c>
      <c r="F2027" s="6">
        <v>120</v>
      </c>
      <c r="G2027" s="6">
        <f t="shared" si="104"/>
        <v>120</v>
      </c>
      <c r="H2027" s="6">
        <f>60+60</f>
        <v>120</v>
      </c>
      <c r="I2027" s="6">
        <f t="shared" si="106"/>
        <v>0</v>
      </c>
      <c r="J2027" s="7" t="str">
        <f t="shared" si="105"/>
        <v>PAGADO</v>
      </c>
    </row>
    <row r="2028" spans="1:12" x14ac:dyDescent="0.25">
      <c r="A2028">
        <v>2025</v>
      </c>
      <c r="C2028" t="s">
        <v>1983</v>
      </c>
      <c r="D2028" s="9" t="s">
        <v>1309</v>
      </c>
      <c r="F2028" s="6">
        <v>60</v>
      </c>
      <c r="G2028" s="6">
        <f t="shared" si="104"/>
        <v>60</v>
      </c>
      <c r="H2028" s="6">
        <f>50+10</f>
        <v>60</v>
      </c>
      <c r="I2028" s="26">
        <f t="shared" si="106"/>
        <v>0</v>
      </c>
      <c r="J2028" s="7" t="str">
        <f t="shared" si="105"/>
        <v>PAGADO</v>
      </c>
      <c r="K2028" s="9"/>
    </row>
    <row r="2029" spans="1:12" x14ac:dyDescent="0.25">
      <c r="A2029">
        <v>2025</v>
      </c>
      <c r="C2029" t="s">
        <v>1984</v>
      </c>
      <c r="D2029" s="9" t="s">
        <v>1309</v>
      </c>
      <c r="F2029" s="6">
        <v>60</v>
      </c>
      <c r="G2029" s="6">
        <f t="shared" si="104"/>
        <v>60</v>
      </c>
      <c r="H2029" s="6">
        <v>60</v>
      </c>
      <c r="I2029" s="6">
        <f t="shared" si="106"/>
        <v>0</v>
      </c>
      <c r="J2029" s="7" t="str">
        <f t="shared" si="105"/>
        <v>PAGADO</v>
      </c>
      <c r="K2029" s="9"/>
    </row>
    <row r="2030" spans="1:12" x14ac:dyDescent="0.25">
      <c r="A2030">
        <v>2025</v>
      </c>
      <c r="C2030" t="s">
        <v>1985</v>
      </c>
      <c r="D2030" s="9" t="s">
        <v>1309</v>
      </c>
      <c r="F2030" s="6">
        <v>60</v>
      </c>
      <c r="G2030" s="6">
        <f t="shared" si="104"/>
        <v>60</v>
      </c>
      <c r="H2030" s="6">
        <v>60</v>
      </c>
      <c r="I2030" s="6">
        <f t="shared" si="106"/>
        <v>0</v>
      </c>
      <c r="J2030" s="7" t="str">
        <f t="shared" si="105"/>
        <v>PAGADO</v>
      </c>
      <c r="K2030" s="9"/>
    </row>
    <row r="2031" spans="1:12" x14ac:dyDescent="0.25">
      <c r="A2031">
        <v>2025</v>
      </c>
      <c r="C2031" s="9" t="s">
        <v>1986</v>
      </c>
      <c r="D2031" s="9" t="s">
        <v>1504</v>
      </c>
      <c r="F2031" s="6">
        <v>560</v>
      </c>
      <c r="G2031" s="6">
        <f t="shared" si="104"/>
        <v>560</v>
      </c>
      <c r="H2031" s="6">
        <v>560</v>
      </c>
      <c r="I2031" s="26">
        <f t="shared" si="106"/>
        <v>0</v>
      </c>
      <c r="J2031" s="7" t="str">
        <f t="shared" si="105"/>
        <v>PAGADO</v>
      </c>
      <c r="K2031" t="s">
        <v>693</v>
      </c>
    </row>
    <row r="2032" spans="1:12" x14ac:dyDescent="0.25">
      <c r="A2032">
        <v>2025</v>
      </c>
      <c r="C2032" s="9" t="s">
        <v>1987</v>
      </c>
      <c r="D2032" s="9" t="s">
        <v>1679</v>
      </c>
      <c r="F2032" s="6">
        <v>70</v>
      </c>
      <c r="G2032" s="6">
        <f t="shared" si="104"/>
        <v>70</v>
      </c>
      <c r="H2032" s="6">
        <v>70</v>
      </c>
      <c r="I2032" s="6">
        <f t="shared" si="106"/>
        <v>0</v>
      </c>
      <c r="J2032" s="7" t="str">
        <f t="shared" si="105"/>
        <v>PAGADO</v>
      </c>
    </row>
    <row r="2033" spans="1:11" x14ac:dyDescent="0.25">
      <c r="A2033">
        <v>2025</v>
      </c>
      <c r="C2033" t="s">
        <v>1988</v>
      </c>
      <c r="D2033" s="9" t="s">
        <v>1309</v>
      </c>
      <c r="F2033" s="6">
        <v>80</v>
      </c>
      <c r="G2033" s="6">
        <f t="shared" si="104"/>
        <v>80</v>
      </c>
      <c r="H2033" s="6">
        <f>40+40</f>
        <v>80</v>
      </c>
      <c r="I2033" s="6">
        <f t="shared" si="106"/>
        <v>0</v>
      </c>
      <c r="J2033" s="7" t="str">
        <f t="shared" si="105"/>
        <v>PAGADO</v>
      </c>
      <c r="K2033" s="9"/>
    </row>
    <row r="2034" spans="1:11" x14ac:dyDescent="0.25">
      <c r="A2034">
        <v>2025</v>
      </c>
      <c r="C2034" t="s">
        <v>1989</v>
      </c>
      <c r="D2034" s="9" t="s">
        <v>1309</v>
      </c>
      <c r="F2034" s="6">
        <v>80</v>
      </c>
      <c r="G2034" s="6">
        <f t="shared" si="104"/>
        <v>80</v>
      </c>
      <c r="H2034" s="6">
        <f>40+40</f>
        <v>80</v>
      </c>
      <c r="I2034" s="6">
        <f t="shared" si="106"/>
        <v>0</v>
      </c>
      <c r="J2034" s="7" t="str">
        <f t="shared" si="105"/>
        <v>PAGADO</v>
      </c>
      <c r="K2034" s="9"/>
    </row>
    <row r="2035" spans="1:11" x14ac:dyDescent="0.25">
      <c r="A2035">
        <v>2025</v>
      </c>
      <c r="C2035" t="s">
        <v>1990</v>
      </c>
      <c r="D2035" s="9" t="s">
        <v>1309</v>
      </c>
      <c r="F2035" s="6">
        <v>60</v>
      </c>
      <c r="G2035" s="6">
        <f t="shared" si="104"/>
        <v>60</v>
      </c>
      <c r="H2035" s="6">
        <v>60</v>
      </c>
      <c r="I2035" s="6">
        <f t="shared" si="106"/>
        <v>0</v>
      </c>
      <c r="J2035" s="7" t="str">
        <f t="shared" si="105"/>
        <v>PAGADO</v>
      </c>
      <c r="K2035" s="9"/>
    </row>
    <row r="2036" spans="1:11" x14ac:dyDescent="0.25">
      <c r="A2036">
        <v>2025</v>
      </c>
      <c r="C2036" s="9" t="s">
        <v>1991</v>
      </c>
      <c r="D2036" s="9" t="s">
        <v>1992</v>
      </c>
      <c r="F2036" s="6">
        <v>80</v>
      </c>
      <c r="G2036" s="6">
        <f t="shared" si="104"/>
        <v>80</v>
      </c>
      <c r="H2036" s="6">
        <v>80</v>
      </c>
      <c r="I2036" s="6">
        <f t="shared" si="106"/>
        <v>0</v>
      </c>
      <c r="J2036" s="7" t="str">
        <f t="shared" si="105"/>
        <v>PAGADO</v>
      </c>
    </row>
    <row r="2037" spans="1:11" x14ac:dyDescent="0.25">
      <c r="A2037">
        <v>2025</v>
      </c>
      <c r="C2037" s="9" t="s">
        <v>1993</v>
      </c>
      <c r="D2037" s="9" t="s">
        <v>1994</v>
      </c>
      <c r="F2037" s="6">
        <v>50</v>
      </c>
      <c r="G2037" s="6">
        <f t="shared" si="104"/>
        <v>50</v>
      </c>
      <c r="H2037" s="6">
        <v>50</v>
      </c>
      <c r="I2037" s="6">
        <f t="shared" si="106"/>
        <v>0</v>
      </c>
      <c r="J2037" s="7" t="str">
        <f t="shared" si="105"/>
        <v>PAGADO</v>
      </c>
    </row>
    <row r="2038" spans="1:11" x14ac:dyDescent="0.25">
      <c r="A2038">
        <v>2025</v>
      </c>
      <c r="C2038" t="s">
        <v>1995</v>
      </c>
      <c r="D2038" s="9" t="s">
        <v>1309</v>
      </c>
      <c r="F2038" s="6">
        <v>70</v>
      </c>
      <c r="G2038" s="6">
        <f t="shared" si="104"/>
        <v>70</v>
      </c>
      <c r="H2038" s="6">
        <v>70</v>
      </c>
      <c r="I2038" s="6">
        <f t="shared" si="106"/>
        <v>0</v>
      </c>
      <c r="J2038" s="7" t="str">
        <f t="shared" si="105"/>
        <v>PAGADO</v>
      </c>
    </row>
    <row r="2039" spans="1:11" x14ac:dyDescent="0.25">
      <c r="A2039">
        <v>2025</v>
      </c>
      <c r="C2039" t="s">
        <v>1996</v>
      </c>
      <c r="D2039" s="9" t="s">
        <v>1309</v>
      </c>
      <c r="F2039" s="6">
        <v>70</v>
      </c>
      <c r="G2039" s="6">
        <f t="shared" si="104"/>
        <v>70</v>
      </c>
      <c r="H2039" s="6">
        <f>20+50</f>
        <v>70</v>
      </c>
      <c r="I2039" s="6">
        <f t="shared" si="106"/>
        <v>0</v>
      </c>
      <c r="J2039" s="7" t="str">
        <f t="shared" si="105"/>
        <v>PAGADO</v>
      </c>
    </row>
    <row r="2040" spans="1:11" x14ac:dyDescent="0.25">
      <c r="A2040">
        <v>2025</v>
      </c>
      <c r="C2040" t="s">
        <v>1997</v>
      </c>
      <c r="D2040" s="9" t="s">
        <v>1998</v>
      </c>
      <c r="F2040" s="6">
        <v>190</v>
      </c>
      <c r="G2040" s="6">
        <f t="shared" si="104"/>
        <v>190</v>
      </c>
      <c r="H2040" s="6">
        <v>190</v>
      </c>
      <c r="I2040" s="6">
        <f t="shared" si="106"/>
        <v>0</v>
      </c>
      <c r="J2040" s="7" t="str">
        <f t="shared" si="105"/>
        <v>PAGADO</v>
      </c>
    </row>
    <row r="2041" spans="1:11" x14ac:dyDescent="0.25">
      <c r="A2041">
        <v>2025</v>
      </c>
      <c r="C2041" s="9" t="s">
        <v>1999</v>
      </c>
      <c r="D2041" s="9" t="s">
        <v>597</v>
      </c>
      <c r="F2041" s="6">
        <v>150</v>
      </c>
      <c r="G2041" s="6">
        <f t="shared" si="104"/>
        <v>150</v>
      </c>
      <c r="H2041" s="6">
        <v>150</v>
      </c>
      <c r="I2041" s="6">
        <f t="shared" si="106"/>
        <v>0</v>
      </c>
      <c r="J2041" s="7" t="str">
        <f t="shared" si="105"/>
        <v>PAGADO</v>
      </c>
    </row>
    <row r="2042" spans="1:11" x14ac:dyDescent="0.25">
      <c r="A2042">
        <v>2025</v>
      </c>
      <c r="C2042" s="9" t="s">
        <v>2000</v>
      </c>
      <c r="D2042" s="9" t="s">
        <v>2001</v>
      </c>
      <c r="F2042" s="6">
        <v>150</v>
      </c>
      <c r="G2042" s="6">
        <f t="shared" si="104"/>
        <v>150</v>
      </c>
      <c r="H2042" s="6">
        <v>150</v>
      </c>
      <c r="I2042" s="6">
        <f t="shared" si="106"/>
        <v>0</v>
      </c>
      <c r="J2042" s="7" t="str">
        <f t="shared" si="105"/>
        <v>PAGADO</v>
      </c>
    </row>
    <row r="2043" spans="1:11" x14ac:dyDescent="0.25">
      <c r="A2043">
        <v>2025</v>
      </c>
      <c r="C2043" s="9" t="s">
        <v>2002</v>
      </c>
      <c r="D2043" s="9" t="s">
        <v>1849</v>
      </c>
      <c r="F2043" s="6">
        <v>150</v>
      </c>
      <c r="G2043" s="6">
        <f t="shared" si="104"/>
        <v>150</v>
      </c>
      <c r="H2043" s="6">
        <v>150</v>
      </c>
      <c r="I2043" s="6">
        <f t="shared" si="106"/>
        <v>0</v>
      </c>
      <c r="J2043" s="7" t="str">
        <f t="shared" si="105"/>
        <v>PAGADO</v>
      </c>
    </row>
    <row r="2044" spans="1:11" x14ac:dyDescent="0.25">
      <c r="A2044">
        <v>2025</v>
      </c>
      <c r="C2044" s="9" t="s">
        <v>2003</v>
      </c>
      <c r="D2044" s="9" t="s">
        <v>1849</v>
      </c>
      <c r="F2044" s="6">
        <v>65</v>
      </c>
      <c r="G2044" s="6">
        <f t="shared" si="104"/>
        <v>65</v>
      </c>
      <c r="H2044" s="6">
        <v>65</v>
      </c>
      <c r="I2044" s="6">
        <f t="shared" si="106"/>
        <v>0</v>
      </c>
      <c r="J2044" s="7" t="str">
        <f t="shared" si="105"/>
        <v>PAGADO</v>
      </c>
    </row>
    <row r="2045" spans="1:11" x14ac:dyDescent="0.25">
      <c r="A2045">
        <v>2025</v>
      </c>
      <c r="C2045" s="9" t="s">
        <v>2004</v>
      </c>
      <c r="D2045" s="9" t="s">
        <v>1736</v>
      </c>
      <c r="F2045" s="6">
        <v>40</v>
      </c>
      <c r="G2045" s="6">
        <f t="shared" si="104"/>
        <v>40</v>
      </c>
      <c r="H2045" s="6">
        <v>40</v>
      </c>
      <c r="I2045" s="6">
        <f t="shared" si="106"/>
        <v>0</v>
      </c>
      <c r="J2045" s="7" t="str">
        <f t="shared" si="105"/>
        <v>PAGADO</v>
      </c>
    </row>
    <row r="2046" spans="1:11" x14ac:dyDescent="0.25">
      <c r="A2046">
        <v>2025</v>
      </c>
      <c r="C2046" s="9" t="s">
        <v>2005</v>
      </c>
      <c r="D2046" s="9" t="s">
        <v>1679</v>
      </c>
      <c r="F2046" s="6">
        <v>90</v>
      </c>
      <c r="G2046" s="6">
        <f t="shared" ref="G2046:G2109" si="107">F2046-E2046</f>
        <v>90</v>
      </c>
      <c r="H2046" s="6">
        <v>90</v>
      </c>
      <c r="I2046" s="6">
        <f t="shared" si="106"/>
        <v>0</v>
      </c>
      <c r="J2046" s="7" t="str">
        <f t="shared" si="105"/>
        <v>PAGADO</v>
      </c>
    </row>
    <row r="2047" spans="1:11" x14ac:dyDescent="0.25">
      <c r="A2047">
        <v>2025</v>
      </c>
      <c r="C2047" s="9" t="s">
        <v>2006</v>
      </c>
      <c r="D2047" s="9" t="s">
        <v>597</v>
      </c>
      <c r="F2047" s="6">
        <v>75</v>
      </c>
      <c r="G2047" s="6">
        <f t="shared" si="107"/>
        <v>75</v>
      </c>
      <c r="H2047" s="6">
        <v>75</v>
      </c>
      <c r="I2047" s="6">
        <f t="shared" si="106"/>
        <v>0</v>
      </c>
      <c r="J2047" s="7" t="str">
        <f t="shared" si="105"/>
        <v>PAGADO</v>
      </c>
    </row>
    <row r="2048" spans="1:11" x14ac:dyDescent="0.25">
      <c r="A2048">
        <v>2025</v>
      </c>
      <c r="C2048" s="9" t="s">
        <v>2007</v>
      </c>
      <c r="D2048" s="9" t="s">
        <v>1685</v>
      </c>
      <c r="F2048" s="6">
        <v>200</v>
      </c>
      <c r="G2048" s="6">
        <f t="shared" si="107"/>
        <v>200</v>
      </c>
      <c r="H2048" s="6">
        <v>200</v>
      </c>
      <c r="I2048" s="6">
        <f t="shared" si="106"/>
        <v>0</v>
      </c>
      <c r="J2048" s="7" t="str">
        <f t="shared" si="105"/>
        <v>PAGADO</v>
      </c>
    </row>
    <row r="2049" spans="1:11" x14ac:dyDescent="0.25">
      <c r="A2049">
        <v>2025</v>
      </c>
      <c r="C2049" t="s">
        <v>1828</v>
      </c>
      <c r="D2049" s="9" t="s">
        <v>700</v>
      </c>
      <c r="F2049" s="6">
        <v>75</v>
      </c>
      <c r="G2049" s="6">
        <f t="shared" si="107"/>
        <v>75</v>
      </c>
      <c r="H2049" s="6">
        <v>75</v>
      </c>
      <c r="I2049" s="6">
        <f t="shared" si="106"/>
        <v>0</v>
      </c>
      <c r="J2049" s="7" t="str">
        <f t="shared" si="105"/>
        <v>PAGADO</v>
      </c>
    </row>
    <row r="2050" spans="1:11" x14ac:dyDescent="0.25">
      <c r="A2050">
        <v>2025</v>
      </c>
      <c r="C2050" s="9" t="s">
        <v>2008</v>
      </c>
      <c r="D2050" s="9" t="s">
        <v>1451</v>
      </c>
      <c r="F2050" s="6">
        <v>60</v>
      </c>
      <c r="G2050" s="6">
        <f t="shared" si="107"/>
        <v>60</v>
      </c>
      <c r="H2050" s="6">
        <v>60</v>
      </c>
      <c r="I2050" s="6">
        <f t="shared" si="106"/>
        <v>0</v>
      </c>
      <c r="J2050" s="7" t="str">
        <f t="shared" si="105"/>
        <v>PAGADO</v>
      </c>
    </row>
    <row r="2051" spans="1:11" x14ac:dyDescent="0.25">
      <c r="A2051">
        <v>2025</v>
      </c>
      <c r="C2051" s="9" t="s">
        <v>2009</v>
      </c>
      <c r="D2051" s="9" t="s">
        <v>597</v>
      </c>
      <c r="F2051" s="6">
        <v>25</v>
      </c>
      <c r="G2051" s="6">
        <f t="shared" si="107"/>
        <v>25</v>
      </c>
      <c r="H2051" s="6">
        <v>25</v>
      </c>
      <c r="I2051" s="6">
        <f t="shared" si="106"/>
        <v>0</v>
      </c>
      <c r="J2051" s="7" t="str">
        <f t="shared" si="105"/>
        <v>PAGADO</v>
      </c>
    </row>
    <row r="2052" spans="1:11" x14ac:dyDescent="0.25">
      <c r="A2052">
        <v>2025</v>
      </c>
      <c r="C2052" s="9" t="s">
        <v>2010</v>
      </c>
      <c r="D2052" s="9" t="s">
        <v>1313</v>
      </c>
      <c r="F2052" s="6">
        <v>35</v>
      </c>
      <c r="G2052" s="6">
        <f t="shared" si="107"/>
        <v>35</v>
      </c>
      <c r="H2052" s="6">
        <v>35</v>
      </c>
      <c r="I2052" s="6">
        <f t="shared" si="106"/>
        <v>0</v>
      </c>
      <c r="J2052" s="7" t="str">
        <f t="shared" si="105"/>
        <v>PAGADO</v>
      </c>
    </row>
    <row r="2053" spans="1:11" x14ac:dyDescent="0.25">
      <c r="A2053">
        <v>2025</v>
      </c>
      <c r="C2053" s="9" t="s">
        <v>2011</v>
      </c>
      <c r="D2053" s="9" t="s">
        <v>31</v>
      </c>
      <c r="F2053" s="6">
        <v>80</v>
      </c>
      <c r="G2053" s="6">
        <f t="shared" si="107"/>
        <v>80</v>
      </c>
      <c r="H2053" s="6">
        <f>70+10</f>
        <v>80</v>
      </c>
      <c r="I2053" s="6">
        <f t="shared" si="106"/>
        <v>0</v>
      </c>
      <c r="J2053" s="7" t="str">
        <f t="shared" si="105"/>
        <v>PAGADO</v>
      </c>
      <c r="K2053" s="9"/>
    </row>
    <row r="2054" spans="1:11" x14ac:dyDescent="0.25">
      <c r="A2054">
        <v>2025</v>
      </c>
      <c r="C2054" s="9" t="s">
        <v>2012</v>
      </c>
      <c r="D2054" s="9" t="s">
        <v>1510</v>
      </c>
      <c r="F2054" s="6">
        <v>270</v>
      </c>
      <c r="G2054" s="6">
        <f t="shared" si="107"/>
        <v>270</v>
      </c>
      <c r="H2054" s="6">
        <f>135+135</f>
        <v>270</v>
      </c>
      <c r="I2054" s="6">
        <f t="shared" si="106"/>
        <v>0</v>
      </c>
      <c r="J2054" s="7" t="str">
        <f t="shared" si="105"/>
        <v>PAGADO</v>
      </c>
      <c r="K2054" s="9"/>
    </row>
    <row r="2055" spans="1:11" x14ac:dyDescent="0.25">
      <c r="A2055">
        <v>2025</v>
      </c>
      <c r="C2055" s="9" t="s">
        <v>2013</v>
      </c>
      <c r="D2055" s="9" t="s">
        <v>1799</v>
      </c>
      <c r="F2055" s="6">
        <v>90</v>
      </c>
      <c r="G2055" s="6">
        <f t="shared" si="107"/>
        <v>90</v>
      </c>
      <c r="H2055" s="6">
        <f>45+45</f>
        <v>90</v>
      </c>
      <c r="I2055" s="6">
        <f t="shared" si="106"/>
        <v>0</v>
      </c>
      <c r="J2055" s="7" t="str">
        <f t="shared" si="105"/>
        <v>PAGADO</v>
      </c>
      <c r="K2055" s="9"/>
    </row>
    <row r="2056" spans="1:11" x14ac:dyDescent="0.25">
      <c r="A2056">
        <v>2025</v>
      </c>
      <c r="C2056" s="9" t="s">
        <v>2013</v>
      </c>
      <c r="D2056" s="9" t="s">
        <v>1677</v>
      </c>
      <c r="F2056" s="6">
        <v>90</v>
      </c>
      <c r="G2056" s="6">
        <f t="shared" si="107"/>
        <v>90</v>
      </c>
      <c r="H2056" s="6">
        <v>90</v>
      </c>
      <c r="I2056" s="6">
        <f t="shared" si="106"/>
        <v>0</v>
      </c>
      <c r="J2056" s="7" t="str">
        <f t="shared" si="105"/>
        <v>PAGADO</v>
      </c>
      <c r="K2056" t="s">
        <v>693</v>
      </c>
    </row>
    <row r="2057" spans="1:11" x14ac:dyDescent="0.25">
      <c r="A2057">
        <v>2025</v>
      </c>
      <c r="C2057" s="9" t="s">
        <v>2014</v>
      </c>
      <c r="D2057" s="9" t="s">
        <v>816</v>
      </c>
      <c r="F2057" s="6">
        <f>25*8</f>
        <v>200</v>
      </c>
      <c r="G2057" s="6">
        <f t="shared" si="107"/>
        <v>200</v>
      </c>
      <c r="H2057" s="6">
        <v>200</v>
      </c>
      <c r="I2057" s="16">
        <f t="shared" si="106"/>
        <v>0</v>
      </c>
      <c r="J2057" s="7" t="str">
        <f t="shared" si="105"/>
        <v>PAGADO</v>
      </c>
    </row>
    <row r="2058" spans="1:11" x14ac:dyDescent="0.25">
      <c r="A2058">
        <v>2025</v>
      </c>
      <c r="C2058" s="9" t="s">
        <v>2015</v>
      </c>
      <c r="D2058" s="9" t="s">
        <v>816</v>
      </c>
      <c r="F2058" s="6">
        <v>30</v>
      </c>
      <c r="G2058" s="6">
        <f t="shared" si="107"/>
        <v>30</v>
      </c>
      <c r="H2058" s="6">
        <v>30</v>
      </c>
      <c r="I2058" s="16">
        <f t="shared" si="106"/>
        <v>0</v>
      </c>
      <c r="J2058" s="7" t="str">
        <f t="shared" si="105"/>
        <v>PAGADO</v>
      </c>
    </row>
    <row r="2059" spans="1:11" x14ac:dyDescent="0.25">
      <c r="A2059">
        <v>2025</v>
      </c>
      <c r="C2059" t="s">
        <v>2016</v>
      </c>
      <c r="D2059" s="9" t="s">
        <v>1841</v>
      </c>
      <c r="F2059" s="6">
        <v>670</v>
      </c>
      <c r="G2059" s="6">
        <f t="shared" si="107"/>
        <v>670</v>
      </c>
      <c r="H2059" s="6">
        <f>180+50+100+340</f>
        <v>670</v>
      </c>
      <c r="I2059" s="6">
        <f t="shared" si="106"/>
        <v>0</v>
      </c>
      <c r="J2059" s="7" t="str">
        <f t="shared" si="105"/>
        <v>PAGADO</v>
      </c>
    </row>
    <row r="2060" spans="1:11" x14ac:dyDescent="0.25">
      <c r="A2060">
        <v>2025</v>
      </c>
      <c r="C2060" t="s">
        <v>2017</v>
      </c>
      <c r="D2060" s="9" t="s">
        <v>2018</v>
      </c>
      <c r="F2060" s="6">
        <v>60</v>
      </c>
      <c r="G2060" s="6">
        <f t="shared" si="107"/>
        <v>60</v>
      </c>
      <c r="H2060" s="6">
        <f>10+50</f>
        <v>60</v>
      </c>
      <c r="I2060" s="6">
        <f t="shared" si="106"/>
        <v>0</v>
      </c>
      <c r="J2060" s="7" t="str">
        <f t="shared" si="105"/>
        <v>PAGADO</v>
      </c>
    </row>
    <row r="2061" spans="1:11" x14ac:dyDescent="0.25">
      <c r="A2061">
        <v>2025</v>
      </c>
      <c r="C2061" t="s">
        <v>2019</v>
      </c>
      <c r="D2061" s="9" t="s">
        <v>2020</v>
      </c>
      <c r="F2061" s="6">
        <v>60</v>
      </c>
      <c r="G2061" s="6">
        <f t="shared" si="107"/>
        <v>60</v>
      </c>
      <c r="H2061" s="6">
        <v>60</v>
      </c>
      <c r="I2061" s="26">
        <f t="shared" si="106"/>
        <v>0</v>
      </c>
      <c r="J2061" s="7" t="str">
        <f t="shared" ref="J2061:J2124" si="108">IF(I2061&gt;0,"DEBE","PAGADO")</f>
        <v>PAGADO</v>
      </c>
    </row>
    <row r="2062" spans="1:11" x14ac:dyDescent="0.25">
      <c r="A2062">
        <v>2025</v>
      </c>
      <c r="C2062" s="9" t="s">
        <v>1568</v>
      </c>
      <c r="D2062" s="9" t="s">
        <v>1388</v>
      </c>
      <c r="F2062" s="6">
        <v>70</v>
      </c>
      <c r="G2062" s="6">
        <f t="shared" si="107"/>
        <v>70</v>
      </c>
      <c r="H2062" s="6">
        <v>70</v>
      </c>
      <c r="I2062" s="26">
        <f t="shared" si="106"/>
        <v>0</v>
      </c>
      <c r="J2062" s="7" t="str">
        <f t="shared" si="108"/>
        <v>PAGADO</v>
      </c>
    </row>
    <row r="2063" spans="1:11" x14ac:dyDescent="0.25">
      <c r="A2063">
        <v>2025</v>
      </c>
      <c r="C2063" s="9" t="s">
        <v>2021</v>
      </c>
      <c r="D2063" s="9" t="s">
        <v>1388</v>
      </c>
      <c r="F2063" s="6">
        <v>70</v>
      </c>
      <c r="G2063" s="6">
        <f t="shared" si="107"/>
        <v>70</v>
      </c>
      <c r="H2063" s="6">
        <v>70</v>
      </c>
      <c r="I2063" s="26">
        <f t="shared" si="106"/>
        <v>0</v>
      </c>
      <c r="J2063" s="7" t="str">
        <f t="shared" si="108"/>
        <v>PAGADO</v>
      </c>
    </row>
    <row r="2064" spans="1:11" x14ac:dyDescent="0.25">
      <c r="A2064">
        <v>2025</v>
      </c>
      <c r="C2064" s="9" t="s">
        <v>283</v>
      </c>
      <c r="D2064" s="9" t="s">
        <v>1388</v>
      </c>
      <c r="F2064" s="6">
        <v>60</v>
      </c>
      <c r="G2064" s="6">
        <f t="shared" si="107"/>
        <v>60</v>
      </c>
      <c r="H2064" s="6">
        <v>60</v>
      </c>
      <c r="I2064" s="26">
        <f t="shared" si="106"/>
        <v>0</v>
      </c>
      <c r="J2064" s="7" t="str">
        <f t="shared" si="108"/>
        <v>PAGADO</v>
      </c>
    </row>
    <row r="2065" spans="1:11" x14ac:dyDescent="0.25">
      <c r="A2065">
        <v>2025</v>
      </c>
      <c r="C2065" s="9" t="s">
        <v>2022</v>
      </c>
      <c r="D2065" s="9" t="s">
        <v>2023</v>
      </c>
      <c r="F2065" s="6">
        <v>110</v>
      </c>
      <c r="G2065" s="6">
        <f t="shared" si="107"/>
        <v>110</v>
      </c>
      <c r="H2065" s="6">
        <v>110</v>
      </c>
      <c r="I2065" s="26">
        <f t="shared" si="106"/>
        <v>0</v>
      </c>
      <c r="J2065" s="7" t="str">
        <f t="shared" si="108"/>
        <v>PAGADO</v>
      </c>
    </row>
    <row r="2066" spans="1:11" x14ac:dyDescent="0.25">
      <c r="A2066">
        <v>2025</v>
      </c>
      <c r="C2066" s="9" t="s">
        <v>2024</v>
      </c>
      <c r="D2066" s="9" t="s">
        <v>1736</v>
      </c>
      <c r="F2066" s="6">
        <v>7</v>
      </c>
      <c r="G2066" s="6">
        <f t="shared" si="107"/>
        <v>7</v>
      </c>
      <c r="H2066" s="6">
        <v>7</v>
      </c>
      <c r="I2066" s="26">
        <f t="shared" si="106"/>
        <v>0</v>
      </c>
      <c r="J2066" s="7" t="str">
        <f t="shared" si="108"/>
        <v>PAGADO</v>
      </c>
    </row>
    <row r="2067" spans="1:11" x14ac:dyDescent="0.25">
      <c r="A2067">
        <v>2025</v>
      </c>
      <c r="C2067" s="9" t="s">
        <v>2025</v>
      </c>
      <c r="D2067" s="9" t="s">
        <v>2026</v>
      </c>
      <c r="F2067" s="6">
        <v>20</v>
      </c>
      <c r="G2067" s="6">
        <f t="shared" si="107"/>
        <v>20</v>
      </c>
      <c r="H2067" s="6">
        <v>20</v>
      </c>
      <c r="I2067" s="26">
        <f t="shared" si="106"/>
        <v>0</v>
      </c>
      <c r="J2067" s="7" t="str">
        <f t="shared" si="108"/>
        <v>PAGADO</v>
      </c>
    </row>
    <row r="2068" spans="1:11" x14ac:dyDescent="0.25">
      <c r="A2068">
        <v>2025</v>
      </c>
      <c r="C2068" s="9" t="s">
        <v>2027</v>
      </c>
      <c r="D2068" s="9" t="s">
        <v>1425</v>
      </c>
      <c r="F2068" s="6">
        <v>25</v>
      </c>
      <c r="G2068" s="6">
        <f t="shared" si="107"/>
        <v>25</v>
      </c>
      <c r="H2068" s="6">
        <v>25</v>
      </c>
      <c r="I2068" s="16">
        <f t="shared" si="106"/>
        <v>0</v>
      </c>
      <c r="J2068" s="7" t="str">
        <f t="shared" si="108"/>
        <v>PAGADO</v>
      </c>
    </row>
    <row r="2069" spans="1:11" x14ac:dyDescent="0.25">
      <c r="A2069">
        <v>2025</v>
      </c>
      <c r="C2069" s="9" t="s">
        <v>1693</v>
      </c>
      <c r="D2069" s="9" t="s">
        <v>2028</v>
      </c>
      <c r="F2069" s="6">
        <v>70</v>
      </c>
      <c r="G2069" s="6">
        <f t="shared" si="107"/>
        <v>70</v>
      </c>
      <c r="H2069" s="6">
        <v>70</v>
      </c>
      <c r="I2069" s="26">
        <f t="shared" si="106"/>
        <v>0</v>
      </c>
      <c r="J2069" s="7" t="str">
        <f t="shared" si="108"/>
        <v>PAGADO</v>
      </c>
    </row>
    <row r="2070" spans="1:11" x14ac:dyDescent="0.25">
      <c r="A2070">
        <v>2025</v>
      </c>
      <c r="C2070" s="9" t="s">
        <v>2029</v>
      </c>
      <c r="D2070" s="9" t="s">
        <v>2028</v>
      </c>
      <c r="F2070" s="6">
        <v>75</v>
      </c>
      <c r="G2070" s="6">
        <f t="shared" si="107"/>
        <v>75</v>
      </c>
      <c r="H2070" s="6">
        <v>75</v>
      </c>
      <c r="I2070" s="26">
        <f t="shared" si="106"/>
        <v>0</v>
      </c>
      <c r="J2070" s="7" t="str">
        <f t="shared" si="108"/>
        <v>PAGADO</v>
      </c>
    </row>
    <row r="2071" spans="1:11" x14ac:dyDescent="0.25">
      <c r="A2071">
        <v>2025</v>
      </c>
      <c r="C2071" s="9" t="s">
        <v>2030</v>
      </c>
      <c r="D2071" s="9" t="s">
        <v>2031</v>
      </c>
      <c r="F2071" s="6">
        <v>50</v>
      </c>
      <c r="G2071" s="6">
        <f t="shared" si="107"/>
        <v>50</v>
      </c>
      <c r="H2071" s="6">
        <v>50</v>
      </c>
      <c r="I2071" s="26">
        <f t="shared" si="106"/>
        <v>0</v>
      </c>
      <c r="J2071" s="7" t="str">
        <f t="shared" si="108"/>
        <v>PAGADO</v>
      </c>
      <c r="K2071" t="s">
        <v>1056</v>
      </c>
    </row>
    <row r="2072" spans="1:11" x14ac:dyDescent="0.25">
      <c r="A2072">
        <v>2025</v>
      </c>
      <c r="C2072" s="9" t="s">
        <v>2032</v>
      </c>
      <c r="D2072" s="9" t="s">
        <v>1679</v>
      </c>
      <c r="F2072" s="6">
        <v>70</v>
      </c>
      <c r="G2072" s="6">
        <f t="shared" si="107"/>
        <v>70</v>
      </c>
      <c r="H2072" s="6">
        <v>70</v>
      </c>
      <c r="I2072" s="26">
        <f t="shared" si="106"/>
        <v>0</v>
      </c>
      <c r="J2072" s="7" t="str">
        <f t="shared" si="108"/>
        <v>PAGADO</v>
      </c>
    </row>
    <row r="2073" spans="1:11" x14ac:dyDescent="0.25">
      <c r="A2073">
        <v>2025</v>
      </c>
      <c r="C2073" s="9" t="s">
        <v>2033</v>
      </c>
      <c r="D2073" s="9" t="s">
        <v>1679</v>
      </c>
      <c r="F2073" s="6">
        <v>140</v>
      </c>
      <c r="G2073" s="6">
        <f t="shared" si="107"/>
        <v>140</v>
      </c>
      <c r="H2073" s="6">
        <f>90+50</f>
        <v>140</v>
      </c>
      <c r="I2073" s="26">
        <f t="shared" si="106"/>
        <v>0</v>
      </c>
      <c r="J2073" s="7" t="str">
        <f t="shared" si="108"/>
        <v>PAGADO</v>
      </c>
      <c r="K2073" s="9"/>
    </row>
    <row r="2074" spans="1:11" x14ac:dyDescent="0.25">
      <c r="A2074">
        <v>2025</v>
      </c>
      <c r="C2074" s="9" t="s">
        <v>2034</v>
      </c>
      <c r="D2074" s="9" t="s">
        <v>1679</v>
      </c>
      <c r="F2074" s="6">
        <v>55</v>
      </c>
      <c r="G2074" s="6">
        <f t="shared" si="107"/>
        <v>55</v>
      </c>
      <c r="H2074" s="6">
        <v>55</v>
      </c>
      <c r="I2074" s="26">
        <f t="shared" si="106"/>
        <v>0</v>
      </c>
      <c r="J2074" s="7" t="str">
        <f t="shared" si="108"/>
        <v>PAGADO</v>
      </c>
    </row>
    <row r="2075" spans="1:11" x14ac:dyDescent="0.25">
      <c r="A2075">
        <v>2025</v>
      </c>
      <c r="C2075" s="9" t="s">
        <v>1978</v>
      </c>
      <c r="D2075" s="9" t="s">
        <v>1388</v>
      </c>
      <c r="F2075" s="6">
        <v>95</v>
      </c>
      <c r="G2075" s="6">
        <f t="shared" si="107"/>
        <v>95</v>
      </c>
      <c r="H2075" s="53">
        <v>95</v>
      </c>
      <c r="I2075" s="26">
        <f t="shared" si="106"/>
        <v>0</v>
      </c>
      <c r="J2075" s="7" t="str">
        <f t="shared" si="108"/>
        <v>PAGADO</v>
      </c>
      <c r="K2075" s="33"/>
    </row>
    <row r="2076" spans="1:11" x14ac:dyDescent="0.25">
      <c r="A2076">
        <v>2025</v>
      </c>
      <c r="C2076" s="9" t="s">
        <v>2035</v>
      </c>
      <c r="D2076" s="9" t="s">
        <v>1388</v>
      </c>
      <c r="F2076" s="6">
        <v>80</v>
      </c>
      <c r="G2076" s="6">
        <f t="shared" si="107"/>
        <v>80</v>
      </c>
      <c r="H2076" s="26">
        <f>40+40</f>
        <v>80</v>
      </c>
      <c r="I2076" s="26">
        <f t="shared" si="106"/>
        <v>0</v>
      </c>
      <c r="J2076" s="7" t="str">
        <f t="shared" si="108"/>
        <v>PAGADO</v>
      </c>
      <c r="K2076" s="9"/>
    </row>
    <row r="2077" spans="1:11" x14ac:dyDescent="0.25">
      <c r="A2077">
        <v>2025</v>
      </c>
      <c r="C2077" s="9" t="s">
        <v>2036</v>
      </c>
      <c r="D2077" s="9" t="s">
        <v>1388</v>
      </c>
      <c r="F2077" s="6">
        <v>80</v>
      </c>
      <c r="G2077" s="6">
        <f t="shared" si="107"/>
        <v>80</v>
      </c>
      <c r="H2077" s="26">
        <f>40+40</f>
        <v>80</v>
      </c>
      <c r="I2077" s="26">
        <f t="shared" si="106"/>
        <v>0</v>
      </c>
      <c r="J2077" s="7" t="str">
        <f t="shared" si="108"/>
        <v>PAGADO</v>
      </c>
      <c r="K2077" s="9"/>
    </row>
    <row r="2078" spans="1:11" x14ac:dyDescent="0.25">
      <c r="A2078">
        <v>2025</v>
      </c>
      <c r="C2078" s="9" t="s">
        <v>2037</v>
      </c>
      <c r="D2078" s="9" t="s">
        <v>1388</v>
      </c>
      <c r="F2078" s="6">
        <v>80</v>
      </c>
      <c r="G2078" s="6">
        <f t="shared" si="107"/>
        <v>80</v>
      </c>
      <c r="H2078" s="26">
        <f>40+40</f>
        <v>80</v>
      </c>
      <c r="I2078" s="26">
        <f t="shared" si="106"/>
        <v>0</v>
      </c>
      <c r="J2078" s="7" t="str">
        <f t="shared" si="108"/>
        <v>PAGADO</v>
      </c>
      <c r="K2078" s="9"/>
    </row>
    <row r="2079" spans="1:11" x14ac:dyDescent="0.25">
      <c r="A2079">
        <v>2025</v>
      </c>
      <c r="C2079" s="9" t="s">
        <v>2038</v>
      </c>
      <c r="D2079" s="9" t="s">
        <v>1388</v>
      </c>
      <c r="F2079" s="6">
        <v>70</v>
      </c>
      <c r="G2079" s="6">
        <f t="shared" si="107"/>
        <v>70</v>
      </c>
      <c r="H2079" s="26">
        <f>35+35</f>
        <v>70</v>
      </c>
      <c r="I2079" s="26">
        <f t="shared" si="106"/>
        <v>0</v>
      </c>
      <c r="J2079" s="7" t="str">
        <f t="shared" si="108"/>
        <v>PAGADO</v>
      </c>
      <c r="K2079" s="56"/>
    </row>
    <row r="2080" spans="1:11" x14ac:dyDescent="0.25">
      <c r="A2080">
        <v>2025</v>
      </c>
      <c r="C2080" s="9" t="s">
        <v>2039</v>
      </c>
      <c r="D2080" s="9" t="s">
        <v>1504</v>
      </c>
      <c r="F2080" s="6">
        <v>70</v>
      </c>
      <c r="G2080" s="6">
        <f t="shared" si="107"/>
        <v>70</v>
      </c>
      <c r="H2080" s="6">
        <v>70</v>
      </c>
      <c r="I2080" s="26">
        <f t="shared" si="106"/>
        <v>0</v>
      </c>
      <c r="J2080" s="7" t="str">
        <f t="shared" si="108"/>
        <v>PAGADO</v>
      </c>
      <c r="K2080" t="s">
        <v>693</v>
      </c>
    </row>
    <row r="2081" spans="1:11" x14ac:dyDescent="0.25">
      <c r="A2081">
        <v>2025</v>
      </c>
      <c r="C2081" s="9" t="s">
        <v>2040</v>
      </c>
      <c r="D2081" s="9" t="s">
        <v>1388</v>
      </c>
      <c r="F2081" s="6">
        <v>100</v>
      </c>
      <c r="G2081" s="6">
        <f t="shared" si="107"/>
        <v>100</v>
      </c>
      <c r="H2081" s="26">
        <f>50+50</f>
        <v>100</v>
      </c>
      <c r="I2081" s="26">
        <f t="shared" si="106"/>
        <v>0</v>
      </c>
      <c r="J2081" s="7" t="str">
        <f t="shared" si="108"/>
        <v>PAGADO</v>
      </c>
      <c r="K2081" s="9"/>
    </row>
    <row r="2082" spans="1:11" x14ac:dyDescent="0.25">
      <c r="A2082">
        <v>2025</v>
      </c>
      <c r="C2082" s="9" t="s">
        <v>2041</v>
      </c>
      <c r="D2082" s="9" t="s">
        <v>45</v>
      </c>
      <c r="F2082" s="6">
        <v>280</v>
      </c>
      <c r="G2082" s="6">
        <f t="shared" si="107"/>
        <v>280</v>
      </c>
      <c r="H2082" s="6">
        <v>280</v>
      </c>
      <c r="I2082" s="26">
        <f t="shared" si="106"/>
        <v>0</v>
      </c>
      <c r="J2082" s="7" t="str">
        <f t="shared" si="108"/>
        <v>PAGADO</v>
      </c>
    </row>
    <row r="2083" spans="1:11" x14ac:dyDescent="0.25">
      <c r="A2083">
        <v>2025</v>
      </c>
      <c r="C2083" s="9" t="s">
        <v>2042</v>
      </c>
      <c r="D2083" s="9" t="s">
        <v>597</v>
      </c>
      <c r="F2083" s="6">
        <v>60</v>
      </c>
      <c r="G2083" s="6">
        <f t="shared" si="107"/>
        <v>60</v>
      </c>
      <c r="H2083" s="6">
        <f>50+10</f>
        <v>60</v>
      </c>
      <c r="I2083" s="26">
        <f t="shared" ref="I2083:I2146" si="109">F2083-H2083</f>
        <v>0</v>
      </c>
      <c r="J2083" s="7" t="str">
        <f t="shared" si="108"/>
        <v>PAGADO</v>
      </c>
    </row>
    <row r="2084" spans="1:11" x14ac:dyDescent="0.25">
      <c r="A2084">
        <v>2025</v>
      </c>
      <c r="C2084" s="9" t="s">
        <v>2043</v>
      </c>
      <c r="D2084" s="9" t="s">
        <v>816</v>
      </c>
      <c r="F2084" s="6">
        <v>90</v>
      </c>
      <c r="G2084" s="6">
        <f t="shared" si="107"/>
        <v>90</v>
      </c>
      <c r="H2084" s="6">
        <v>90</v>
      </c>
      <c r="I2084" s="57">
        <f t="shared" si="109"/>
        <v>0</v>
      </c>
      <c r="J2084" s="7" t="str">
        <f t="shared" si="108"/>
        <v>PAGADO</v>
      </c>
    </row>
    <row r="2085" spans="1:11" x14ac:dyDescent="0.25">
      <c r="A2085">
        <v>2025</v>
      </c>
      <c r="C2085" s="9" t="s">
        <v>2044</v>
      </c>
      <c r="D2085" s="9" t="s">
        <v>2045</v>
      </c>
      <c r="F2085" s="6">
        <v>14</v>
      </c>
      <c r="G2085" s="6">
        <f t="shared" si="107"/>
        <v>14</v>
      </c>
      <c r="H2085" s="6">
        <v>14</v>
      </c>
      <c r="I2085" s="26">
        <f t="shared" si="109"/>
        <v>0</v>
      </c>
      <c r="J2085" s="7" t="str">
        <f t="shared" si="108"/>
        <v>PAGADO</v>
      </c>
    </row>
    <row r="2086" spans="1:11" x14ac:dyDescent="0.25">
      <c r="A2086">
        <v>2025</v>
      </c>
      <c r="C2086" s="9" t="s">
        <v>2046</v>
      </c>
      <c r="D2086" s="9" t="s">
        <v>1659</v>
      </c>
      <c r="F2086" s="6">
        <v>7</v>
      </c>
      <c r="G2086" s="6">
        <f t="shared" si="107"/>
        <v>7</v>
      </c>
      <c r="H2086" s="6">
        <v>7</v>
      </c>
      <c r="I2086" s="26">
        <f t="shared" si="109"/>
        <v>0</v>
      </c>
      <c r="J2086" s="7" t="str">
        <f t="shared" si="108"/>
        <v>PAGADO</v>
      </c>
    </row>
    <row r="2087" spans="1:11" x14ac:dyDescent="0.25">
      <c r="A2087">
        <v>2025</v>
      </c>
      <c r="C2087" s="9" t="s">
        <v>2047</v>
      </c>
      <c r="D2087" s="9" t="s">
        <v>1736</v>
      </c>
      <c r="F2087" s="6">
        <v>90</v>
      </c>
      <c r="G2087" s="6">
        <f t="shared" si="107"/>
        <v>90</v>
      </c>
      <c r="H2087" s="6">
        <f>45+45</f>
        <v>90</v>
      </c>
      <c r="I2087" s="26">
        <f t="shared" si="109"/>
        <v>0</v>
      </c>
      <c r="J2087" s="7" t="str">
        <f t="shared" si="108"/>
        <v>PAGADO</v>
      </c>
      <c r="K2087" s="9"/>
    </row>
    <row r="2088" spans="1:11" x14ac:dyDescent="0.25">
      <c r="A2088">
        <v>2025</v>
      </c>
      <c r="C2088" s="9" t="s">
        <v>2048</v>
      </c>
      <c r="D2088" s="9" t="s">
        <v>2049</v>
      </c>
      <c r="F2088" s="6">
        <v>60</v>
      </c>
      <c r="G2088" s="6">
        <f t="shared" si="107"/>
        <v>60</v>
      </c>
      <c r="H2088" s="6">
        <f>30+30</f>
        <v>60</v>
      </c>
      <c r="I2088" s="26">
        <f t="shared" si="109"/>
        <v>0</v>
      </c>
      <c r="J2088" s="7" t="str">
        <f t="shared" si="108"/>
        <v>PAGADO</v>
      </c>
    </row>
    <row r="2089" spans="1:11" x14ac:dyDescent="0.25">
      <c r="A2089">
        <v>2025</v>
      </c>
      <c r="C2089" s="9" t="s">
        <v>1174</v>
      </c>
      <c r="D2089" s="9" t="s">
        <v>1388</v>
      </c>
      <c r="F2089" s="6">
        <v>250</v>
      </c>
      <c r="G2089" s="6">
        <f t="shared" si="107"/>
        <v>250</v>
      </c>
      <c r="H2089" s="26">
        <v>250</v>
      </c>
      <c r="I2089" s="26">
        <f t="shared" si="109"/>
        <v>0</v>
      </c>
      <c r="J2089" s="7" t="str">
        <f t="shared" si="108"/>
        <v>PAGADO</v>
      </c>
      <c r="K2089" s="9"/>
    </row>
    <row r="2090" spans="1:11" x14ac:dyDescent="0.25">
      <c r="A2090">
        <v>2025</v>
      </c>
      <c r="C2090" s="9" t="s">
        <v>2050</v>
      </c>
      <c r="D2090" s="9" t="s">
        <v>1388</v>
      </c>
      <c r="F2090" s="6">
        <v>250</v>
      </c>
      <c r="G2090" s="6">
        <f t="shared" si="107"/>
        <v>250</v>
      </c>
      <c r="H2090" s="26">
        <v>250</v>
      </c>
      <c r="I2090" s="26">
        <f t="shared" si="109"/>
        <v>0</v>
      </c>
      <c r="J2090" s="7" t="str">
        <f t="shared" si="108"/>
        <v>PAGADO</v>
      </c>
      <c r="K2090" s="9"/>
    </row>
    <row r="2091" spans="1:11" x14ac:dyDescent="0.25">
      <c r="A2091">
        <v>2025</v>
      </c>
      <c r="C2091" s="9" t="s">
        <v>2051</v>
      </c>
      <c r="D2091" s="9" t="s">
        <v>1388</v>
      </c>
      <c r="F2091" s="6">
        <v>300</v>
      </c>
      <c r="G2091" s="6">
        <f t="shared" si="107"/>
        <v>300</v>
      </c>
      <c r="H2091" s="26">
        <f>250+50</f>
        <v>300</v>
      </c>
      <c r="I2091" s="27">
        <f t="shared" si="109"/>
        <v>0</v>
      </c>
      <c r="J2091" s="7" t="str">
        <f t="shared" si="108"/>
        <v>PAGADO</v>
      </c>
      <c r="K2091" s="9"/>
    </row>
    <row r="2092" spans="1:11" x14ac:dyDescent="0.25">
      <c r="A2092">
        <v>2025</v>
      </c>
      <c r="C2092" s="9" t="s">
        <v>2052</v>
      </c>
      <c r="D2092" s="9" t="s">
        <v>1388</v>
      </c>
      <c r="F2092" s="6">
        <v>200</v>
      </c>
      <c r="G2092" s="6">
        <f t="shared" si="107"/>
        <v>200</v>
      </c>
      <c r="H2092" s="26">
        <v>200</v>
      </c>
      <c r="I2092" s="26">
        <f t="shared" si="109"/>
        <v>0</v>
      </c>
      <c r="J2092" s="7" t="str">
        <f t="shared" si="108"/>
        <v>PAGADO</v>
      </c>
      <c r="K2092" s="9"/>
    </row>
    <row r="2093" spans="1:11" x14ac:dyDescent="0.25">
      <c r="A2093">
        <v>2025</v>
      </c>
      <c r="C2093" s="9" t="s">
        <v>2053</v>
      </c>
      <c r="D2093" s="9" t="s">
        <v>1388</v>
      </c>
      <c r="F2093" s="6">
        <v>200</v>
      </c>
      <c r="G2093" s="6">
        <f t="shared" si="107"/>
        <v>200</v>
      </c>
      <c r="H2093" s="26">
        <f>50+150</f>
        <v>200</v>
      </c>
      <c r="I2093" s="27">
        <f t="shared" si="109"/>
        <v>0</v>
      </c>
      <c r="J2093" s="7" t="str">
        <f t="shared" si="108"/>
        <v>PAGADO</v>
      </c>
      <c r="K2093" s="9"/>
    </row>
    <row r="2094" spans="1:11" x14ac:dyDescent="0.25">
      <c r="A2094">
        <v>2025</v>
      </c>
      <c r="C2094" s="9" t="s">
        <v>2054</v>
      </c>
      <c r="D2094" s="9" t="s">
        <v>1388</v>
      </c>
      <c r="F2094" s="6">
        <v>300</v>
      </c>
      <c r="G2094" s="6">
        <f t="shared" si="107"/>
        <v>300</v>
      </c>
      <c r="H2094" s="26">
        <v>300</v>
      </c>
      <c r="I2094" s="27">
        <f t="shared" si="109"/>
        <v>0</v>
      </c>
      <c r="J2094" s="7" t="str">
        <f t="shared" si="108"/>
        <v>PAGADO</v>
      </c>
      <c r="K2094" s="9"/>
    </row>
    <row r="2095" spans="1:11" x14ac:dyDescent="0.25">
      <c r="A2095">
        <v>2025</v>
      </c>
      <c r="C2095" s="9" t="s">
        <v>2055</v>
      </c>
      <c r="D2095" s="9" t="s">
        <v>1679</v>
      </c>
      <c r="F2095" s="6">
        <v>220</v>
      </c>
      <c r="G2095" s="6">
        <f t="shared" si="107"/>
        <v>220</v>
      </c>
      <c r="H2095" s="6">
        <v>220</v>
      </c>
      <c r="I2095" s="26">
        <f t="shared" si="109"/>
        <v>0</v>
      </c>
      <c r="J2095" s="7" t="str">
        <f t="shared" si="108"/>
        <v>PAGADO</v>
      </c>
    </row>
    <row r="2096" spans="1:11" x14ac:dyDescent="0.25">
      <c r="A2096">
        <v>2025</v>
      </c>
      <c r="C2096" s="9" t="s">
        <v>2056</v>
      </c>
      <c r="D2096" s="9" t="s">
        <v>1679</v>
      </c>
      <c r="F2096" s="26">
        <v>300</v>
      </c>
      <c r="G2096" s="26">
        <f t="shared" si="107"/>
        <v>300</v>
      </c>
      <c r="H2096" s="26">
        <v>300</v>
      </c>
      <c r="I2096" s="26">
        <f t="shared" si="109"/>
        <v>0</v>
      </c>
      <c r="J2096" s="7" t="str">
        <f t="shared" si="108"/>
        <v>PAGADO</v>
      </c>
      <c r="K2096" s="9"/>
    </row>
    <row r="2097" spans="1:11" x14ac:dyDescent="0.25">
      <c r="A2097">
        <v>2025</v>
      </c>
      <c r="C2097" s="9" t="s">
        <v>2057</v>
      </c>
      <c r="D2097" s="9" t="s">
        <v>2058</v>
      </c>
      <c r="F2097" s="6">
        <v>150</v>
      </c>
      <c r="G2097" s="6">
        <f t="shared" si="107"/>
        <v>150</v>
      </c>
      <c r="H2097" s="6">
        <v>150</v>
      </c>
      <c r="I2097" s="26">
        <f t="shared" si="109"/>
        <v>0</v>
      </c>
      <c r="J2097" s="7" t="str">
        <f t="shared" si="108"/>
        <v>PAGADO</v>
      </c>
    </row>
    <row r="2098" spans="1:11" x14ac:dyDescent="0.25">
      <c r="A2098">
        <v>2025</v>
      </c>
      <c r="C2098" s="9" t="s">
        <v>2059</v>
      </c>
      <c r="D2098" s="9" t="s">
        <v>2058</v>
      </c>
      <c r="F2098" s="6">
        <v>250</v>
      </c>
      <c r="G2098" s="6">
        <f t="shared" si="107"/>
        <v>250</v>
      </c>
      <c r="H2098" s="6">
        <v>250</v>
      </c>
      <c r="I2098" s="26">
        <f t="shared" si="109"/>
        <v>0</v>
      </c>
      <c r="J2098" s="7" t="str">
        <f t="shared" si="108"/>
        <v>PAGADO</v>
      </c>
    </row>
    <row r="2099" spans="1:11" x14ac:dyDescent="0.25">
      <c r="A2099">
        <v>2025</v>
      </c>
      <c r="C2099" s="9" t="s">
        <v>2060</v>
      </c>
      <c r="D2099" s="9" t="s">
        <v>2058</v>
      </c>
      <c r="F2099" s="6">
        <v>200</v>
      </c>
      <c r="G2099" s="6">
        <f t="shared" si="107"/>
        <v>200</v>
      </c>
      <c r="H2099" s="6">
        <v>200</v>
      </c>
      <c r="I2099" s="26">
        <f t="shared" si="109"/>
        <v>0</v>
      </c>
      <c r="J2099" s="7" t="str">
        <f t="shared" si="108"/>
        <v>PAGADO</v>
      </c>
      <c r="K2099" s="9"/>
    </row>
    <row r="2100" spans="1:11" x14ac:dyDescent="0.25">
      <c r="A2100">
        <v>2025</v>
      </c>
      <c r="C2100" s="9" t="s">
        <v>2061</v>
      </c>
      <c r="D2100" s="9" t="s">
        <v>2062</v>
      </c>
      <c r="F2100" s="6">
        <v>75</v>
      </c>
      <c r="G2100" s="6">
        <f t="shared" si="107"/>
        <v>75</v>
      </c>
      <c r="H2100" s="6">
        <v>75</v>
      </c>
      <c r="I2100" s="26">
        <f t="shared" si="109"/>
        <v>0</v>
      </c>
      <c r="J2100" s="7" t="str">
        <f t="shared" si="108"/>
        <v>PAGADO</v>
      </c>
    </row>
    <row r="2101" spans="1:11" x14ac:dyDescent="0.25">
      <c r="A2101">
        <v>2025</v>
      </c>
      <c r="C2101" s="9" t="s">
        <v>2063</v>
      </c>
      <c r="D2101" s="9" t="s">
        <v>2062</v>
      </c>
      <c r="F2101" s="6">
        <v>25</v>
      </c>
      <c r="G2101" s="6">
        <f t="shared" si="107"/>
        <v>25</v>
      </c>
      <c r="H2101" s="6">
        <v>25</v>
      </c>
      <c r="I2101" s="26">
        <f t="shared" si="109"/>
        <v>0</v>
      </c>
      <c r="J2101" s="7" t="str">
        <f t="shared" si="108"/>
        <v>PAGADO</v>
      </c>
    </row>
    <row r="2102" spans="1:11" x14ac:dyDescent="0.25">
      <c r="A2102">
        <v>2025</v>
      </c>
      <c r="C2102" s="9" t="s">
        <v>2064</v>
      </c>
      <c r="D2102" s="9" t="s">
        <v>1237</v>
      </c>
      <c r="F2102" s="6">
        <v>70</v>
      </c>
      <c r="G2102" s="6">
        <f t="shared" si="107"/>
        <v>70</v>
      </c>
      <c r="H2102" s="6">
        <v>70</v>
      </c>
      <c r="I2102" s="26">
        <f t="shared" si="109"/>
        <v>0</v>
      </c>
      <c r="J2102" s="7" t="str">
        <f t="shared" si="108"/>
        <v>PAGADO</v>
      </c>
    </row>
    <row r="2103" spans="1:11" x14ac:dyDescent="0.25">
      <c r="A2103">
        <v>2025</v>
      </c>
      <c r="C2103" s="9" t="s">
        <v>2065</v>
      </c>
      <c r="D2103" s="9" t="s">
        <v>1237</v>
      </c>
      <c r="F2103" s="6">
        <v>30</v>
      </c>
      <c r="G2103" s="6">
        <f t="shared" si="107"/>
        <v>30</v>
      </c>
      <c r="H2103" s="6">
        <v>30</v>
      </c>
      <c r="I2103" s="26">
        <f t="shared" si="109"/>
        <v>0</v>
      </c>
      <c r="J2103" s="7" t="str">
        <f t="shared" si="108"/>
        <v>PAGADO</v>
      </c>
    </row>
    <row r="2104" spans="1:11" x14ac:dyDescent="0.25">
      <c r="A2104">
        <v>2025</v>
      </c>
      <c r="C2104" s="9" t="s">
        <v>1693</v>
      </c>
      <c r="D2104" s="9" t="s">
        <v>2066</v>
      </c>
      <c r="F2104" s="6">
        <v>75</v>
      </c>
      <c r="G2104" s="6">
        <f t="shared" si="107"/>
        <v>75</v>
      </c>
      <c r="H2104" s="6">
        <v>75</v>
      </c>
      <c r="I2104" s="26">
        <f t="shared" si="109"/>
        <v>0</v>
      </c>
      <c r="J2104" s="7" t="str">
        <f t="shared" si="108"/>
        <v>PAGADO</v>
      </c>
    </row>
    <row r="2105" spans="1:11" x14ac:dyDescent="0.25">
      <c r="A2105">
        <v>2025</v>
      </c>
      <c r="C2105" s="9" t="s">
        <v>2067</v>
      </c>
      <c r="D2105" s="9" t="s">
        <v>18</v>
      </c>
      <c r="F2105" s="6">
        <v>130</v>
      </c>
      <c r="G2105" s="6">
        <f t="shared" si="107"/>
        <v>130</v>
      </c>
      <c r="H2105" s="6">
        <v>130</v>
      </c>
      <c r="I2105" s="26">
        <f t="shared" si="109"/>
        <v>0</v>
      </c>
      <c r="J2105" s="7" t="str">
        <f t="shared" si="108"/>
        <v>PAGADO</v>
      </c>
    </row>
    <row r="2106" spans="1:11" x14ac:dyDescent="0.25">
      <c r="A2106">
        <v>2025</v>
      </c>
      <c r="C2106" s="9" t="s">
        <v>2068</v>
      </c>
      <c r="D2106" s="9" t="s">
        <v>18</v>
      </c>
      <c r="F2106" s="6">
        <v>130</v>
      </c>
      <c r="G2106" s="6">
        <f t="shared" si="107"/>
        <v>130</v>
      </c>
      <c r="H2106" s="6">
        <v>130</v>
      </c>
      <c r="I2106" s="26">
        <f t="shared" si="109"/>
        <v>0</v>
      </c>
      <c r="J2106" s="7" t="str">
        <f t="shared" si="108"/>
        <v>PAGADO</v>
      </c>
    </row>
    <row r="2107" spans="1:11" x14ac:dyDescent="0.25">
      <c r="A2107">
        <v>2025</v>
      </c>
      <c r="C2107" s="9" t="s">
        <v>2069</v>
      </c>
      <c r="D2107" s="9" t="s">
        <v>1677</v>
      </c>
      <c r="F2107" s="6">
        <v>37</v>
      </c>
      <c r="G2107" s="6">
        <f t="shared" si="107"/>
        <v>37</v>
      </c>
      <c r="H2107" s="6">
        <v>37</v>
      </c>
      <c r="I2107" s="26">
        <f t="shared" si="109"/>
        <v>0</v>
      </c>
      <c r="J2107" s="7" t="str">
        <f t="shared" si="108"/>
        <v>PAGADO</v>
      </c>
      <c r="K2107" t="s">
        <v>693</v>
      </c>
    </row>
    <row r="2108" spans="1:11" x14ac:dyDescent="0.25">
      <c r="A2108">
        <v>2025</v>
      </c>
      <c r="C2108" s="9" t="s">
        <v>2070</v>
      </c>
      <c r="D2108" s="9" t="s">
        <v>816</v>
      </c>
      <c r="F2108" s="6">
        <v>85</v>
      </c>
      <c r="G2108" s="6">
        <f t="shared" si="107"/>
        <v>85</v>
      </c>
      <c r="H2108" s="6">
        <v>85</v>
      </c>
      <c r="I2108" s="48">
        <f t="shared" si="109"/>
        <v>0</v>
      </c>
      <c r="J2108" s="7" t="str">
        <f t="shared" si="108"/>
        <v>PAGADO</v>
      </c>
    </row>
    <row r="2109" spans="1:11" x14ac:dyDescent="0.25">
      <c r="A2109">
        <v>2025</v>
      </c>
      <c r="C2109" s="9" t="s">
        <v>492</v>
      </c>
      <c r="D2109" s="9" t="s">
        <v>816</v>
      </c>
      <c r="F2109" s="6">
        <v>60</v>
      </c>
      <c r="G2109" s="6">
        <f t="shared" si="107"/>
        <v>60</v>
      </c>
      <c r="H2109" s="6">
        <v>60</v>
      </c>
      <c r="I2109" s="16">
        <f t="shared" si="109"/>
        <v>0</v>
      </c>
      <c r="J2109" s="7" t="str">
        <f t="shared" si="108"/>
        <v>PAGADO</v>
      </c>
    </row>
    <row r="2110" spans="1:11" x14ac:dyDescent="0.25">
      <c r="A2110">
        <v>2025</v>
      </c>
      <c r="C2110" s="9" t="s">
        <v>2071</v>
      </c>
      <c r="D2110" s="9" t="s">
        <v>816</v>
      </c>
      <c r="F2110" s="6">
        <v>240</v>
      </c>
      <c r="G2110" s="6">
        <f t="shared" ref="G2110:G2173" si="110">F2110-E2110</f>
        <v>240</v>
      </c>
      <c r="H2110" s="6">
        <v>240</v>
      </c>
      <c r="I2110" s="16">
        <f t="shared" si="109"/>
        <v>0</v>
      </c>
      <c r="J2110" s="7" t="str">
        <f t="shared" si="108"/>
        <v>PAGADO</v>
      </c>
    </row>
    <row r="2111" spans="1:11" x14ac:dyDescent="0.25">
      <c r="A2111">
        <v>2025</v>
      </c>
      <c r="C2111" s="9" t="s">
        <v>2072</v>
      </c>
      <c r="D2111" s="9" t="s">
        <v>1191</v>
      </c>
      <c r="F2111" s="6">
        <v>120</v>
      </c>
      <c r="G2111" s="6">
        <f t="shared" si="110"/>
        <v>120</v>
      </c>
      <c r="H2111" s="6">
        <v>120</v>
      </c>
      <c r="I2111" s="6">
        <f t="shared" si="109"/>
        <v>0</v>
      </c>
      <c r="J2111" s="7" t="str">
        <f t="shared" si="108"/>
        <v>PAGADO</v>
      </c>
    </row>
    <row r="2112" spans="1:11" x14ac:dyDescent="0.25">
      <c r="A2112">
        <v>2025</v>
      </c>
      <c r="C2112" s="9" t="s">
        <v>2073</v>
      </c>
      <c r="D2112" s="9" t="s">
        <v>1145</v>
      </c>
      <c r="F2112" s="6">
        <v>70</v>
      </c>
      <c r="G2112" s="6">
        <f t="shared" si="110"/>
        <v>70</v>
      </c>
      <c r="H2112" s="6">
        <v>70</v>
      </c>
      <c r="I2112" s="26">
        <f t="shared" si="109"/>
        <v>0</v>
      </c>
      <c r="J2112" s="7" t="str">
        <f t="shared" si="108"/>
        <v>PAGADO</v>
      </c>
    </row>
    <row r="2113" spans="1:11" x14ac:dyDescent="0.25">
      <c r="A2113">
        <v>2025</v>
      </c>
      <c r="C2113" s="9" t="s">
        <v>2013</v>
      </c>
      <c r="D2113" s="9" t="s">
        <v>1425</v>
      </c>
      <c r="F2113" s="6">
        <v>90</v>
      </c>
      <c r="G2113" s="6">
        <f t="shared" si="110"/>
        <v>90</v>
      </c>
      <c r="H2113" s="6">
        <f>45+45</f>
        <v>90</v>
      </c>
      <c r="I2113" s="26">
        <f t="shared" si="109"/>
        <v>0</v>
      </c>
      <c r="J2113" s="7" t="str">
        <f t="shared" si="108"/>
        <v>PAGADO</v>
      </c>
      <c r="K2113" s="9"/>
    </row>
    <row r="2114" spans="1:11" x14ac:dyDescent="0.25">
      <c r="A2114">
        <v>2025</v>
      </c>
      <c r="C2114" s="9" t="s">
        <v>2074</v>
      </c>
      <c r="D2114" s="9" t="s">
        <v>1309</v>
      </c>
      <c r="F2114" s="6">
        <v>80</v>
      </c>
      <c r="G2114" s="6">
        <f t="shared" si="110"/>
        <v>80</v>
      </c>
      <c r="H2114" s="6">
        <v>80</v>
      </c>
      <c r="I2114" s="26">
        <f t="shared" si="109"/>
        <v>0</v>
      </c>
      <c r="J2114" s="7" t="str">
        <f t="shared" si="108"/>
        <v>PAGADO</v>
      </c>
      <c r="K2114" s="9"/>
    </row>
    <row r="2115" spans="1:11" x14ac:dyDescent="0.25">
      <c r="A2115">
        <v>2025</v>
      </c>
      <c r="C2115" s="9" t="s">
        <v>2075</v>
      </c>
      <c r="D2115" s="9" t="s">
        <v>816</v>
      </c>
      <c r="F2115" s="6">
        <v>185</v>
      </c>
      <c r="G2115" s="6">
        <f t="shared" si="110"/>
        <v>185</v>
      </c>
      <c r="H2115" s="6">
        <v>185</v>
      </c>
      <c r="I2115" s="48">
        <f t="shared" si="109"/>
        <v>0</v>
      </c>
      <c r="J2115" s="7" t="str">
        <f t="shared" si="108"/>
        <v>PAGADO</v>
      </c>
      <c r="K2115" s="9"/>
    </row>
    <row r="2116" spans="1:11" x14ac:dyDescent="0.25">
      <c r="A2116">
        <v>2025</v>
      </c>
      <c r="C2116" s="9" t="s">
        <v>2076</v>
      </c>
      <c r="D2116" s="9" t="s">
        <v>816</v>
      </c>
      <c r="F2116" s="6">
        <v>30</v>
      </c>
      <c r="G2116" s="6">
        <f t="shared" si="110"/>
        <v>30</v>
      </c>
      <c r="H2116" s="6">
        <v>30</v>
      </c>
      <c r="I2116" s="48">
        <f t="shared" si="109"/>
        <v>0</v>
      </c>
      <c r="J2116" s="7" t="str">
        <f t="shared" si="108"/>
        <v>PAGADO</v>
      </c>
      <c r="K2116" s="9"/>
    </row>
    <row r="2117" spans="1:11" x14ac:dyDescent="0.25">
      <c r="A2117">
        <v>2025</v>
      </c>
      <c r="C2117" s="9" t="s">
        <v>2077</v>
      </c>
      <c r="D2117" s="9" t="s">
        <v>1309</v>
      </c>
      <c r="F2117" s="6">
        <v>90</v>
      </c>
      <c r="G2117" s="6">
        <f t="shared" si="110"/>
        <v>90</v>
      </c>
      <c r="H2117" s="16">
        <v>90</v>
      </c>
      <c r="I2117" s="26">
        <f t="shared" si="109"/>
        <v>0</v>
      </c>
      <c r="J2117" s="7" t="str">
        <f t="shared" si="108"/>
        <v>PAGADO</v>
      </c>
      <c r="K2117" s="9"/>
    </row>
    <row r="2118" spans="1:11" x14ac:dyDescent="0.25">
      <c r="A2118">
        <v>2025</v>
      </c>
      <c r="C2118" s="9" t="s">
        <v>2078</v>
      </c>
      <c r="D2118" s="9" t="s">
        <v>1425</v>
      </c>
      <c r="F2118" s="6">
        <v>10</v>
      </c>
      <c r="G2118" s="6">
        <f t="shared" si="110"/>
        <v>10</v>
      </c>
      <c r="H2118" s="6">
        <v>10</v>
      </c>
      <c r="I2118" s="16">
        <f t="shared" si="109"/>
        <v>0</v>
      </c>
      <c r="J2118" s="7" t="str">
        <f t="shared" si="108"/>
        <v>PAGADO</v>
      </c>
    </row>
    <row r="2119" spans="1:11" x14ac:dyDescent="0.25">
      <c r="A2119">
        <v>2025</v>
      </c>
      <c r="C2119" s="9" t="s">
        <v>2079</v>
      </c>
      <c r="D2119" s="9" t="s">
        <v>1425</v>
      </c>
      <c r="F2119" s="6">
        <v>15</v>
      </c>
      <c r="G2119" s="6">
        <f t="shared" si="110"/>
        <v>15</v>
      </c>
      <c r="H2119" s="6">
        <v>15</v>
      </c>
      <c r="I2119" s="16">
        <f t="shared" si="109"/>
        <v>0</v>
      </c>
      <c r="J2119" s="7" t="str">
        <f t="shared" si="108"/>
        <v>PAGADO</v>
      </c>
    </row>
    <row r="2120" spans="1:11" x14ac:dyDescent="0.25">
      <c r="A2120">
        <v>2025</v>
      </c>
      <c r="C2120" s="9" t="s">
        <v>2080</v>
      </c>
      <c r="D2120" s="9" t="s">
        <v>1849</v>
      </c>
      <c r="F2120" s="6">
        <v>70</v>
      </c>
      <c r="G2120" s="6">
        <f t="shared" si="110"/>
        <v>70</v>
      </c>
      <c r="H2120" s="6">
        <v>70</v>
      </c>
      <c r="I2120" s="26">
        <f t="shared" si="109"/>
        <v>0</v>
      </c>
      <c r="J2120" s="7" t="str">
        <f t="shared" si="108"/>
        <v>PAGADO</v>
      </c>
    </row>
    <row r="2121" spans="1:11" x14ac:dyDescent="0.25">
      <c r="A2121">
        <v>2025</v>
      </c>
      <c r="C2121" s="9" t="s">
        <v>2081</v>
      </c>
      <c r="D2121" s="9" t="s">
        <v>31</v>
      </c>
      <c r="F2121" s="6">
        <v>50</v>
      </c>
      <c r="G2121" s="6">
        <f t="shared" si="110"/>
        <v>50</v>
      </c>
      <c r="H2121" s="6">
        <v>50</v>
      </c>
      <c r="I2121" s="6">
        <f t="shared" si="109"/>
        <v>0</v>
      </c>
      <c r="J2121" s="7" t="str">
        <f t="shared" si="108"/>
        <v>PAGADO</v>
      </c>
    </row>
    <row r="2122" spans="1:11" x14ac:dyDescent="0.25">
      <c r="A2122">
        <v>2025</v>
      </c>
      <c r="C2122" s="9" t="s">
        <v>2082</v>
      </c>
      <c r="D2122" s="9" t="s">
        <v>31</v>
      </c>
      <c r="F2122" s="6">
        <v>30</v>
      </c>
      <c r="G2122" s="6">
        <f t="shared" si="110"/>
        <v>30</v>
      </c>
      <c r="H2122" s="6">
        <v>30</v>
      </c>
      <c r="I2122" s="6">
        <f t="shared" si="109"/>
        <v>0</v>
      </c>
      <c r="J2122" s="7" t="str">
        <f t="shared" si="108"/>
        <v>PAGADO</v>
      </c>
    </row>
    <row r="2123" spans="1:11" x14ac:dyDescent="0.25">
      <c r="A2123">
        <v>2025</v>
      </c>
      <c r="C2123" s="9" t="s">
        <v>2083</v>
      </c>
      <c r="D2123" s="9" t="s">
        <v>1425</v>
      </c>
      <c r="F2123" s="6">
        <v>15</v>
      </c>
      <c r="G2123" s="6">
        <f t="shared" si="110"/>
        <v>15</v>
      </c>
      <c r="H2123" s="6">
        <v>15</v>
      </c>
      <c r="I2123" s="16">
        <f t="shared" si="109"/>
        <v>0</v>
      </c>
      <c r="J2123" s="7" t="str">
        <f t="shared" si="108"/>
        <v>PAGADO</v>
      </c>
    </row>
    <row r="2124" spans="1:11" x14ac:dyDescent="0.25">
      <c r="A2124">
        <v>2025</v>
      </c>
      <c r="C2124" s="9" t="s">
        <v>2084</v>
      </c>
      <c r="D2124" s="9" t="s">
        <v>1425</v>
      </c>
      <c r="F2124" s="6">
        <v>20</v>
      </c>
      <c r="G2124" s="6">
        <f t="shared" si="110"/>
        <v>20</v>
      </c>
      <c r="H2124" s="6">
        <v>20</v>
      </c>
      <c r="I2124" s="16">
        <f t="shared" si="109"/>
        <v>0</v>
      </c>
      <c r="J2124" s="7" t="str">
        <f t="shared" si="108"/>
        <v>PAGADO</v>
      </c>
    </row>
    <row r="2125" spans="1:11" x14ac:dyDescent="0.25">
      <c r="A2125">
        <v>2025</v>
      </c>
      <c r="C2125" s="9" t="s">
        <v>2085</v>
      </c>
      <c r="D2125" s="9" t="s">
        <v>1425</v>
      </c>
      <c r="F2125" s="6">
        <v>15</v>
      </c>
      <c r="G2125" s="6">
        <f t="shared" si="110"/>
        <v>15</v>
      </c>
      <c r="H2125" s="6">
        <v>15</v>
      </c>
      <c r="I2125" s="16">
        <f t="shared" si="109"/>
        <v>0</v>
      </c>
      <c r="J2125" s="7" t="str">
        <f t="shared" ref="J2125:J2188" si="111">IF(I2125&gt;0,"DEBE","PAGADO")</f>
        <v>PAGADO</v>
      </c>
    </row>
    <row r="2126" spans="1:11" x14ac:dyDescent="0.25">
      <c r="A2126">
        <v>2025</v>
      </c>
      <c r="C2126" s="9" t="s">
        <v>2086</v>
      </c>
      <c r="D2126" s="9" t="s">
        <v>1425</v>
      </c>
      <c r="F2126" s="6">
        <v>15</v>
      </c>
      <c r="G2126" s="6">
        <f t="shared" si="110"/>
        <v>15</v>
      </c>
      <c r="H2126" s="6">
        <v>15</v>
      </c>
      <c r="I2126" s="16">
        <f t="shared" si="109"/>
        <v>0</v>
      </c>
      <c r="J2126" s="7" t="str">
        <f t="shared" si="111"/>
        <v>PAGADO</v>
      </c>
    </row>
    <row r="2127" spans="1:11" x14ac:dyDescent="0.25">
      <c r="A2127">
        <v>2025</v>
      </c>
      <c r="C2127" s="9" t="s">
        <v>2087</v>
      </c>
      <c r="D2127" s="9" t="s">
        <v>1425</v>
      </c>
      <c r="F2127" s="6">
        <v>15</v>
      </c>
      <c r="G2127" s="6">
        <f t="shared" si="110"/>
        <v>15</v>
      </c>
      <c r="H2127" s="6">
        <v>15</v>
      </c>
      <c r="I2127" s="16">
        <f t="shared" si="109"/>
        <v>0</v>
      </c>
      <c r="J2127" s="7" t="str">
        <f t="shared" si="111"/>
        <v>PAGADO</v>
      </c>
    </row>
    <row r="2128" spans="1:11" x14ac:dyDescent="0.25">
      <c r="A2128">
        <v>2025</v>
      </c>
      <c r="C2128" s="9" t="s">
        <v>2088</v>
      </c>
      <c r="D2128" s="9" t="s">
        <v>1425</v>
      </c>
      <c r="F2128" s="6">
        <v>20</v>
      </c>
      <c r="G2128" s="6">
        <f t="shared" si="110"/>
        <v>20</v>
      </c>
      <c r="H2128" s="6">
        <v>20</v>
      </c>
      <c r="I2128" s="16">
        <f t="shared" si="109"/>
        <v>0</v>
      </c>
      <c r="J2128" s="7" t="str">
        <f t="shared" si="111"/>
        <v>PAGADO</v>
      </c>
    </row>
    <row r="2129" spans="1:11" x14ac:dyDescent="0.25">
      <c r="A2129">
        <v>2025</v>
      </c>
      <c r="C2129" s="9" t="s">
        <v>2089</v>
      </c>
      <c r="D2129" s="9" t="s">
        <v>1425</v>
      </c>
      <c r="F2129" s="6">
        <v>18</v>
      </c>
      <c r="G2129" s="6">
        <f t="shared" si="110"/>
        <v>18</v>
      </c>
      <c r="H2129" s="6">
        <v>18</v>
      </c>
      <c r="I2129" s="16">
        <f t="shared" si="109"/>
        <v>0</v>
      </c>
      <c r="J2129" s="7" t="str">
        <f t="shared" si="111"/>
        <v>PAGADO</v>
      </c>
    </row>
    <row r="2130" spans="1:11" x14ac:dyDescent="0.25">
      <c r="A2130">
        <v>2025</v>
      </c>
      <c r="C2130" s="9" t="s">
        <v>2090</v>
      </c>
      <c r="D2130" s="9" t="s">
        <v>1425</v>
      </c>
      <c r="F2130" s="6">
        <v>16</v>
      </c>
      <c r="G2130" s="6">
        <f t="shared" si="110"/>
        <v>16</v>
      </c>
      <c r="H2130" s="6">
        <v>16</v>
      </c>
      <c r="I2130" s="16">
        <f t="shared" si="109"/>
        <v>0</v>
      </c>
      <c r="J2130" s="7" t="str">
        <f t="shared" si="111"/>
        <v>PAGADO</v>
      </c>
    </row>
    <row r="2131" spans="1:11" x14ac:dyDescent="0.25">
      <c r="A2131">
        <v>2025</v>
      </c>
      <c r="C2131" s="9" t="s">
        <v>2091</v>
      </c>
      <c r="D2131" s="9" t="s">
        <v>1425</v>
      </c>
      <c r="F2131" s="6">
        <v>36</v>
      </c>
      <c r="G2131" s="6">
        <f t="shared" si="110"/>
        <v>36</v>
      </c>
      <c r="H2131" s="6">
        <v>36</v>
      </c>
      <c r="I2131" s="16">
        <f t="shared" si="109"/>
        <v>0</v>
      </c>
      <c r="J2131" s="7" t="str">
        <f t="shared" si="111"/>
        <v>PAGADO</v>
      </c>
    </row>
    <row r="2132" spans="1:11" x14ac:dyDescent="0.25">
      <c r="A2132">
        <v>2025</v>
      </c>
      <c r="C2132" s="9" t="s">
        <v>2092</v>
      </c>
      <c r="D2132" s="9" t="s">
        <v>2045</v>
      </c>
      <c r="F2132" s="6">
        <v>15</v>
      </c>
      <c r="G2132" s="6">
        <f t="shared" si="110"/>
        <v>15</v>
      </c>
      <c r="H2132" s="6">
        <v>15</v>
      </c>
      <c r="I2132" s="6">
        <f t="shared" si="109"/>
        <v>0</v>
      </c>
      <c r="J2132" s="7" t="str">
        <f t="shared" si="111"/>
        <v>PAGADO</v>
      </c>
    </row>
    <row r="2133" spans="1:11" x14ac:dyDescent="0.25">
      <c r="A2133">
        <v>2025</v>
      </c>
      <c r="C2133" s="9" t="s">
        <v>2093</v>
      </c>
      <c r="D2133" s="9" t="s">
        <v>2045</v>
      </c>
      <c r="F2133" s="6">
        <v>75</v>
      </c>
      <c r="G2133" s="6">
        <f t="shared" si="110"/>
        <v>75</v>
      </c>
      <c r="H2133" s="6">
        <v>75</v>
      </c>
      <c r="I2133" s="6">
        <f t="shared" si="109"/>
        <v>0</v>
      </c>
      <c r="J2133" s="7" t="str">
        <f t="shared" si="111"/>
        <v>PAGADO</v>
      </c>
    </row>
    <row r="2134" spans="1:11" x14ac:dyDescent="0.25">
      <c r="A2134">
        <v>2025</v>
      </c>
      <c r="C2134" s="9" t="s">
        <v>2094</v>
      </c>
      <c r="D2134" s="9" t="s">
        <v>2045</v>
      </c>
      <c r="F2134" s="6">
        <v>15</v>
      </c>
      <c r="G2134" s="6">
        <f t="shared" si="110"/>
        <v>15</v>
      </c>
      <c r="H2134" s="6">
        <f>10+5</f>
        <v>15</v>
      </c>
      <c r="I2134" s="6">
        <f t="shared" si="109"/>
        <v>0</v>
      </c>
      <c r="J2134" s="7" t="str">
        <f t="shared" si="111"/>
        <v>PAGADO</v>
      </c>
    </row>
    <row r="2135" spans="1:11" x14ac:dyDescent="0.25">
      <c r="A2135">
        <v>2025</v>
      </c>
      <c r="C2135" s="9" t="s">
        <v>2095</v>
      </c>
      <c r="D2135" s="9" t="s">
        <v>1425</v>
      </c>
      <c r="F2135" s="6">
        <v>55</v>
      </c>
      <c r="G2135" s="6">
        <f t="shared" si="110"/>
        <v>55</v>
      </c>
      <c r="H2135" s="6">
        <v>55</v>
      </c>
      <c r="I2135" s="16">
        <f t="shared" si="109"/>
        <v>0</v>
      </c>
      <c r="J2135" s="7" t="str">
        <f t="shared" si="111"/>
        <v>PAGADO</v>
      </c>
      <c r="K2135" s="9"/>
    </row>
    <row r="2136" spans="1:11" x14ac:dyDescent="0.25">
      <c r="A2136">
        <v>2025</v>
      </c>
      <c r="C2136" t="s">
        <v>2096</v>
      </c>
      <c r="D2136" s="9" t="s">
        <v>2066</v>
      </c>
      <c r="F2136" s="6">
        <v>95</v>
      </c>
      <c r="G2136" s="6">
        <f t="shared" si="110"/>
        <v>95</v>
      </c>
      <c r="H2136" s="6">
        <v>95</v>
      </c>
      <c r="I2136" s="26">
        <f t="shared" si="109"/>
        <v>0</v>
      </c>
      <c r="J2136" s="7" t="str">
        <f t="shared" si="111"/>
        <v>PAGADO</v>
      </c>
    </row>
    <row r="2137" spans="1:11" x14ac:dyDescent="0.25">
      <c r="A2137">
        <v>2025</v>
      </c>
      <c r="C2137" t="s">
        <v>2097</v>
      </c>
      <c r="D2137" s="9" t="s">
        <v>2066</v>
      </c>
      <c r="F2137" s="6">
        <v>95</v>
      </c>
      <c r="G2137" s="6">
        <f t="shared" si="110"/>
        <v>95</v>
      </c>
      <c r="H2137" s="6">
        <v>95</v>
      </c>
      <c r="I2137" s="26">
        <f t="shared" si="109"/>
        <v>0</v>
      </c>
      <c r="J2137" s="7" t="str">
        <f t="shared" si="111"/>
        <v>PAGADO</v>
      </c>
    </row>
    <row r="2138" spans="1:11" x14ac:dyDescent="0.25">
      <c r="A2138">
        <v>2025</v>
      </c>
      <c r="C2138" t="s">
        <v>2098</v>
      </c>
      <c r="D2138" s="9" t="s">
        <v>1727</v>
      </c>
      <c r="F2138" s="6">
        <v>40</v>
      </c>
      <c r="G2138" s="6">
        <f t="shared" si="110"/>
        <v>40</v>
      </c>
      <c r="H2138" s="6">
        <v>40</v>
      </c>
      <c r="I2138" s="26">
        <f t="shared" si="109"/>
        <v>0</v>
      </c>
      <c r="J2138" s="7" t="str">
        <f t="shared" si="111"/>
        <v>PAGADO</v>
      </c>
    </row>
    <row r="2139" spans="1:11" x14ac:dyDescent="0.25">
      <c r="A2139">
        <v>2025</v>
      </c>
      <c r="C2139" s="9" t="s">
        <v>2099</v>
      </c>
      <c r="D2139" s="9" t="s">
        <v>488</v>
      </c>
      <c r="F2139" s="6">
        <v>45</v>
      </c>
      <c r="G2139" s="6">
        <f t="shared" si="110"/>
        <v>45</v>
      </c>
      <c r="H2139" s="6">
        <v>45</v>
      </c>
      <c r="I2139" s="26">
        <f t="shared" si="109"/>
        <v>0</v>
      </c>
      <c r="J2139" s="7" t="str">
        <f t="shared" si="111"/>
        <v>PAGADO</v>
      </c>
    </row>
    <row r="2140" spans="1:11" x14ac:dyDescent="0.25">
      <c r="A2140">
        <v>2025</v>
      </c>
      <c r="C2140" s="9" t="s">
        <v>2100</v>
      </c>
      <c r="D2140" s="9" t="s">
        <v>816</v>
      </c>
      <c r="F2140" s="6">
        <v>25</v>
      </c>
      <c r="G2140" s="6">
        <f t="shared" si="110"/>
        <v>25</v>
      </c>
      <c r="H2140" s="6">
        <v>25</v>
      </c>
      <c r="I2140" s="48">
        <f t="shared" si="109"/>
        <v>0</v>
      </c>
      <c r="J2140" s="7" t="str">
        <f t="shared" si="111"/>
        <v>PAGADO</v>
      </c>
    </row>
    <row r="2141" spans="1:11" x14ac:dyDescent="0.25">
      <c r="A2141">
        <v>2025</v>
      </c>
      <c r="C2141" s="9" t="s">
        <v>2101</v>
      </c>
      <c r="D2141" s="9" t="s">
        <v>1388</v>
      </c>
      <c r="F2141" s="6">
        <v>160</v>
      </c>
      <c r="G2141" s="6">
        <f t="shared" si="110"/>
        <v>160</v>
      </c>
      <c r="H2141" s="58">
        <f>80+80</f>
        <v>160</v>
      </c>
      <c r="I2141" s="26">
        <f t="shared" si="109"/>
        <v>0</v>
      </c>
      <c r="J2141" s="7" t="str">
        <f t="shared" si="111"/>
        <v>PAGADO</v>
      </c>
      <c r="K2141" s="9"/>
    </row>
    <row r="2142" spans="1:11" x14ac:dyDescent="0.25">
      <c r="A2142">
        <v>2025</v>
      </c>
      <c r="C2142" s="9" t="s">
        <v>2102</v>
      </c>
      <c r="D2142" s="9" t="s">
        <v>2103</v>
      </c>
      <c r="F2142" s="6">
        <v>40</v>
      </c>
      <c r="G2142" s="6">
        <f t="shared" si="110"/>
        <v>40</v>
      </c>
      <c r="H2142" s="6">
        <v>40</v>
      </c>
      <c r="I2142" s="26">
        <f t="shared" si="109"/>
        <v>0</v>
      </c>
      <c r="J2142" s="7" t="str">
        <f t="shared" si="111"/>
        <v>PAGADO</v>
      </c>
    </row>
    <row r="2143" spans="1:11" x14ac:dyDescent="0.25">
      <c r="A2143">
        <v>2025</v>
      </c>
      <c r="C2143" s="9" t="s">
        <v>2104</v>
      </c>
      <c r="D2143" s="9" t="s">
        <v>2105</v>
      </c>
      <c r="F2143" s="6">
        <v>75</v>
      </c>
      <c r="G2143" s="6">
        <f t="shared" si="110"/>
        <v>75</v>
      </c>
      <c r="H2143" s="6">
        <v>75</v>
      </c>
      <c r="I2143" s="26">
        <f t="shared" si="109"/>
        <v>0</v>
      </c>
      <c r="J2143" s="7" t="str">
        <f t="shared" si="111"/>
        <v>PAGADO</v>
      </c>
    </row>
    <row r="2144" spans="1:11" x14ac:dyDescent="0.25">
      <c r="A2144">
        <v>2025</v>
      </c>
      <c r="C2144" s="9" t="s">
        <v>2106</v>
      </c>
      <c r="D2144" s="9" t="s">
        <v>1849</v>
      </c>
      <c r="F2144" s="6">
        <v>60</v>
      </c>
      <c r="G2144" s="6">
        <f t="shared" si="110"/>
        <v>60</v>
      </c>
      <c r="H2144" s="6">
        <v>60</v>
      </c>
      <c r="I2144" s="26">
        <f t="shared" si="109"/>
        <v>0</v>
      </c>
      <c r="J2144" s="7" t="str">
        <f t="shared" si="111"/>
        <v>PAGADO</v>
      </c>
    </row>
    <row r="2145" spans="1:11" x14ac:dyDescent="0.25">
      <c r="A2145">
        <v>2025</v>
      </c>
      <c r="C2145" s="9" t="s">
        <v>2107</v>
      </c>
      <c r="D2145" s="9" t="s">
        <v>1849</v>
      </c>
      <c r="F2145" s="6">
        <v>250</v>
      </c>
      <c r="G2145" s="6">
        <f t="shared" si="110"/>
        <v>250</v>
      </c>
      <c r="H2145" s="6">
        <v>250</v>
      </c>
      <c r="I2145" s="26">
        <f t="shared" si="109"/>
        <v>0</v>
      </c>
      <c r="J2145" s="7" t="str">
        <f t="shared" si="111"/>
        <v>PAGADO</v>
      </c>
    </row>
    <row r="2146" spans="1:11" x14ac:dyDescent="0.25">
      <c r="A2146">
        <v>2025</v>
      </c>
      <c r="C2146" s="9" t="s">
        <v>2108</v>
      </c>
      <c r="D2146" s="9" t="s">
        <v>2109</v>
      </c>
      <c r="F2146" s="6">
        <v>75</v>
      </c>
      <c r="G2146" s="6">
        <f t="shared" si="110"/>
        <v>75</v>
      </c>
      <c r="H2146" s="6">
        <v>75</v>
      </c>
      <c r="I2146" s="26">
        <f t="shared" si="109"/>
        <v>0</v>
      </c>
      <c r="J2146" s="7" t="str">
        <f t="shared" si="111"/>
        <v>PAGADO</v>
      </c>
    </row>
    <row r="2147" spans="1:11" x14ac:dyDescent="0.25">
      <c r="A2147">
        <v>2025</v>
      </c>
      <c r="C2147" s="9" t="s">
        <v>2110</v>
      </c>
      <c r="D2147" s="9" t="s">
        <v>1451</v>
      </c>
      <c r="F2147" s="6">
        <v>75</v>
      </c>
      <c r="G2147" s="6">
        <f t="shared" si="110"/>
        <v>75</v>
      </c>
      <c r="H2147" s="6">
        <v>75</v>
      </c>
      <c r="I2147" s="6">
        <f t="shared" ref="I2147:I2151" si="112">F2147-H2147</f>
        <v>0</v>
      </c>
      <c r="J2147" s="7" t="str">
        <f t="shared" si="111"/>
        <v>PAGADO</v>
      </c>
    </row>
    <row r="2148" spans="1:11" x14ac:dyDescent="0.25">
      <c r="A2148">
        <v>2025</v>
      </c>
      <c r="C2148" s="9" t="s">
        <v>2111</v>
      </c>
      <c r="D2148" s="9" t="s">
        <v>1451</v>
      </c>
      <c r="F2148" s="6">
        <v>60</v>
      </c>
      <c r="G2148" s="6">
        <f t="shared" si="110"/>
        <v>60</v>
      </c>
      <c r="H2148" s="6">
        <v>60</v>
      </c>
      <c r="I2148" s="6">
        <f t="shared" si="112"/>
        <v>0</v>
      </c>
      <c r="J2148" s="7" t="str">
        <f t="shared" si="111"/>
        <v>PAGADO</v>
      </c>
    </row>
    <row r="2149" spans="1:11" x14ac:dyDescent="0.25">
      <c r="A2149">
        <v>2025</v>
      </c>
      <c r="C2149" s="9" t="s">
        <v>2112</v>
      </c>
      <c r="D2149" s="9" t="s">
        <v>39</v>
      </c>
      <c r="F2149" s="6">
        <v>80</v>
      </c>
      <c r="G2149" s="6">
        <f t="shared" si="110"/>
        <v>80</v>
      </c>
      <c r="H2149" s="6">
        <v>80</v>
      </c>
      <c r="I2149" s="26">
        <f t="shared" si="112"/>
        <v>0</v>
      </c>
      <c r="J2149" s="7" t="str">
        <f t="shared" si="111"/>
        <v>PAGADO</v>
      </c>
    </row>
    <row r="2150" spans="1:11" x14ac:dyDescent="0.25">
      <c r="A2150">
        <v>2025</v>
      </c>
      <c r="C2150" s="9" t="s">
        <v>2113</v>
      </c>
      <c r="D2150" s="9" t="s">
        <v>2114</v>
      </c>
      <c r="F2150" s="6">
        <v>100</v>
      </c>
      <c r="G2150" s="6">
        <f t="shared" si="110"/>
        <v>100</v>
      </c>
      <c r="H2150" s="6">
        <v>100</v>
      </c>
      <c r="I2150" s="26">
        <f t="shared" si="112"/>
        <v>0</v>
      </c>
      <c r="J2150" s="7" t="str">
        <f t="shared" si="111"/>
        <v>PAGADO</v>
      </c>
    </row>
    <row r="2151" spans="1:11" x14ac:dyDescent="0.25">
      <c r="A2151">
        <v>2025</v>
      </c>
      <c r="C2151" s="9" t="s">
        <v>2115</v>
      </c>
      <c r="D2151" s="9" t="s">
        <v>1679</v>
      </c>
      <c r="F2151" s="6">
        <v>190</v>
      </c>
      <c r="G2151" s="6">
        <f t="shared" si="110"/>
        <v>190</v>
      </c>
      <c r="H2151" s="6">
        <v>190</v>
      </c>
      <c r="I2151" s="26">
        <f t="shared" si="112"/>
        <v>0</v>
      </c>
      <c r="J2151" s="7" t="str">
        <f t="shared" si="111"/>
        <v>PAGADO</v>
      </c>
    </row>
    <row r="2152" spans="1:11" x14ac:dyDescent="0.25">
      <c r="A2152">
        <v>2025</v>
      </c>
      <c r="C2152" t="s">
        <v>2116</v>
      </c>
      <c r="D2152" s="9" t="s">
        <v>74</v>
      </c>
      <c r="F2152" s="30">
        <v>-250</v>
      </c>
      <c r="G2152" s="30">
        <f t="shared" si="110"/>
        <v>-250</v>
      </c>
      <c r="H2152" s="30">
        <v>-250</v>
      </c>
      <c r="I2152" s="30">
        <v>-250</v>
      </c>
      <c r="J2152" s="7" t="str">
        <f t="shared" si="111"/>
        <v>PAGADO</v>
      </c>
      <c r="K2152" s="28" t="s">
        <v>2117</v>
      </c>
    </row>
    <row r="2153" spans="1:11" x14ac:dyDescent="0.25">
      <c r="A2153">
        <v>2025</v>
      </c>
      <c r="C2153" t="s">
        <v>2118</v>
      </c>
      <c r="D2153" s="9" t="s">
        <v>1486</v>
      </c>
      <c r="F2153" s="6">
        <v>80</v>
      </c>
      <c r="G2153" s="6">
        <f t="shared" si="110"/>
        <v>80</v>
      </c>
      <c r="H2153" s="6">
        <v>80</v>
      </c>
      <c r="I2153" s="26">
        <f t="shared" ref="I2153:I2216" si="113">F2153-H2153</f>
        <v>0</v>
      </c>
      <c r="J2153" s="7" t="str">
        <f t="shared" si="111"/>
        <v>PAGADO</v>
      </c>
    </row>
    <row r="2154" spans="1:11" x14ac:dyDescent="0.25">
      <c r="A2154">
        <v>2025</v>
      </c>
      <c r="C2154" s="9" t="s">
        <v>2119</v>
      </c>
      <c r="D2154" s="9" t="s">
        <v>1659</v>
      </c>
      <c r="F2154" s="6">
        <v>23</v>
      </c>
      <c r="G2154" s="6">
        <f t="shared" si="110"/>
        <v>23</v>
      </c>
      <c r="H2154" s="6">
        <v>23</v>
      </c>
      <c r="I2154" s="26">
        <f t="shared" si="113"/>
        <v>0</v>
      </c>
      <c r="J2154" s="7" t="str">
        <f t="shared" si="111"/>
        <v>PAGADO</v>
      </c>
    </row>
    <row r="2155" spans="1:11" x14ac:dyDescent="0.25">
      <c r="A2155">
        <v>2025</v>
      </c>
      <c r="C2155" t="s">
        <v>2120</v>
      </c>
      <c r="D2155" s="9" t="s">
        <v>2066</v>
      </c>
      <c r="F2155" s="6">
        <v>75</v>
      </c>
      <c r="G2155" s="6">
        <f t="shared" si="110"/>
        <v>75</v>
      </c>
      <c r="H2155" s="6">
        <f>40+35</f>
        <v>75</v>
      </c>
      <c r="I2155" s="26">
        <f t="shared" si="113"/>
        <v>0</v>
      </c>
      <c r="J2155" s="7" t="str">
        <f t="shared" si="111"/>
        <v>PAGADO</v>
      </c>
    </row>
    <row r="2156" spans="1:11" x14ac:dyDescent="0.25">
      <c r="A2156">
        <v>2025</v>
      </c>
      <c r="C2156" s="9" t="s">
        <v>2121</v>
      </c>
      <c r="D2156" s="9" t="s">
        <v>816</v>
      </c>
      <c r="F2156" s="6">
        <v>180</v>
      </c>
      <c r="G2156" s="6">
        <f t="shared" si="110"/>
        <v>180</v>
      </c>
      <c r="H2156" s="6">
        <v>180</v>
      </c>
      <c r="I2156" s="48">
        <f t="shared" si="113"/>
        <v>0</v>
      </c>
      <c r="J2156" s="7" t="str">
        <f t="shared" si="111"/>
        <v>PAGADO</v>
      </c>
    </row>
    <row r="2157" spans="1:11" x14ac:dyDescent="0.25">
      <c r="A2157">
        <v>2025</v>
      </c>
      <c r="C2157" s="9" t="s">
        <v>2122</v>
      </c>
      <c r="D2157" s="9" t="s">
        <v>816</v>
      </c>
      <c r="F2157" s="6">
        <v>170</v>
      </c>
      <c r="G2157" s="6">
        <f t="shared" si="110"/>
        <v>170</v>
      </c>
      <c r="H2157" s="6">
        <v>170</v>
      </c>
      <c r="I2157" s="48">
        <f t="shared" si="113"/>
        <v>0</v>
      </c>
      <c r="J2157" s="7" t="str">
        <f t="shared" si="111"/>
        <v>PAGADO</v>
      </c>
    </row>
    <row r="2158" spans="1:11" x14ac:dyDescent="0.25">
      <c r="A2158">
        <v>2025</v>
      </c>
      <c r="C2158" s="9" t="s">
        <v>2123</v>
      </c>
      <c r="D2158" s="9" t="s">
        <v>816</v>
      </c>
      <c r="F2158" s="6">
        <v>170</v>
      </c>
      <c r="G2158" s="6">
        <f t="shared" si="110"/>
        <v>170</v>
      </c>
      <c r="H2158" s="6">
        <f>70+100</f>
        <v>170</v>
      </c>
      <c r="I2158" s="57">
        <f t="shared" si="113"/>
        <v>0</v>
      </c>
      <c r="J2158" s="7" t="str">
        <f t="shared" si="111"/>
        <v>PAGADO</v>
      </c>
    </row>
    <row r="2159" spans="1:11" x14ac:dyDescent="0.25">
      <c r="A2159">
        <v>2025</v>
      </c>
      <c r="C2159" s="9" t="s">
        <v>2124</v>
      </c>
      <c r="D2159" s="9" t="s">
        <v>816</v>
      </c>
      <c r="F2159" s="6">
        <v>180</v>
      </c>
      <c r="G2159" s="6">
        <f t="shared" si="110"/>
        <v>180</v>
      </c>
      <c r="H2159" s="6">
        <v>180</v>
      </c>
      <c r="I2159" s="26">
        <f t="shared" si="113"/>
        <v>0</v>
      </c>
      <c r="J2159" s="7" t="str">
        <f t="shared" si="111"/>
        <v>PAGADO</v>
      </c>
    </row>
    <row r="2160" spans="1:11" x14ac:dyDescent="0.25">
      <c r="A2160">
        <v>2025</v>
      </c>
      <c r="C2160" s="9" t="s">
        <v>2125</v>
      </c>
      <c r="D2160" s="9" t="s">
        <v>816</v>
      </c>
      <c r="F2160" s="6">
        <v>170</v>
      </c>
      <c r="G2160" s="6">
        <f t="shared" si="110"/>
        <v>170</v>
      </c>
      <c r="H2160" s="6">
        <v>170</v>
      </c>
      <c r="I2160" s="26">
        <f t="shared" si="113"/>
        <v>0</v>
      </c>
      <c r="J2160" s="7" t="str">
        <f t="shared" si="111"/>
        <v>PAGADO</v>
      </c>
    </row>
    <row r="2161" spans="1:11" x14ac:dyDescent="0.25">
      <c r="A2161">
        <v>2025</v>
      </c>
      <c r="C2161" s="9" t="s">
        <v>2126</v>
      </c>
      <c r="D2161" s="9" t="s">
        <v>816</v>
      </c>
      <c r="F2161" s="6">
        <v>280</v>
      </c>
      <c r="G2161" s="6">
        <f t="shared" si="110"/>
        <v>280</v>
      </c>
      <c r="H2161" s="6">
        <v>280</v>
      </c>
      <c r="I2161" s="26">
        <f t="shared" si="113"/>
        <v>0</v>
      </c>
      <c r="J2161" s="7" t="str">
        <f t="shared" si="111"/>
        <v>PAGADO</v>
      </c>
    </row>
    <row r="2162" spans="1:11" x14ac:dyDescent="0.25">
      <c r="A2162">
        <v>2025</v>
      </c>
      <c r="C2162" s="9" t="s">
        <v>2127</v>
      </c>
      <c r="D2162" s="9" t="s">
        <v>816</v>
      </c>
      <c r="F2162" s="6">
        <v>190</v>
      </c>
      <c r="G2162" s="6">
        <f t="shared" si="110"/>
        <v>190</v>
      </c>
      <c r="H2162" s="6">
        <v>190</v>
      </c>
      <c r="I2162" s="26">
        <f t="shared" si="113"/>
        <v>0</v>
      </c>
      <c r="J2162" s="7" t="str">
        <f t="shared" si="111"/>
        <v>PAGADO</v>
      </c>
    </row>
    <row r="2163" spans="1:11" x14ac:dyDescent="0.25">
      <c r="A2163">
        <v>2025</v>
      </c>
      <c r="C2163" t="s">
        <v>2128</v>
      </c>
      <c r="D2163" s="9" t="s">
        <v>1263</v>
      </c>
      <c r="F2163" s="6">
        <v>360</v>
      </c>
      <c r="G2163" s="6">
        <f t="shared" si="110"/>
        <v>360</v>
      </c>
      <c r="H2163" s="6">
        <v>360</v>
      </c>
      <c r="I2163" s="6">
        <f t="shared" si="113"/>
        <v>0</v>
      </c>
      <c r="J2163" s="7" t="str">
        <f t="shared" si="111"/>
        <v>PAGADO</v>
      </c>
    </row>
    <row r="2164" spans="1:11" x14ac:dyDescent="0.25">
      <c r="A2164">
        <v>2025</v>
      </c>
      <c r="C2164" t="s">
        <v>2129</v>
      </c>
      <c r="D2164" s="9" t="s">
        <v>2130</v>
      </c>
      <c r="F2164" s="6">
        <v>50</v>
      </c>
      <c r="G2164" s="6">
        <f t="shared" si="110"/>
        <v>50</v>
      </c>
      <c r="H2164" s="6">
        <v>50</v>
      </c>
      <c r="I2164" s="26">
        <f t="shared" si="113"/>
        <v>0</v>
      </c>
      <c r="J2164" s="7" t="str">
        <f t="shared" si="111"/>
        <v>PAGADO</v>
      </c>
    </row>
    <row r="2165" spans="1:11" x14ac:dyDescent="0.25">
      <c r="A2165">
        <v>2025</v>
      </c>
      <c r="C2165" s="9" t="s">
        <v>2131</v>
      </c>
      <c r="D2165" s="9" t="s">
        <v>31</v>
      </c>
      <c r="F2165" s="6">
        <v>100</v>
      </c>
      <c r="G2165" s="6">
        <f t="shared" si="110"/>
        <v>100</v>
      </c>
      <c r="H2165" s="6">
        <v>100</v>
      </c>
      <c r="I2165" s="26">
        <f t="shared" si="113"/>
        <v>0</v>
      </c>
      <c r="J2165" s="7" t="str">
        <f t="shared" si="111"/>
        <v>PAGADO</v>
      </c>
    </row>
    <row r="2166" spans="1:11" x14ac:dyDescent="0.25">
      <c r="A2166">
        <v>2025</v>
      </c>
      <c r="C2166" s="9" t="s">
        <v>2132</v>
      </c>
      <c r="D2166" s="9" t="s">
        <v>1504</v>
      </c>
      <c r="F2166" s="6">
        <v>130</v>
      </c>
      <c r="G2166" s="6">
        <f t="shared" si="110"/>
        <v>130</v>
      </c>
      <c r="H2166" s="6">
        <v>130</v>
      </c>
      <c r="I2166" s="26">
        <f t="shared" si="113"/>
        <v>0</v>
      </c>
      <c r="J2166" s="7" t="str">
        <f t="shared" si="111"/>
        <v>PAGADO</v>
      </c>
      <c r="K2166" t="s">
        <v>693</v>
      </c>
    </row>
    <row r="2167" spans="1:11" x14ac:dyDescent="0.25">
      <c r="A2167">
        <v>2025</v>
      </c>
      <c r="C2167" s="9" t="s">
        <v>2133</v>
      </c>
      <c r="D2167" s="9" t="s">
        <v>1504</v>
      </c>
      <c r="F2167" s="6">
        <v>75</v>
      </c>
      <c r="G2167" s="6">
        <f t="shared" si="110"/>
        <v>75</v>
      </c>
      <c r="H2167" s="6">
        <v>75</v>
      </c>
      <c r="I2167" s="26">
        <f t="shared" si="113"/>
        <v>0</v>
      </c>
      <c r="J2167" s="7" t="str">
        <f t="shared" si="111"/>
        <v>PAGADO</v>
      </c>
      <c r="K2167" t="s">
        <v>693</v>
      </c>
    </row>
    <row r="2168" spans="1:11" x14ac:dyDescent="0.25">
      <c r="A2168">
        <v>2025</v>
      </c>
      <c r="C2168" s="9" t="s">
        <v>2134</v>
      </c>
      <c r="D2168" s="9" t="s">
        <v>1504</v>
      </c>
      <c r="F2168" s="6">
        <v>160</v>
      </c>
      <c r="G2168" s="6">
        <f t="shared" si="110"/>
        <v>160</v>
      </c>
      <c r="H2168" s="6">
        <v>160</v>
      </c>
      <c r="I2168" s="26">
        <f t="shared" si="113"/>
        <v>0</v>
      </c>
      <c r="J2168" s="7" t="str">
        <f t="shared" si="111"/>
        <v>PAGADO</v>
      </c>
      <c r="K2168" t="s">
        <v>693</v>
      </c>
    </row>
    <row r="2169" spans="1:11" x14ac:dyDescent="0.25">
      <c r="A2169">
        <v>2025</v>
      </c>
      <c r="C2169" s="9" t="s">
        <v>2135</v>
      </c>
      <c r="D2169" s="9" t="s">
        <v>1504</v>
      </c>
      <c r="F2169" s="6">
        <v>80</v>
      </c>
      <c r="G2169" s="6">
        <f t="shared" si="110"/>
        <v>80</v>
      </c>
      <c r="H2169" s="6">
        <v>80</v>
      </c>
      <c r="I2169" s="26">
        <f t="shared" si="113"/>
        <v>0</v>
      </c>
      <c r="J2169" s="7" t="str">
        <f t="shared" si="111"/>
        <v>PAGADO</v>
      </c>
      <c r="K2169" t="s">
        <v>693</v>
      </c>
    </row>
    <row r="2170" spans="1:11" x14ac:dyDescent="0.25">
      <c r="A2170">
        <v>2025</v>
      </c>
      <c r="C2170" s="9" t="s">
        <v>2032</v>
      </c>
      <c r="D2170" s="9" t="s">
        <v>1504</v>
      </c>
      <c r="F2170" s="6">
        <v>65</v>
      </c>
      <c r="G2170" s="6">
        <f t="shared" si="110"/>
        <v>65</v>
      </c>
      <c r="H2170" s="6">
        <v>65</v>
      </c>
      <c r="I2170" s="26">
        <f t="shared" si="113"/>
        <v>0</v>
      </c>
      <c r="J2170" s="7" t="str">
        <f t="shared" si="111"/>
        <v>PAGADO</v>
      </c>
      <c r="K2170" t="s">
        <v>693</v>
      </c>
    </row>
    <row r="2171" spans="1:11" x14ac:dyDescent="0.25">
      <c r="A2171">
        <v>2025</v>
      </c>
      <c r="C2171" s="9" t="s">
        <v>2136</v>
      </c>
      <c r="D2171" s="9" t="s">
        <v>1425</v>
      </c>
      <c r="F2171" s="6">
        <v>100</v>
      </c>
      <c r="G2171" s="6">
        <f t="shared" si="110"/>
        <v>100</v>
      </c>
      <c r="H2171" s="6">
        <v>100</v>
      </c>
      <c r="I2171" s="26">
        <f t="shared" si="113"/>
        <v>0</v>
      </c>
      <c r="J2171" s="7" t="str">
        <f t="shared" si="111"/>
        <v>PAGADO</v>
      </c>
    </row>
    <row r="2172" spans="1:11" x14ac:dyDescent="0.25">
      <c r="A2172">
        <v>2025</v>
      </c>
      <c r="C2172" s="9" t="s">
        <v>2137</v>
      </c>
      <c r="D2172" s="9" t="s">
        <v>1145</v>
      </c>
      <c r="F2172" s="6">
        <v>120</v>
      </c>
      <c r="G2172" s="6">
        <f t="shared" si="110"/>
        <v>120</v>
      </c>
      <c r="H2172" s="6">
        <v>120</v>
      </c>
      <c r="I2172" s="26">
        <f t="shared" si="113"/>
        <v>0</v>
      </c>
      <c r="J2172" s="7" t="str">
        <f t="shared" si="111"/>
        <v>PAGADO</v>
      </c>
    </row>
    <row r="2173" spans="1:11" x14ac:dyDescent="0.25">
      <c r="A2173">
        <v>2025</v>
      </c>
      <c r="C2173" s="9" t="s">
        <v>2138</v>
      </c>
      <c r="D2173" s="9" t="s">
        <v>1145</v>
      </c>
      <c r="F2173" s="6">
        <v>20</v>
      </c>
      <c r="G2173" s="6">
        <f t="shared" si="110"/>
        <v>20</v>
      </c>
      <c r="H2173" s="6">
        <v>20</v>
      </c>
      <c r="I2173" s="26">
        <f t="shared" si="113"/>
        <v>0</v>
      </c>
      <c r="J2173" s="7" t="str">
        <f t="shared" si="111"/>
        <v>PAGADO</v>
      </c>
    </row>
    <row r="2174" spans="1:11" x14ac:dyDescent="0.25">
      <c r="A2174">
        <v>2025</v>
      </c>
      <c r="C2174" s="14" t="s">
        <v>1878</v>
      </c>
      <c r="D2174" s="9" t="s">
        <v>1309</v>
      </c>
      <c r="F2174" s="6">
        <v>90</v>
      </c>
      <c r="G2174" s="6">
        <f t="shared" ref="G2174:G2237" si="114">F2174-E2174</f>
        <v>90</v>
      </c>
      <c r="H2174" s="6">
        <f>40+20+30</f>
        <v>90</v>
      </c>
      <c r="I2174" s="26">
        <f t="shared" si="113"/>
        <v>0</v>
      </c>
      <c r="J2174" s="7" t="str">
        <f t="shared" si="111"/>
        <v>PAGADO</v>
      </c>
      <c r="K2174" s="9"/>
    </row>
    <row r="2175" spans="1:11" x14ac:dyDescent="0.25">
      <c r="A2175">
        <v>2025</v>
      </c>
      <c r="C2175" s="9" t="s">
        <v>2139</v>
      </c>
      <c r="D2175" t="s">
        <v>1399</v>
      </c>
      <c r="F2175" s="6">
        <v>15</v>
      </c>
      <c r="G2175" s="6">
        <f t="shared" si="114"/>
        <v>15</v>
      </c>
      <c r="H2175" s="6">
        <v>15</v>
      </c>
      <c r="I2175" s="26">
        <f t="shared" si="113"/>
        <v>0</v>
      </c>
      <c r="J2175" s="7" t="str">
        <f t="shared" si="111"/>
        <v>PAGADO</v>
      </c>
    </row>
    <row r="2176" spans="1:11" x14ac:dyDescent="0.25">
      <c r="A2176">
        <v>2025</v>
      </c>
      <c r="C2176" s="9" t="s">
        <v>2140</v>
      </c>
      <c r="D2176" t="s">
        <v>1399</v>
      </c>
      <c r="F2176" s="6">
        <v>170</v>
      </c>
      <c r="G2176" s="6">
        <f t="shared" si="114"/>
        <v>170</v>
      </c>
      <c r="H2176" s="6">
        <v>170</v>
      </c>
      <c r="I2176" s="26">
        <f t="shared" si="113"/>
        <v>0</v>
      </c>
      <c r="J2176" s="7" t="str">
        <f t="shared" si="111"/>
        <v>PAGADO</v>
      </c>
    </row>
    <row r="2177" spans="1:11" x14ac:dyDescent="0.25">
      <c r="A2177">
        <v>2025</v>
      </c>
      <c r="C2177" s="9" t="s">
        <v>2141</v>
      </c>
      <c r="D2177" t="s">
        <v>2066</v>
      </c>
      <c r="F2177" s="6">
        <v>80</v>
      </c>
      <c r="G2177" s="6">
        <f t="shared" si="114"/>
        <v>80</v>
      </c>
      <c r="H2177" s="6">
        <f>40+40</f>
        <v>80</v>
      </c>
      <c r="I2177" s="26">
        <f t="shared" si="113"/>
        <v>0</v>
      </c>
      <c r="J2177" s="7" t="str">
        <f t="shared" si="111"/>
        <v>PAGADO</v>
      </c>
    </row>
    <row r="2178" spans="1:11" x14ac:dyDescent="0.25">
      <c r="A2178">
        <v>2025</v>
      </c>
      <c r="C2178" s="9" t="s">
        <v>2141</v>
      </c>
      <c r="D2178" t="s">
        <v>1535</v>
      </c>
      <c r="F2178" s="6">
        <v>80</v>
      </c>
      <c r="G2178" s="6">
        <f t="shared" si="114"/>
        <v>80</v>
      </c>
      <c r="H2178" s="6">
        <v>80</v>
      </c>
      <c r="I2178" s="26">
        <f t="shared" si="113"/>
        <v>0</v>
      </c>
      <c r="J2178" s="7" t="str">
        <f t="shared" si="111"/>
        <v>PAGADO</v>
      </c>
    </row>
    <row r="2179" spans="1:11" x14ac:dyDescent="0.25">
      <c r="A2179">
        <v>2025</v>
      </c>
      <c r="C2179" s="9" t="s">
        <v>2142</v>
      </c>
      <c r="D2179" t="s">
        <v>2143</v>
      </c>
      <c r="F2179" s="6">
        <v>590</v>
      </c>
      <c r="G2179" s="6">
        <f t="shared" si="114"/>
        <v>590</v>
      </c>
      <c r="H2179" s="6">
        <f>50+50+50+50+50+50+50+50+50+40+50+50</f>
        <v>590</v>
      </c>
      <c r="I2179" s="26">
        <f t="shared" si="113"/>
        <v>0</v>
      </c>
      <c r="J2179" s="7" t="str">
        <f t="shared" si="111"/>
        <v>PAGADO</v>
      </c>
    </row>
    <row r="2180" spans="1:11" x14ac:dyDescent="0.25">
      <c r="A2180">
        <v>2025</v>
      </c>
      <c r="C2180" s="9" t="s">
        <v>2144</v>
      </c>
      <c r="D2180" t="s">
        <v>2145</v>
      </c>
      <c r="F2180" s="6">
        <v>75</v>
      </c>
      <c r="G2180" s="6">
        <f t="shared" si="114"/>
        <v>75</v>
      </c>
      <c r="H2180" s="6">
        <v>75</v>
      </c>
      <c r="I2180" s="26">
        <f t="shared" si="113"/>
        <v>0</v>
      </c>
      <c r="J2180" s="7" t="str">
        <f t="shared" si="111"/>
        <v>PAGADO</v>
      </c>
    </row>
    <row r="2181" spans="1:11" x14ac:dyDescent="0.25">
      <c r="A2181">
        <v>2025</v>
      </c>
      <c r="C2181" s="9" t="s">
        <v>1942</v>
      </c>
      <c r="D2181" t="s">
        <v>2145</v>
      </c>
      <c r="F2181" s="6">
        <v>75</v>
      </c>
      <c r="G2181" s="6">
        <f t="shared" si="114"/>
        <v>75</v>
      </c>
      <c r="H2181" s="6">
        <v>75</v>
      </c>
      <c r="I2181" s="26">
        <f t="shared" si="113"/>
        <v>0</v>
      </c>
      <c r="J2181" s="7" t="str">
        <f t="shared" si="111"/>
        <v>PAGADO</v>
      </c>
    </row>
    <row r="2182" spans="1:11" x14ac:dyDescent="0.25">
      <c r="A2182">
        <v>2025</v>
      </c>
      <c r="C2182" s="9" t="s">
        <v>2146</v>
      </c>
      <c r="D2182" t="s">
        <v>2147</v>
      </c>
      <c r="F2182" s="6">
        <v>120</v>
      </c>
      <c r="G2182" s="6">
        <f t="shared" si="114"/>
        <v>120</v>
      </c>
      <c r="H2182" s="6">
        <v>120</v>
      </c>
      <c r="I2182" s="26">
        <f t="shared" si="113"/>
        <v>0</v>
      </c>
      <c r="J2182" s="7" t="str">
        <f t="shared" si="111"/>
        <v>PAGADO</v>
      </c>
    </row>
    <row r="2183" spans="1:11" x14ac:dyDescent="0.25">
      <c r="A2183">
        <v>2025</v>
      </c>
      <c r="C2183" s="9" t="s">
        <v>2148</v>
      </c>
      <c r="D2183" t="s">
        <v>2147</v>
      </c>
      <c r="F2183" s="6">
        <v>70</v>
      </c>
      <c r="G2183" s="6">
        <f t="shared" si="114"/>
        <v>70</v>
      </c>
      <c r="H2183" s="6">
        <v>70</v>
      </c>
      <c r="I2183" s="26">
        <f t="shared" si="113"/>
        <v>0</v>
      </c>
      <c r="J2183" s="7" t="str">
        <f t="shared" si="111"/>
        <v>PAGADO</v>
      </c>
    </row>
    <row r="2184" spans="1:11" x14ac:dyDescent="0.25">
      <c r="A2184">
        <v>2025</v>
      </c>
      <c r="C2184" s="9" t="s">
        <v>2149</v>
      </c>
      <c r="D2184" t="s">
        <v>2147</v>
      </c>
      <c r="F2184" s="6">
        <v>75</v>
      </c>
      <c r="G2184" s="6">
        <f t="shared" si="114"/>
        <v>75</v>
      </c>
      <c r="H2184" s="6">
        <v>75</v>
      </c>
      <c r="I2184" s="26">
        <f t="shared" si="113"/>
        <v>0</v>
      </c>
      <c r="J2184" s="7" t="str">
        <f t="shared" si="111"/>
        <v>PAGADO</v>
      </c>
    </row>
    <row r="2185" spans="1:11" x14ac:dyDescent="0.25">
      <c r="A2185">
        <v>2025</v>
      </c>
      <c r="C2185" s="9" t="s">
        <v>2150</v>
      </c>
      <c r="D2185" t="s">
        <v>2147</v>
      </c>
      <c r="F2185" s="6">
        <v>70</v>
      </c>
      <c r="G2185" s="6">
        <f t="shared" si="114"/>
        <v>70</v>
      </c>
      <c r="H2185" s="6">
        <v>70</v>
      </c>
      <c r="I2185" s="26">
        <f t="shared" si="113"/>
        <v>0</v>
      </c>
      <c r="J2185" s="7" t="str">
        <f t="shared" si="111"/>
        <v>PAGADO</v>
      </c>
    </row>
    <row r="2186" spans="1:11" x14ac:dyDescent="0.25">
      <c r="A2186">
        <v>2025</v>
      </c>
      <c r="C2186" s="9" t="s">
        <v>2151</v>
      </c>
      <c r="D2186" t="s">
        <v>2147</v>
      </c>
      <c r="F2186" s="6">
        <v>60</v>
      </c>
      <c r="G2186" s="6">
        <f t="shared" si="114"/>
        <v>60</v>
      </c>
      <c r="H2186" s="6">
        <v>60</v>
      </c>
      <c r="I2186" s="26">
        <f t="shared" si="113"/>
        <v>0</v>
      </c>
      <c r="J2186" s="7" t="str">
        <f t="shared" si="111"/>
        <v>PAGADO</v>
      </c>
    </row>
    <row r="2187" spans="1:11" x14ac:dyDescent="0.25">
      <c r="A2187">
        <v>2025</v>
      </c>
      <c r="C2187" s="9" t="s">
        <v>2152</v>
      </c>
      <c r="D2187" t="s">
        <v>1685</v>
      </c>
      <c r="F2187" s="6">
        <v>80</v>
      </c>
      <c r="G2187" s="6">
        <f t="shared" si="114"/>
        <v>80</v>
      </c>
      <c r="H2187" s="6">
        <v>80</v>
      </c>
      <c r="I2187" s="26">
        <f t="shared" si="113"/>
        <v>0</v>
      </c>
      <c r="J2187" s="7" t="str">
        <f t="shared" si="111"/>
        <v>PAGADO</v>
      </c>
    </row>
    <row r="2188" spans="1:11" x14ac:dyDescent="0.25">
      <c r="A2188">
        <v>2025</v>
      </c>
      <c r="C2188" s="9" t="s">
        <v>1885</v>
      </c>
      <c r="D2188" t="s">
        <v>2153</v>
      </c>
      <c r="F2188" s="6">
        <v>140</v>
      </c>
      <c r="G2188" s="6">
        <f t="shared" si="114"/>
        <v>140</v>
      </c>
      <c r="H2188" s="6">
        <f>50+90</f>
        <v>140</v>
      </c>
      <c r="I2188" s="26">
        <f t="shared" si="113"/>
        <v>0</v>
      </c>
      <c r="J2188" s="7" t="str">
        <f t="shared" si="111"/>
        <v>PAGADO</v>
      </c>
    </row>
    <row r="2189" spans="1:11" x14ac:dyDescent="0.25">
      <c r="A2189">
        <v>2025</v>
      </c>
      <c r="C2189" s="9" t="s">
        <v>2154</v>
      </c>
      <c r="D2189" t="s">
        <v>1606</v>
      </c>
      <c r="F2189" s="6">
        <v>650</v>
      </c>
      <c r="G2189" s="6">
        <f t="shared" si="114"/>
        <v>650</v>
      </c>
      <c r="H2189" s="6">
        <f>30+20+150+250+120-200+100+180</f>
        <v>650</v>
      </c>
      <c r="I2189" s="26">
        <f t="shared" si="113"/>
        <v>0</v>
      </c>
      <c r="J2189" s="7" t="str">
        <f t="shared" ref="J2189:J2252" si="115">IF(I2189&gt;0,"DEBE","PAGADO")</f>
        <v>PAGADO</v>
      </c>
    </row>
    <row r="2190" spans="1:11" x14ac:dyDescent="0.25">
      <c r="A2190">
        <v>2025</v>
      </c>
      <c r="C2190" s="9" t="s">
        <v>2155</v>
      </c>
      <c r="D2190" s="9" t="s">
        <v>1451</v>
      </c>
      <c r="F2190" s="6">
        <v>600</v>
      </c>
      <c r="G2190" s="6">
        <f t="shared" si="114"/>
        <v>600</v>
      </c>
      <c r="H2190" s="11">
        <v>600</v>
      </c>
      <c r="I2190" s="26">
        <f t="shared" si="113"/>
        <v>0</v>
      </c>
      <c r="J2190" s="7" t="str">
        <f t="shared" si="115"/>
        <v>PAGADO</v>
      </c>
      <c r="K2190" s="9"/>
    </row>
    <row r="2191" spans="1:11" x14ac:dyDescent="0.25">
      <c r="A2191">
        <v>2025</v>
      </c>
      <c r="C2191" s="9" t="s">
        <v>2156</v>
      </c>
      <c r="D2191" s="9" t="s">
        <v>1501</v>
      </c>
      <c r="F2191" s="6">
        <v>70</v>
      </c>
      <c r="G2191" s="6">
        <f t="shared" si="114"/>
        <v>70</v>
      </c>
      <c r="H2191" s="6">
        <f>50+10+10</f>
        <v>70</v>
      </c>
      <c r="I2191" s="26">
        <f t="shared" si="113"/>
        <v>0</v>
      </c>
      <c r="J2191" s="7" t="str">
        <f t="shared" si="115"/>
        <v>PAGADO</v>
      </c>
      <c r="K2191" s="9"/>
    </row>
    <row r="2192" spans="1:11" x14ac:dyDescent="0.25">
      <c r="A2192">
        <v>2025</v>
      </c>
      <c r="C2192" s="9" t="s">
        <v>2157</v>
      </c>
      <c r="D2192" s="9" t="s">
        <v>1679</v>
      </c>
      <c r="F2192" s="6">
        <v>350</v>
      </c>
      <c r="G2192" s="6">
        <f t="shared" si="114"/>
        <v>350</v>
      </c>
      <c r="H2192" s="6">
        <v>350</v>
      </c>
      <c r="I2192" s="26">
        <f t="shared" si="113"/>
        <v>0</v>
      </c>
      <c r="J2192" s="7" t="str">
        <f t="shared" si="115"/>
        <v>PAGADO</v>
      </c>
    </row>
    <row r="2193" spans="1:11" x14ac:dyDescent="0.25">
      <c r="A2193">
        <v>2025</v>
      </c>
      <c r="C2193" s="9" t="s">
        <v>2158</v>
      </c>
      <c r="D2193" s="9" t="s">
        <v>1679</v>
      </c>
      <c r="F2193" s="6">
        <v>60</v>
      </c>
      <c r="G2193" s="6">
        <f t="shared" si="114"/>
        <v>60</v>
      </c>
      <c r="H2193" s="6">
        <v>60</v>
      </c>
      <c r="I2193" s="26">
        <f t="shared" si="113"/>
        <v>0</v>
      </c>
      <c r="J2193" s="7" t="str">
        <f t="shared" si="115"/>
        <v>PAGADO</v>
      </c>
    </row>
    <row r="2194" spans="1:11" x14ac:dyDescent="0.25">
      <c r="A2194">
        <v>2025</v>
      </c>
      <c r="C2194" s="9" t="s">
        <v>2159</v>
      </c>
      <c r="D2194" s="9" t="s">
        <v>1679</v>
      </c>
      <c r="F2194" s="6">
        <v>50</v>
      </c>
      <c r="G2194" s="6">
        <f t="shared" si="114"/>
        <v>50</v>
      </c>
      <c r="H2194" s="6">
        <v>50</v>
      </c>
      <c r="I2194" s="26">
        <f t="shared" si="113"/>
        <v>0</v>
      </c>
      <c r="J2194" s="7" t="str">
        <f t="shared" si="115"/>
        <v>PAGADO</v>
      </c>
    </row>
    <row r="2195" spans="1:11" x14ac:dyDescent="0.25">
      <c r="A2195">
        <v>2025</v>
      </c>
      <c r="C2195" s="9" t="s">
        <v>2160</v>
      </c>
      <c r="D2195" s="9" t="s">
        <v>1679</v>
      </c>
      <c r="F2195" s="6">
        <v>50</v>
      </c>
      <c r="G2195" s="6">
        <f t="shared" si="114"/>
        <v>50</v>
      </c>
      <c r="H2195" s="6">
        <v>50</v>
      </c>
      <c r="I2195" s="26">
        <f t="shared" si="113"/>
        <v>0</v>
      </c>
      <c r="J2195" s="7" t="str">
        <f t="shared" si="115"/>
        <v>PAGADO</v>
      </c>
    </row>
    <row r="2196" spans="1:11" x14ac:dyDescent="0.25">
      <c r="A2196">
        <v>2025</v>
      </c>
      <c r="C2196" s="9" t="s">
        <v>2161</v>
      </c>
      <c r="D2196" s="9" t="s">
        <v>1679</v>
      </c>
      <c r="F2196" s="6">
        <v>50</v>
      </c>
      <c r="G2196" s="6">
        <f t="shared" si="114"/>
        <v>50</v>
      </c>
      <c r="H2196" s="6">
        <v>50</v>
      </c>
      <c r="I2196" s="26">
        <f t="shared" si="113"/>
        <v>0</v>
      </c>
      <c r="J2196" s="7" t="str">
        <f t="shared" si="115"/>
        <v>PAGADO</v>
      </c>
    </row>
    <row r="2197" spans="1:11" x14ac:dyDescent="0.25">
      <c r="A2197">
        <v>2025</v>
      </c>
      <c r="C2197" s="9" t="s">
        <v>2141</v>
      </c>
      <c r="D2197" t="s">
        <v>1510</v>
      </c>
      <c r="F2197" s="6">
        <v>80</v>
      </c>
      <c r="G2197" s="6">
        <f t="shared" si="114"/>
        <v>80</v>
      </c>
      <c r="H2197" s="6">
        <v>80</v>
      </c>
      <c r="I2197" s="26">
        <f t="shared" si="113"/>
        <v>0</v>
      </c>
      <c r="J2197" s="7" t="str">
        <f t="shared" si="115"/>
        <v>PAGADO</v>
      </c>
    </row>
    <row r="2198" spans="1:11" x14ac:dyDescent="0.25">
      <c r="A2198">
        <v>2025</v>
      </c>
      <c r="C2198" s="9" t="s">
        <v>2141</v>
      </c>
      <c r="D2198" t="s">
        <v>1510</v>
      </c>
      <c r="F2198" s="6">
        <v>80</v>
      </c>
      <c r="G2198" s="6">
        <f t="shared" si="114"/>
        <v>80</v>
      </c>
      <c r="H2198" s="6">
        <v>80</v>
      </c>
      <c r="I2198" s="26">
        <f t="shared" si="113"/>
        <v>0</v>
      </c>
      <c r="J2198" s="7" t="str">
        <f t="shared" si="115"/>
        <v>PAGADO</v>
      </c>
    </row>
    <row r="2199" spans="1:11" x14ac:dyDescent="0.25">
      <c r="A2199">
        <v>2025</v>
      </c>
      <c r="C2199" s="9" t="s">
        <v>1905</v>
      </c>
      <c r="D2199" s="9" t="s">
        <v>1510</v>
      </c>
      <c r="F2199" s="6">
        <v>90</v>
      </c>
      <c r="G2199" s="6">
        <f t="shared" si="114"/>
        <v>90</v>
      </c>
      <c r="H2199" s="6">
        <f>45+45</f>
        <v>90</v>
      </c>
      <c r="I2199" s="24">
        <f t="shared" si="113"/>
        <v>0</v>
      </c>
      <c r="J2199" s="7" t="str">
        <f t="shared" si="115"/>
        <v>PAGADO</v>
      </c>
    </row>
    <row r="2200" spans="1:11" x14ac:dyDescent="0.25">
      <c r="A2200">
        <v>2025</v>
      </c>
      <c r="C2200" s="9" t="s">
        <v>2162</v>
      </c>
      <c r="D2200" s="9" t="s">
        <v>16</v>
      </c>
      <c r="F2200" s="6">
        <v>65</v>
      </c>
      <c r="G2200" s="6">
        <f t="shared" si="114"/>
        <v>65</v>
      </c>
      <c r="H2200" s="6">
        <v>65</v>
      </c>
      <c r="I2200" s="26">
        <f t="shared" si="113"/>
        <v>0</v>
      </c>
      <c r="J2200" s="7" t="str">
        <f t="shared" si="115"/>
        <v>PAGADO</v>
      </c>
      <c r="K2200" s="9" t="s">
        <v>1823</v>
      </c>
    </row>
    <row r="2201" spans="1:11" x14ac:dyDescent="0.25">
      <c r="A2201">
        <v>2025</v>
      </c>
      <c r="C2201" s="9" t="s">
        <v>2163</v>
      </c>
      <c r="D2201" s="9" t="s">
        <v>1309</v>
      </c>
      <c r="F2201" s="6">
        <v>90</v>
      </c>
      <c r="G2201" s="6">
        <f t="shared" si="114"/>
        <v>90</v>
      </c>
      <c r="H2201" s="16">
        <v>90</v>
      </c>
      <c r="I2201" s="26">
        <f t="shared" si="113"/>
        <v>0</v>
      </c>
      <c r="J2201" s="7" t="str">
        <f t="shared" si="115"/>
        <v>PAGADO</v>
      </c>
      <c r="K2201" s="9"/>
    </row>
    <row r="2202" spans="1:11" x14ac:dyDescent="0.25">
      <c r="A2202">
        <v>2025</v>
      </c>
      <c r="C2202" s="9" t="s">
        <v>2164</v>
      </c>
      <c r="D2202" s="9" t="s">
        <v>1309</v>
      </c>
      <c r="F2202" s="6">
        <v>80</v>
      </c>
      <c r="G2202" s="6">
        <f t="shared" si="114"/>
        <v>80</v>
      </c>
      <c r="H2202" s="6">
        <v>80</v>
      </c>
      <c r="I2202" s="26">
        <f t="shared" si="113"/>
        <v>0</v>
      </c>
      <c r="J2202" s="7" t="str">
        <f t="shared" si="115"/>
        <v>PAGADO</v>
      </c>
      <c r="K2202" s="9"/>
    </row>
    <row r="2203" spans="1:11" x14ac:dyDescent="0.25">
      <c r="A2203">
        <v>2025</v>
      </c>
      <c r="C2203" s="9" t="s">
        <v>2165</v>
      </c>
      <c r="D2203" s="9" t="s">
        <v>1309</v>
      </c>
      <c r="F2203" s="6">
        <v>75</v>
      </c>
      <c r="G2203" s="6">
        <f t="shared" si="114"/>
        <v>75</v>
      </c>
      <c r="H2203" s="16">
        <v>75</v>
      </c>
      <c r="I2203" s="26">
        <f t="shared" si="113"/>
        <v>0</v>
      </c>
      <c r="J2203" s="7" t="str">
        <f t="shared" si="115"/>
        <v>PAGADO</v>
      </c>
      <c r="K2203" s="9"/>
    </row>
    <row r="2204" spans="1:11" x14ac:dyDescent="0.25">
      <c r="A2204">
        <v>2025</v>
      </c>
      <c r="C2204" s="9" t="s">
        <v>2166</v>
      </c>
      <c r="D2204" s="9" t="s">
        <v>2167</v>
      </c>
      <c r="F2204" s="6">
        <v>75</v>
      </c>
      <c r="G2204" s="6">
        <f t="shared" si="114"/>
        <v>75</v>
      </c>
      <c r="H2204" s="6">
        <v>75</v>
      </c>
      <c r="I2204" s="26">
        <f t="shared" si="113"/>
        <v>0</v>
      </c>
      <c r="J2204" s="7" t="str">
        <f t="shared" si="115"/>
        <v>PAGADO</v>
      </c>
    </row>
    <row r="2205" spans="1:11" x14ac:dyDescent="0.25">
      <c r="A2205">
        <v>2025</v>
      </c>
      <c r="C2205" s="9" t="s">
        <v>2168</v>
      </c>
      <c r="D2205" s="9" t="s">
        <v>2167</v>
      </c>
      <c r="F2205" s="6">
        <v>100</v>
      </c>
      <c r="G2205" s="6">
        <f t="shared" si="114"/>
        <v>100</v>
      </c>
      <c r="H2205" s="6">
        <v>100</v>
      </c>
      <c r="I2205" s="26">
        <f t="shared" si="113"/>
        <v>0</v>
      </c>
      <c r="J2205" s="7" t="str">
        <f t="shared" si="115"/>
        <v>PAGADO</v>
      </c>
    </row>
    <row r="2206" spans="1:11" x14ac:dyDescent="0.25">
      <c r="A2206">
        <v>2025</v>
      </c>
      <c r="C2206" s="9" t="s">
        <v>2169</v>
      </c>
      <c r="D2206" s="9" t="s">
        <v>2147</v>
      </c>
      <c r="F2206" s="6">
        <v>70</v>
      </c>
      <c r="G2206" s="6">
        <f t="shared" si="114"/>
        <v>70</v>
      </c>
      <c r="H2206" s="6">
        <v>70</v>
      </c>
      <c r="I2206" s="26">
        <f t="shared" si="113"/>
        <v>0</v>
      </c>
      <c r="J2206" s="7" t="str">
        <f t="shared" si="115"/>
        <v>PAGADO</v>
      </c>
    </row>
    <row r="2207" spans="1:11" x14ac:dyDescent="0.25">
      <c r="A2207">
        <v>2025</v>
      </c>
      <c r="C2207" s="9" t="s">
        <v>2170</v>
      </c>
      <c r="D2207" s="9" t="s">
        <v>2171</v>
      </c>
      <c r="F2207" s="6">
        <v>25</v>
      </c>
      <c r="G2207" s="6">
        <f t="shared" si="114"/>
        <v>25</v>
      </c>
      <c r="H2207" s="6">
        <v>25</v>
      </c>
      <c r="I2207" s="26">
        <f t="shared" si="113"/>
        <v>0</v>
      </c>
      <c r="J2207" s="7" t="str">
        <f t="shared" si="115"/>
        <v>PAGADO</v>
      </c>
    </row>
    <row r="2208" spans="1:11" x14ac:dyDescent="0.25">
      <c r="A2208">
        <v>2025</v>
      </c>
      <c r="C2208" s="9" t="s">
        <v>2172</v>
      </c>
      <c r="D2208" s="9" t="s">
        <v>2171</v>
      </c>
      <c r="F2208" s="6">
        <v>25</v>
      </c>
      <c r="G2208" s="6">
        <f t="shared" si="114"/>
        <v>25</v>
      </c>
      <c r="H2208" s="6">
        <v>25</v>
      </c>
      <c r="I2208" s="26">
        <f t="shared" si="113"/>
        <v>0</v>
      </c>
      <c r="J2208" s="7" t="str">
        <f t="shared" si="115"/>
        <v>PAGADO</v>
      </c>
    </row>
    <row r="2209" spans="1:11" x14ac:dyDescent="0.25">
      <c r="A2209">
        <v>2025</v>
      </c>
      <c r="C2209" s="9" t="s">
        <v>2173</v>
      </c>
      <c r="D2209" s="9" t="s">
        <v>1685</v>
      </c>
      <c r="F2209" s="6">
        <v>25</v>
      </c>
      <c r="G2209" s="6">
        <f t="shared" si="114"/>
        <v>25</v>
      </c>
      <c r="H2209" s="6">
        <v>25</v>
      </c>
      <c r="I2209" s="26">
        <f t="shared" si="113"/>
        <v>0</v>
      </c>
      <c r="J2209" s="7" t="str">
        <f t="shared" si="115"/>
        <v>PAGADO</v>
      </c>
    </row>
    <row r="2210" spans="1:11" x14ac:dyDescent="0.25">
      <c r="A2210">
        <v>2025</v>
      </c>
      <c r="C2210" s="9" t="s">
        <v>2174</v>
      </c>
      <c r="D2210" s="9" t="s">
        <v>2175</v>
      </c>
      <c r="F2210" s="6">
        <v>100</v>
      </c>
      <c r="G2210" s="6">
        <f t="shared" si="114"/>
        <v>100</v>
      </c>
      <c r="H2210" s="6">
        <v>100</v>
      </c>
      <c r="I2210" s="26">
        <f t="shared" si="113"/>
        <v>0</v>
      </c>
      <c r="J2210" s="7" t="str">
        <f t="shared" si="115"/>
        <v>PAGADO</v>
      </c>
    </row>
    <row r="2211" spans="1:11" x14ac:dyDescent="0.25">
      <c r="A2211">
        <v>2025</v>
      </c>
      <c r="C2211" s="9" t="s">
        <v>2176</v>
      </c>
      <c r="D2211" s="9" t="s">
        <v>597</v>
      </c>
      <c r="F2211" s="6">
        <v>70</v>
      </c>
      <c r="G2211" s="6">
        <f t="shared" si="114"/>
        <v>70</v>
      </c>
      <c r="H2211" s="6">
        <v>70</v>
      </c>
      <c r="I2211" s="26">
        <f t="shared" si="113"/>
        <v>0</v>
      </c>
      <c r="J2211" s="7" t="str">
        <f t="shared" si="115"/>
        <v>PAGADO</v>
      </c>
      <c r="K2211" s="9"/>
    </row>
    <row r="2212" spans="1:11" x14ac:dyDescent="0.25">
      <c r="A2212">
        <v>2025</v>
      </c>
      <c r="C2212" s="9" t="s">
        <v>2177</v>
      </c>
      <c r="D2212" t="s">
        <v>2153</v>
      </c>
      <c r="F2212" s="6">
        <v>75</v>
      </c>
      <c r="G2212" s="6">
        <f t="shared" si="114"/>
        <v>75</v>
      </c>
      <c r="H2212" s="6">
        <v>75</v>
      </c>
      <c r="I2212" s="26">
        <f t="shared" si="113"/>
        <v>0</v>
      </c>
      <c r="J2212" s="7" t="str">
        <f t="shared" si="115"/>
        <v>PAGADO</v>
      </c>
    </row>
    <row r="2213" spans="1:11" x14ac:dyDescent="0.25">
      <c r="A2213">
        <v>2025</v>
      </c>
      <c r="C2213" s="9" t="s">
        <v>2178</v>
      </c>
      <c r="D2213" t="s">
        <v>2153</v>
      </c>
      <c r="F2213" s="6">
        <v>55</v>
      </c>
      <c r="G2213" s="6">
        <f t="shared" si="114"/>
        <v>55</v>
      </c>
      <c r="H2213" s="6">
        <v>55</v>
      </c>
      <c r="I2213" s="26">
        <f t="shared" si="113"/>
        <v>0</v>
      </c>
      <c r="J2213" s="7" t="str">
        <f t="shared" si="115"/>
        <v>PAGADO</v>
      </c>
    </row>
    <row r="2214" spans="1:11" x14ac:dyDescent="0.25">
      <c r="A2214">
        <v>2025</v>
      </c>
      <c r="C2214" s="9" t="s">
        <v>2179</v>
      </c>
      <c r="D2214" s="9" t="s">
        <v>2180</v>
      </c>
      <c r="F2214" s="6">
        <v>70</v>
      </c>
      <c r="G2214" s="6">
        <f t="shared" si="114"/>
        <v>70</v>
      </c>
      <c r="H2214" s="6">
        <v>70</v>
      </c>
      <c r="I2214" s="26">
        <f t="shared" si="113"/>
        <v>0</v>
      </c>
      <c r="J2214" s="7" t="str">
        <f t="shared" si="115"/>
        <v>PAGADO</v>
      </c>
    </row>
    <row r="2215" spans="1:11" x14ac:dyDescent="0.25">
      <c r="A2215">
        <v>2025</v>
      </c>
      <c r="C2215" s="9" t="s">
        <v>2181</v>
      </c>
      <c r="D2215" s="9" t="s">
        <v>74</v>
      </c>
      <c r="F2215" s="6">
        <v>530</v>
      </c>
      <c r="G2215" s="6">
        <f t="shared" si="114"/>
        <v>530</v>
      </c>
      <c r="H2215" s="6">
        <v>100</v>
      </c>
      <c r="I2215" s="26">
        <f t="shared" si="113"/>
        <v>430</v>
      </c>
      <c r="J2215" s="7" t="str">
        <f t="shared" si="115"/>
        <v>DEBE</v>
      </c>
    </row>
    <row r="2216" spans="1:11" x14ac:dyDescent="0.25">
      <c r="A2216">
        <v>2025</v>
      </c>
      <c r="C2216" s="9" t="s">
        <v>2182</v>
      </c>
      <c r="D2216" s="9" t="s">
        <v>1849</v>
      </c>
      <c r="F2216" s="6">
        <v>100</v>
      </c>
      <c r="G2216" s="6">
        <f t="shared" si="114"/>
        <v>100</v>
      </c>
      <c r="H2216" s="6">
        <v>100</v>
      </c>
      <c r="I2216" s="26">
        <f t="shared" si="113"/>
        <v>0</v>
      </c>
      <c r="J2216" s="7" t="str">
        <f t="shared" si="115"/>
        <v>PAGADO</v>
      </c>
    </row>
    <row r="2217" spans="1:11" x14ac:dyDescent="0.25">
      <c r="A2217">
        <v>2025</v>
      </c>
      <c r="C2217" s="9" t="s">
        <v>2183</v>
      </c>
      <c r="D2217" s="9" t="s">
        <v>523</v>
      </c>
      <c r="F2217" s="6">
        <v>50</v>
      </c>
      <c r="G2217" s="6">
        <f t="shared" si="114"/>
        <v>50</v>
      </c>
      <c r="H2217" s="6">
        <v>50</v>
      </c>
      <c r="I2217" s="26">
        <f t="shared" ref="I2217:I2280" si="116">F2217-H2217</f>
        <v>0</v>
      </c>
      <c r="J2217" s="7" t="str">
        <f t="shared" si="115"/>
        <v>PAGADO</v>
      </c>
    </row>
    <row r="2218" spans="1:11" x14ac:dyDescent="0.25">
      <c r="A2218">
        <v>2025</v>
      </c>
      <c r="C2218" s="9" t="s">
        <v>2184</v>
      </c>
      <c r="D2218" s="9" t="s">
        <v>523</v>
      </c>
      <c r="F2218" s="6">
        <v>70</v>
      </c>
      <c r="G2218" s="6">
        <f t="shared" si="114"/>
        <v>70</v>
      </c>
      <c r="H2218" s="6">
        <v>70</v>
      </c>
      <c r="I2218" s="26">
        <f t="shared" si="116"/>
        <v>0</v>
      </c>
      <c r="J2218" s="7" t="str">
        <f t="shared" si="115"/>
        <v>PAGADO</v>
      </c>
    </row>
    <row r="2219" spans="1:11" x14ac:dyDescent="0.25">
      <c r="A2219">
        <v>2025</v>
      </c>
      <c r="C2219" s="9" t="s">
        <v>2185</v>
      </c>
      <c r="D2219" s="9" t="s">
        <v>2180</v>
      </c>
      <c r="F2219" s="6">
        <v>55</v>
      </c>
      <c r="G2219" s="6">
        <f t="shared" si="114"/>
        <v>55</v>
      </c>
      <c r="H2219" s="6">
        <v>55</v>
      </c>
      <c r="I2219" s="26">
        <f t="shared" si="116"/>
        <v>0</v>
      </c>
      <c r="J2219" s="7" t="str">
        <f t="shared" si="115"/>
        <v>PAGADO</v>
      </c>
    </row>
    <row r="2220" spans="1:11" x14ac:dyDescent="0.25">
      <c r="A2220">
        <v>2025</v>
      </c>
      <c r="C2220" s="9" t="s">
        <v>2186</v>
      </c>
      <c r="D2220" s="9" t="s">
        <v>39</v>
      </c>
      <c r="F2220" s="6">
        <v>120</v>
      </c>
      <c r="G2220" s="6">
        <f t="shared" si="114"/>
        <v>120</v>
      </c>
      <c r="H2220" s="6">
        <f>60+60</f>
        <v>120</v>
      </c>
      <c r="I2220" s="26">
        <f t="shared" si="116"/>
        <v>0</v>
      </c>
      <c r="J2220" s="7" t="str">
        <f t="shared" si="115"/>
        <v>PAGADO</v>
      </c>
    </row>
    <row r="2221" spans="1:11" x14ac:dyDescent="0.25">
      <c r="A2221">
        <v>2025</v>
      </c>
      <c r="C2221" s="9" t="s">
        <v>2187</v>
      </c>
      <c r="D2221" s="9" t="s">
        <v>597</v>
      </c>
      <c r="F2221" s="6">
        <v>80</v>
      </c>
      <c r="G2221" s="6">
        <f t="shared" si="114"/>
        <v>80</v>
      </c>
      <c r="H2221" s="6">
        <v>80</v>
      </c>
      <c r="I2221" s="26">
        <f t="shared" si="116"/>
        <v>0</v>
      </c>
      <c r="J2221" s="7" t="str">
        <f t="shared" si="115"/>
        <v>PAGADO</v>
      </c>
    </row>
    <row r="2222" spans="1:11" x14ac:dyDescent="0.25">
      <c r="A2222">
        <v>2025</v>
      </c>
      <c r="C2222" s="9" t="s">
        <v>1512</v>
      </c>
      <c r="D2222" s="9" t="s">
        <v>18</v>
      </c>
      <c r="F2222" s="6">
        <v>360</v>
      </c>
      <c r="G2222" s="6">
        <f t="shared" si="114"/>
        <v>360</v>
      </c>
      <c r="H2222" s="6">
        <f>60+50+50+50+50+100</f>
        <v>360</v>
      </c>
      <c r="I2222" s="26">
        <f t="shared" si="116"/>
        <v>0</v>
      </c>
      <c r="J2222" s="7" t="str">
        <f t="shared" si="115"/>
        <v>PAGADO</v>
      </c>
    </row>
    <row r="2223" spans="1:11" x14ac:dyDescent="0.25">
      <c r="A2223">
        <v>2025</v>
      </c>
      <c r="C2223" s="9" t="s">
        <v>2188</v>
      </c>
      <c r="D2223" s="9" t="s">
        <v>1247</v>
      </c>
      <c r="F2223" s="6">
        <v>280</v>
      </c>
      <c r="G2223" s="6">
        <f t="shared" si="114"/>
        <v>280</v>
      </c>
      <c r="H2223" s="6">
        <v>280</v>
      </c>
      <c r="I2223" s="26">
        <f t="shared" si="116"/>
        <v>0</v>
      </c>
      <c r="J2223" s="7" t="str">
        <f t="shared" si="115"/>
        <v>PAGADO</v>
      </c>
    </row>
    <row r="2224" spans="1:11" x14ac:dyDescent="0.25">
      <c r="A2224">
        <v>2025</v>
      </c>
      <c r="C2224" s="9" t="s">
        <v>1819</v>
      </c>
      <c r="D2224" s="9" t="s">
        <v>1466</v>
      </c>
      <c r="F2224" s="6">
        <v>70</v>
      </c>
      <c r="G2224" s="6">
        <f t="shared" si="114"/>
        <v>70</v>
      </c>
      <c r="H2224" s="6">
        <f>35+35</f>
        <v>70</v>
      </c>
      <c r="I2224" s="26">
        <f t="shared" si="116"/>
        <v>0</v>
      </c>
      <c r="J2224" s="7" t="str">
        <f t="shared" si="115"/>
        <v>PAGADO</v>
      </c>
      <c r="K2224" s="9"/>
    </row>
    <row r="2225" spans="1:10" x14ac:dyDescent="0.25">
      <c r="A2225">
        <v>2025</v>
      </c>
      <c r="C2225" s="9" t="s">
        <v>2189</v>
      </c>
      <c r="D2225" s="9" t="s">
        <v>816</v>
      </c>
      <c r="F2225" s="6">
        <v>70</v>
      </c>
      <c r="G2225" s="6">
        <f t="shared" si="114"/>
        <v>70</v>
      </c>
      <c r="H2225" s="6">
        <v>70</v>
      </c>
      <c r="I2225" s="26">
        <f t="shared" si="116"/>
        <v>0</v>
      </c>
      <c r="J2225" s="7" t="str">
        <f t="shared" si="115"/>
        <v>PAGADO</v>
      </c>
    </row>
    <row r="2226" spans="1:10" x14ac:dyDescent="0.25">
      <c r="A2226">
        <v>2025</v>
      </c>
      <c r="C2226" s="9" t="s">
        <v>2190</v>
      </c>
      <c r="D2226" s="9" t="s">
        <v>816</v>
      </c>
      <c r="F2226" s="6">
        <v>80</v>
      </c>
      <c r="G2226" s="6">
        <f t="shared" si="114"/>
        <v>80</v>
      </c>
      <c r="H2226" s="6">
        <v>80</v>
      </c>
      <c r="I2226" s="26">
        <f t="shared" si="116"/>
        <v>0</v>
      </c>
      <c r="J2226" s="7" t="str">
        <f t="shared" si="115"/>
        <v>PAGADO</v>
      </c>
    </row>
    <row r="2227" spans="1:10" x14ac:dyDescent="0.25">
      <c r="A2227">
        <v>2025</v>
      </c>
      <c r="C2227" s="9" t="s">
        <v>2191</v>
      </c>
      <c r="D2227" s="9" t="s">
        <v>1679</v>
      </c>
      <c r="F2227" s="6">
        <v>25</v>
      </c>
      <c r="G2227" s="6">
        <f t="shared" si="114"/>
        <v>25</v>
      </c>
      <c r="H2227" s="6">
        <v>25</v>
      </c>
      <c r="I2227" s="26">
        <f t="shared" si="116"/>
        <v>0</v>
      </c>
      <c r="J2227" s="7" t="str">
        <f t="shared" si="115"/>
        <v>PAGADO</v>
      </c>
    </row>
    <row r="2228" spans="1:10" x14ac:dyDescent="0.25">
      <c r="A2228">
        <v>2025</v>
      </c>
      <c r="C2228" s="9" t="s">
        <v>2192</v>
      </c>
      <c r="D2228" s="9" t="s">
        <v>1679</v>
      </c>
      <c r="F2228" s="6">
        <v>200</v>
      </c>
      <c r="G2228" s="6">
        <f t="shared" si="114"/>
        <v>200</v>
      </c>
      <c r="H2228" s="6">
        <v>200</v>
      </c>
      <c r="I2228" s="26">
        <f t="shared" si="116"/>
        <v>0</v>
      </c>
      <c r="J2228" s="7" t="str">
        <f t="shared" si="115"/>
        <v>PAGADO</v>
      </c>
    </row>
    <row r="2229" spans="1:10" x14ac:dyDescent="0.25">
      <c r="A2229">
        <v>2025</v>
      </c>
      <c r="C2229" s="9" t="s">
        <v>2193</v>
      </c>
      <c r="D2229" s="9" t="s">
        <v>1679</v>
      </c>
      <c r="F2229" s="6">
        <v>210</v>
      </c>
      <c r="G2229" s="6">
        <f t="shared" si="114"/>
        <v>210</v>
      </c>
      <c r="H2229" s="6">
        <v>210</v>
      </c>
      <c r="I2229" s="26">
        <f t="shared" si="116"/>
        <v>0</v>
      </c>
      <c r="J2229" s="7" t="str">
        <f t="shared" si="115"/>
        <v>PAGADO</v>
      </c>
    </row>
    <row r="2230" spans="1:10" x14ac:dyDescent="0.25">
      <c r="A2230">
        <v>2025</v>
      </c>
      <c r="C2230" s="9" t="s">
        <v>2194</v>
      </c>
      <c r="D2230" s="9" t="s">
        <v>1679</v>
      </c>
      <c r="F2230" s="6">
        <v>290</v>
      </c>
      <c r="G2230" s="6">
        <f t="shared" si="114"/>
        <v>290</v>
      </c>
      <c r="H2230" s="6">
        <v>290</v>
      </c>
      <c r="I2230" s="26">
        <f t="shared" si="116"/>
        <v>0</v>
      </c>
      <c r="J2230" s="7" t="str">
        <f t="shared" si="115"/>
        <v>PAGADO</v>
      </c>
    </row>
    <row r="2231" spans="1:10" x14ac:dyDescent="0.25">
      <c r="A2231">
        <v>2025</v>
      </c>
      <c r="C2231" s="9" t="s">
        <v>2007</v>
      </c>
      <c r="D2231" t="s">
        <v>1606</v>
      </c>
      <c r="F2231" s="6">
        <v>200</v>
      </c>
      <c r="G2231" s="6">
        <f t="shared" si="114"/>
        <v>200</v>
      </c>
      <c r="H2231" s="6">
        <v>200</v>
      </c>
      <c r="I2231" s="6">
        <f t="shared" si="116"/>
        <v>0</v>
      </c>
      <c r="J2231" s="7" t="str">
        <f t="shared" si="115"/>
        <v>PAGADO</v>
      </c>
    </row>
    <row r="2232" spans="1:10" x14ac:dyDescent="0.25">
      <c r="A2232">
        <v>2025</v>
      </c>
      <c r="C2232" s="9" t="s">
        <v>2195</v>
      </c>
      <c r="D2232" t="s">
        <v>1606</v>
      </c>
      <c r="F2232" s="6">
        <v>100</v>
      </c>
      <c r="G2232" s="6">
        <f t="shared" si="114"/>
        <v>100</v>
      </c>
      <c r="H2232" s="6">
        <v>100</v>
      </c>
      <c r="I2232" s="6">
        <f t="shared" si="116"/>
        <v>0</v>
      </c>
      <c r="J2232" s="7" t="str">
        <f t="shared" si="115"/>
        <v>PAGADO</v>
      </c>
    </row>
    <row r="2233" spans="1:10" x14ac:dyDescent="0.25">
      <c r="A2233">
        <v>2025</v>
      </c>
      <c r="C2233" s="9" t="s">
        <v>2196</v>
      </c>
      <c r="D2233" s="9" t="s">
        <v>1476</v>
      </c>
      <c r="F2233" s="6">
        <v>90</v>
      </c>
      <c r="G2233" s="6">
        <f t="shared" si="114"/>
        <v>90</v>
      </c>
      <c r="H2233" s="6">
        <v>90</v>
      </c>
      <c r="I2233" s="26">
        <f t="shared" si="116"/>
        <v>0</v>
      </c>
      <c r="J2233" s="7" t="str">
        <f t="shared" si="115"/>
        <v>PAGADO</v>
      </c>
    </row>
    <row r="2234" spans="1:10" x14ac:dyDescent="0.25">
      <c r="A2234">
        <v>2025</v>
      </c>
      <c r="C2234" s="9" t="s">
        <v>2197</v>
      </c>
      <c r="D2234" s="9" t="s">
        <v>1476</v>
      </c>
      <c r="F2234" s="6">
        <v>90</v>
      </c>
      <c r="G2234" s="6">
        <f t="shared" si="114"/>
        <v>90</v>
      </c>
      <c r="H2234" s="6">
        <v>90</v>
      </c>
      <c r="I2234" s="26">
        <f t="shared" si="116"/>
        <v>0</v>
      </c>
      <c r="J2234" s="7" t="str">
        <f t="shared" si="115"/>
        <v>PAGADO</v>
      </c>
    </row>
    <row r="2235" spans="1:10" x14ac:dyDescent="0.25">
      <c r="A2235">
        <v>2025</v>
      </c>
      <c r="C2235" s="9" t="s">
        <v>2198</v>
      </c>
      <c r="D2235" s="9" t="s">
        <v>1476</v>
      </c>
      <c r="F2235" s="6">
        <v>90</v>
      </c>
      <c r="G2235" s="6">
        <f t="shared" si="114"/>
        <v>90</v>
      </c>
      <c r="H2235" s="6">
        <v>90</v>
      </c>
      <c r="I2235" s="26">
        <f t="shared" si="116"/>
        <v>0</v>
      </c>
      <c r="J2235" s="7" t="str">
        <f t="shared" si="115"/>
        <v>PAGADO</v>
      </c>
    </row>
    <row r="2236" spans="1:10" x14ac:dyDescent="0.25">
      <c r="A2236">
        <v>2025</v>
      </c>
      <c r="C2236" s="9" t="s">
        <v>2199</v>
      </c>
      <c r="D2236" s="9" t="s">
        <v>1476</v>
      </c>
      <c r="F2236" s="6">
        <v>70</v>
      </c>
      <c r="G2236" s="6">
        <f t="shared" si="114"/>
        <v>70</v>
      </c>
      <c r="H2236" s="6">
        <v>70</v>
      </c>
      <c r="I2236" s="26">
        <f t="shared" si="116"/>
        <v>0</v>
      </c>
      <c r="J2236" s="7" t="str">
        <f t="shared" si="115"/>
        <v>PAGADO</v>
      </c>
    </row>
    <row r="2237" spans="1:10" x14ac:dyDescent="0.25">
      <c r="A2237">
        <v>2025</v>
      </c>
      <c r="C2237" s="9" t="s">
        <v>2200</v>
      </c>
      <c r="D2237" s="9" t="s">
        <v>1476</v>
      </c>
      <c r="F2237" s="6">
        <v>70</v>
      </c>
      <c r="G2237" s="6">
        <f t="shared" si="114"/>
        <v>70</v>
      </c>
      <c r="H2237" s="6">
        <v>70</v>
      </c>
      <c r="I2237" s="26">
        <f t="shared" si="116"/>
        <v>0</v>
      </c>
      <c r="J2237" s="7" t="str">
        <f t="shared" si="115"/>
        <v>PAGADO</v>
      </c>
    </row>
    <row r="2238" spans="1:10" x14ac:dyDescent="0.25">
      <c r="A2238">
        <v>2025</v>
      </c>
      <c r="C2238" s="9" t="s">
        <v>2201</v>
      </c>
      <c r="D2238" s="9" t="s">
        <v>1476</v>
      </c>
      <c r="F2238" s="6">
        <v>70</v>
      </c>
      <c r="G2238" s="6">
        <f t="shared" ref="G2238:G2301" si="117">F2238-E2238</f>
        <v>70</v>
      </c>
      <c r="H2238" s="6">
        <v>70</v>
      </c>
      <c r="I2238" s="26">
        <f t="shared" si="116"/>
        <v>0</v>
      </c>
      <c r="J2238" s="7" t="str">
        <f t="shared" si="115"/>
        <v>PAGADO</v>
      </c>
    </row>
    <row r="2239" spans="1:10" x14ac:dyDescent="0.25">
      <c r="A2239">
        <v>2025</v>
      </c>
      <c r="C2239" s="9" t="s">
        <v>2202</v>
      </c>
      <c r="D2239" s="9" t="s">
        <v>1425</v>
      </c>
      <c r="F2239" s="6">
        <v>220</v>
      </c>
      <c r="G2239" s="6">
        <f t="shared" si="117"/>
        <v>220</v>
      </c>
      <c r="H2239" s="6">
        <f>110+110</f>
        <v>220</v>
      </c>
      <c r="I2239" s="26">
        <f t="shared" si="116"/>
        <v>0</v>
      </c>
      <c r="J2239" s="7" t="str">
        <f t="shared" si="115"/>
        <v>PAGADO</v>
      </c>
    </row>
    <row r="2240" spans="1:10" x14ac:dyDescent="0.25">
      <c r="A2240">
        <v>2025</v>
      </c>
      <c r="C2240" s="9" t="s">
        <v>2203</v>
      </c>
      <c r="D2240" s="9" t="s">
        <v>33</v>
      </c>
      <c r="F2240" s="6">
        <v>120</v>
      </c>
      <c r="G2240" s="6">
        <f t="shared" si="117"/>
        <v>120</v>
      </c>
      <c r="H2240" s="6">
        <v>120</v>
      </c>
      <c r="I2240" s="6">
        <f t="shared" si="116"/>
        <v>0</v>
      </c>
      <c r="J2240" s="7" t="str">
        <f t="shared" si="115"/>
        <v>PAGADO</v>
      </c>
    </row>
    <row r="2241" spans="1:10" x14ac:dyDescent="0.25">
      <c r="A2241">
        <v>2025</v>
      </c>
      <c r="C2241" s="9" t="s">
        <v>2050</v>
      </c>
      <c r="D2241" s="9" t="s">
        <v>1535</v>
      </c>
      <c r="F2241" s="6">
        <v>280</v>
      </c>
      <c r="G2241" s="6">
        <f t="shared" si="117"/>
        <v>280</v>
      </c>
      <c r="H2241" s="6">
        <f>140+140</f>
        <v>280</v>
      </c>
      <c r="I2241" s="26">
        <f t="shared" si="116"/>
        <v>0</v>
      </c>
      <c r="J2241" s="7" t="str">
        <f t="shared" si="115"/>
        <v>PAGADO</v>
      </c>
    </row>
    <row r="2242" spans="1:10" x14ac:dyDescent="0.25">
      <c r="A2242">
        <v>2025</v>
      </c>
      <c r="C2242" s="9" t="s">
        <v>2204</v>
      </c>
      <c r="D2242" s="9" t="s">
        <v>1523</v>
      </c>
      <c r="F2242" s="6">
        <v>250</v>
      </c>
      <c r="G2242" s="6">
        <f t="shared" si="117"/>
        <v>250</v>
      </c>
      <c r="H2242" s="6">
        <f>50+200</f>
        <v>250</v>
      </c>
      <c r="I2242" s="6">
        <f t="shared" si="116"/>
        <v>0</v>
      </c>
      <c r="J2242" s="7" t="str">
        <f t="shared" si="115"/>
        <v>PAGADO</v>
      </c>
    </row>
    <row r="2243" spans="1:10" x14ac:dyDescent="0.25">
      <c r="A2243">
        <v>2025</v>
      </c>
      <c r="C2243" s="9" t="s">
        <v>2053</v>
      </c>
      <c r="D2243" s="9" t="s">
        <v>1523</v>
      </c>
      <c r="F2243" s="6">
        <v>250</v>
      </c>
      <c r="G2243" s="6">
        <f t="shared" si="117"/>
        <v>250</v>
      </c>
      <c r="H2243" s="6">
        <f>50+200</f>
        <v>250</v>
      </c>
      <c r="I2243" s="6">
        <f t="shared" si="116"/>
        <v>0</v>
      </c>
      <c r="J2243" s="7" t="str">
        <f t="shared" si="115"/>
        <v>PAGADO</v>
      </c>
    </row>
    <row r="2244" spans="1:10" x14ac:dyDescent="0.25">
      <c r="A2244">
        <v>2025</v>
      </c>
      <c r="C2244" s="9" t="s">
        <v>2205</v>
      </c>
      <c r="D2244" s="9" t="s">
        <v>941</v>
      </c>
      <c r="F2244" s="6">
        <v>15</v>
      </c>
      <c r="G2244" s="6">
        <f t="shared" si="117"/>
        <v>15</v>
      </c>
      <c r="H2244" s="6">
        <v>15</v>
      </c>
      <c r="I2244" s="26">
        <f t="shared" si="116"/>
        <v>0</v>
      </c>
      <c r="J2244" s="7" t="str">
        <f t="shared" si="115"/>
        <v>PAGADO</v>
      </c>
    </row>
    <row r="2245" spans="1:10" x14ac:dyDescent="0.25">
      <c r="A2245">
        <v>2025</v>
      </c>
      <c r="C2245" s="9" t="s">
        <v>2206</v>
      </c>
      <c r="D2245" t="s">
        <v>1399</v>
      </c>
      <c r="F2245" s="6">
        <v>120</v>
      </c>
      <c r="G2245" s="6">
        <f t="shared" si="117"/>
        <v>120</v>
      </c>
      <c r="H2245" s="6">
        <v>120</v>
      </c>
      <c r="I2245" s="26">
        <f t="shared" si="116"/>
        <v>0</v>
      </c>
      <c r="J2245" s="7" t="str">
        <f t="shared" si="115"/>
        <v>PAGADO</v>
      </c>
    </row>
    <row r="2246" spans="1:10" x14ac:dyDescent="0.25">
      <c r="A2246">
        <v>2025</v>
      </c>
      <c r="C2246" t="s">
        <v>2207</v>
      </c>
      <c r="D2246" s="9" t="s">
        <v>2180</v>
      </c>
      <c r="F2246" s="6">
        <v>55</v>
      </c>
      <c r="G2246" s="6">
        <f t="shared" si="117"/>
        <v>55</v>
      </c>
      <c r="H2246" s="6">
        <v>55</v>
      </c>
      <c r="I2246" s="26">
        <f t="shared" si="116"/>
        <v>0</v>
      </c>
      <c r="J2246" s="7" t="str">
        <f t="shared" si="115"/>
        <v>PAGADO</v>
      </c>
    </row>
    <row r="2247" spans="1:10" x14ac:dyDescent="0.25">
      <c r="A2247">
        <v>2025</v>
      </c>
      <c r="C2247" t="s">
        <v>2208</v>
      </c>
      <c r="D2247" s="9" t="s">
        <v>2209</v>
      </c>
      <c r="F2247" s="6">
        <v>140</v>
      </c>
      <c r="G2247" s="6">
        <f t="shared" si="117"/>
        <v>140</v>
      </c>
      <c r="H2247" s="6">
        <v>140</v>
      </c>
      <c r="I2247" s="26">
        <f t="shared" si="116"/>
        <v>0</v>
      </c>
      <c r="J2247" s="7" t="str">
        <f t="shared" si="115"/>
        <v>PAGADO</v>
      </c>
    </row>
    <row r="2248" spans="1:10" x14ac:dyDescent="0.25">
      <c r="A2248">
        <v>2025</v>
      </c>
      <c r="C2248" t="s">
        <v>2210</v>
      </c>
      <c r="D2248" s="9" t="s">
        <v>2209</v>
      </c>
      <c r="F2248" s="6">
        <v>160</v>
      </c>
      <c r="G2248" s="6">
        <f t="shared" si="117"/>
        <v>160</v>
      </c>
      <c r="H2248" s="6">
        <v>160</v>
      </c>
      <c r="I2248" s="26">
        <f t="shared" si="116"/>
        <v>0</v>
      </c>
      <c r="J2248" s="7" t="str">
        <f t="shared" si="115"/>
        <v>PAGADO</v>
      </c>
    </row>
    <row r="2249" spans="1:10" x14ac:dyDescent="0.25">
      <c r="A2249">
        <v>2025</v>
      </c>
      <c r="C2249" t="s">
        <v>2211</v>
      </c>
      <c r="D2249" s="9" t="s">
        <v>2209</v>
      </c>
      <c r="F2249" s="6">
        <v>60</v>
      </c>
      <c r="G2249" s="6">
        <f t="shared" si="117"/>
        <v>60</v>
      </c>
      <c r="H2249" s="6">
        <v>60</v>
      </c>
      <c r="I2249" s="26">
        <f t="shared" si="116"/>
        <v>0</v>
      </c>
      <c r="J2249" s="7" t="str">
        <f t="shared" si="115"/>
        <v>PAGADO</v>
      </c>
    </row>
    <row r="2250" spans="1:10" x14ac:dyDescent="0.25">
      <c r="A2250">
        <v>2025</v>
      </c>
      <c r="C2250" t="s">
        <v>2212</v>
      </c>
      <c r="D2250" s="9" t="s">
        <v>2213</v>
      </c>
      <c r="F2250" s="6">
        <v>190</v>
      </c>
      <c r="G2250" s="6">
        <f t="shared" si="117"/>
        <v>190</v>
      </c>
      <c r="H2250" s="6">
        <v>190</v>
      </c>
      <c r="I2250" s="26">
        <f t="shared" si="116"/>
        <v>0</v>
      </c>
      <c r="J2250" s="7" t="str">
        <f t="shared" si="115"/>
        <v>PAGADO</v>
      </c>
    </row>
    <row r="2251" spans="1:10" x14ac:dyDescent="0.25">
      <c r="A2251">
        <v>2025</v>
      </c>
      <c r="C2251" t="s">
        <v>1699</v>
      </c>
      <c r="D2251" s="9" t="s">
        <v>2213</v>
      </c>
      <c r="F2251" s="6">
        <v>110</v>
      </c>
      <c r="G2251" s="6">
        <f t="shared" si="117"/>
        <v>110</v>
      </c>
      <c r="H2251" s="6">
        <v>110</v>
      </c>
      <c r="I2251" s="26">
        <f t="shared" si="116"/>
        <v>0</v>
      </c>
      <c r="J2251" s="7" t="str">
        <f t="shared" si="115"/>
        <v>PAGADO</v>
      </c>
    </row>
    <row r="2252" spans="1:10" x14ac:dyDescent="0.25">
      <c r="A2252">
        <v>2025</v>
      </c>
      <c r="C2252" t="s">
        <v>2214</v>
      </c>
      <c r="D2252" s="9" t="s">
        <v>2213</v>
      </c>
      <c r="F2252" s="6">
        <v>60</v>
      </c>
      <c r="G2252" s="6">
        <f t="shared" si="117"/>
        <v>60</v>
      </c>
      <c r="H2252" s="6">
        <v>60</v>
      </c>
      <c r="I2252" s="26">
        <f t="shared" si="116"/>
        <v>0</v>
      </c>
      <c r="J2252" s="7" t="str">
        <f t="shared" si="115"/>
        <v>PAGADO</v>
      </c>
    </row>
    <row r="2253" spans="1:10" x14ac:dyDescent="0.25">
      <c r="A2253">
        <v>2025</v>
      </c>
      <c r="C2253" s="9" t="s">
        <v>2215</v>
      </c>
      <c r="D2253" s="9" t="s">
        <v>1679</v>
      </c>
      <c r="F2253" s="6">
        <v>150</v>
      </c>
      <c r="G2253" s="6">
        <f t="shared" si="117"/>
        <v>150</v>
      </c>
      <c r="H2253" s="6">
        <v>150</v>
      </c>
      <c r="I2253" s="26">
        <f t="shared" si="116"/>
        <v>0</v>
      </c>
      <c r="J2253" s="7" t="str">
        <f t="shared" ref="J2253:J2316" si="118">IF(I2253&gt;0,"DEBE","PAGADO")</f>
        <v>PAGADO</v>
      </c>
    </row>
    <row r="2254" spans="1:10" x14ac:dyDescent="0.25">
      <c r="A2254">
        <v>2025</v>
      </c>
      <c r="C2254" s="9" t="s">
        <v>2216</v>
      </c>
      <c r="D2254" s="9" t="s">
        <v>807</v>
      </c>
      <c r="F2254" s="6">
        <v>160</v>
      </c>
      <c r="G2254" s="6">
        <f t="shared" si="117"/>
        <v>160</v>
      </c>
      <c r="H2254" s="6">
        <v>160</v>
      </c>
      <c r="I2254" s="26">
        <f t="shared" si="116"/>
        <v>0</v>
      </c>
      <c r="J2254" s="7" t="str">
        <f t="shared" si="118"/>
        <v>PAGADO</v>
      </c>
    </row>
    <row r="2255" spans="1:10" x14ac:dyDescent="0.25">
      <c r="A2255">
        <v>2025</v>
      </c>
      <c r="C2255" s="9" t="s">
        <v>2217</v>
      </c>
      <c r="D2255" s="9" t="s">
        <v>941</v>
      </c>
      <c r="F2255" s="6">
        <v>190</v>
      </c>
      <c r="G2255" s="6">
        <f t="shared" si="117"/>
        <v>190</v>
      </c>
      <c r="H2255" s="6">
        <f>65+50+75</f>
        <v>190</v>
      </c>
      <c r="I2255" s="26">
        <f t="shared" si="116"/>
        <v>0</v>
      </c>
      <c r="J2255" s="7" t="str">
        <f t="shared" si="118"/>
        <v>PAGADO</v>
      </c>
    </row>
    <row r="2256" spans="1:10" x14ac:dyDescent="0.25">
      <c r="A2256">
        <v>2025</v>
      </c>
      <c r="C2256" s="9" t="s">
        <v>2218</v>
      </c>
      <c r="D2256" s="9" t="s">
        <v>1290</v>
      </c>
      <c r="F2256" s="6">
        <v>35</v>
      </c>
      <c r="G2256" s="6">
        <f t="shared" si="117"/>
        <v>35</v>
      </c>
      <c r="H2256" s="6">
        <v>35</v>
      </c>
      <c r="I2256" s="26">
        <f t="shared" si="116"/>
        <v>0</v>
      </c>
      <c r="J2256" s="7" t="str">
        <f t="shared" si="118"/>
        <v>PAGADO</v>
      </c>
    </row>
    <row r="2257" spans="1:11" x14ac:dyDescent="0.25">
      <c r="A2257">
        <v>2025</v>
      </c>
      <c r="C2257" s="9" t="s">
        <v>2219</v>
      </c>
      <c r="D2257" s="9" t="s">
        <v>74</v>
      </c>
      <c r="F2257" s="6">
        <v>180</v>
      </c>
      <c r="G2257" s="6">
        <f t="shared" si="117"/>
        <v>180</v>
      </c>
      <c r="H2257" s="6">
        <v>50</v>
      </c>
      <c r="I2257" s="26">
        <f t="shared" si="116"/>
        <v>130</v>
      </c>
      <c r="J2257" s="7" t="str">
        <f t="shared" si="118"/>
        <v>DEBE</v>
      </c>
    </row>
    <row r="2258" spans="1:11" x14ac:dyDescent="0.25">
      <c r="A2258">
        <v>2025</v>
      </c>
      <c r="C2258" s="9" t="s">
        <v>2220</v>
      </c>
      <c r="D2258" s="9" t="s">
        <v>705</v>
      </c>
      <c r="F2258" s="6">
        <v>90</v>
      </c>
      <c r="G2258" s="6">
        <f t="shared" si="117"/>
        <v>90</v>
      </c>
      <c r="H2258" s="6">
        <f>45+45</f>
        <v>90</v>
      </c>
      <c r="I2258" s="26">
        <f t="shared" si="116"/>
        <v>0</v>
      </c>
      <c r="J2258" s="7" t="str">
        <f t="shared" si="118"/>
        <v>PAGADO</v>
      </c>
    </row>
    <row r="2259" spans="1:11" x14ac:dyDescent="0.25">
      <c r="A2259">
        <v>2025</v>
      </c>
      <c r="C2259" s="9" t="s">
        <v>2221</v>
      </c>
      <c r="D2259" s="9" t="s">
        <v>705</v>
      </c>
      <c r="F2259" s="6">
        <v>90</v>
      </c>
      <c r="G2259" s="6">
        <f t="shared" si="117"/>
        <v>90</v>
      </c>
      <c r="H2259" s="6">
        <f>45+45</f>
        <v>90</v>
      </c>
      <c r="I2259" s="26">
        <f t="shared" si="116"/>
        <v>0</v>
      </c>
      <c r="J2259" s="7" t="str">
        <f t="shared" si="118"/>
        <v>PAGADO</v>
      </c>
    </row>
    <row r="2260" spans="1:11" x14ac:dyDescent="0.25">
      <c r="A2260">
        <v>2025</v>
      </c>
      <c r="C2260" s="9" t="s">
        <v>2222</v>
      </c>
      <c r="D2260" s="9" t="s">
        <v>2223</v>
      </c>
      <c r="F2260" s="6">
        <v>35</v>
      </c>
      <c r="G2260" s="6">
        <f t="shared" si="117"/>
        <v>35</v>
      </c>
      <c r="H2260" s="6">
        <v>35</v>
      </c>
      <c r="I2260" s="26">
        <f t="shared" si="116"/>
        <v>0</v>
      </c>
      <c r="J2260" s="7" t="str">
        <f t="shared" si="118"/>
        <v>PAGADO</v>
      </c>
    </row>
    <row r="2261" spans="1:11" x14ac:dyDescent="0.25">
      <c r="A2261">
        <v>2025</v>
      </c>
      <c r="C2261" s="9" t="s">
        <v>2224</v>
      </c>
      <c r="D2261" s="9" t="s">
        <v>2045</v>
      </c>
      <c r="F2261" s="6">
        <v>70</v>
      </c>
      <c r="G2261" s="6">
        <f t="shared" si="117"/>
        <v>70</v>
      </c>
      <c r="H2261" s="6">
        <f>35+35</f>
        <v>70</v>
      </c>
      <c r="I2261" s="26">
        <f t="shared" si="116"/>
        <v>0</v>
      </c>
      <c r="J2261" s="7" t="str">
        <f t="shared" si="118"/>
        <v>PAGADO</v>
      </c>
    </row>
    <row r="2262" spans="1:11" x14ac:dyDescent="0.25">
      <c r="A2262">
        <v>2025</v>
      </c>
      <c r="C2262" s="9" t="s">
        <v>2225</v>
      </c>
      <c r="D2262" s="9" t="s">
        <v>2045</v>
      </c>
      <c r="F2262" s="6">
        <v>120</v>
      </c>
      <c r="G2262" s="6">
        <f t="shared" si="117"/>
        <v>120</v>
      </c>
      <c r="H2262" s="6">
        <v>120</v>
      </c>
      <c r="I2262" s="26">
        <f t="shared" si="116"/>
        <v>0</v>
      </c>
      <c r="J2262" s="7" t="str">
        <f t="shared" si="118"/>
        <v>PAGADO</v>
      </c>
    </row>
    <row r="2263" spans="1:11" x14ac:dyDescent="0.25">
      <c r="A2263">
        <v>2025</v>
      </c>
      <c r="C2263" s="9" t="s">
        <v>2226</v>
      </c>
      <c r="D2263" s="9" t="s">
        <v>74</v>
      </c>
      <c r="F2263" s="6">
        <v>190</v>
      </c>
      <c r="G2263" s="6">
        <f t="shared" si="117"/>
        <v>190</v>
      </c>
      <c r="H2263" s="6">
        <v>50</v>
      </c>
      <c r="I2263" s="26">
        <f t="shared" si="116"/>
        <v>140</v>
      </c>
      <c r="J2263" s="7" t="str">
        <f t="shared" si="118"/>
        <v>DEBE</v>
      </c>
    </row>
    <row r="2264" spans="1:11" x14ac:dyDescent="0.25">
      <c r="A2264">
        <v>2025</v>
      </c>
      <c r="C2264" s="9" t="s">
        <v>1297</v>
      </c>
      <c r="D2264" s="9" t="s">
        <v>816</v>
      </c>
      <c r="F2264" s="6">
        <v>50</v>
      </c>
      <c r="G2264" s="6">
        <f t="shared" si="117"/>
        <v>50</v>
      </c>
      <c r="H2264" s="6">
        <v>50</v>
      </c>
      <c r="I2264" s="26">
        <f t="shared" si="116"/>
        <v>0</v>
      </c>
      <c r="J2264" s="7" t="str">
        <f t="shared" si="118"/>
        <v>PAGADO</v>
      </c>
    </row>
    <row r="2265" spans="1:11" x14ac:dyDescent="0.25">
      <c r="A2265">
        <v>2025</v>
      </c>
      <c r="C2265" s="9" t="s">
        <v>2227</v>
      </c>
      <c r="D2265" s="9" t="s">
        <v>816</v>
      </c>
      <c r="F2265" s="6">
        <v>290</v>
      </c>
      <c r="G2265" s="6">
        <f t="shared" si="117"/>
        <v>290</v>
      </c>
      <c r="H2265" s="6">
        <v>290</v>
      </c>
      <c r="I2265" s="26">
        <f t="shared" si="116"/>
        <v>0</v>
      </c>
      <c r="J2265" s="7" t="str">
        <f t="shared" si="118"/>
        <v>PAGADO</v>
      </c>
    </row>
    <row r="2266" spans="1:11" x14ac:dyDescent="0.25">
      <c r="A2266">
        <v>2025</v>
      </c>
      <c r="C2266" s="9" t="s">
        <v>2228</v>
      </c>
      <c r="D2266" s="9" t="s">
        <v>1510</v>
      </c>
      <c r="F2266" s="6">
        <v>130</v>
      </c>
      <c r="G2266" s="6">
        <f t="shared" si="117"/>
        <v>130</v>
      </c>
      <c r="H2266" s="6">
        <f>65+65</f>
        <v>130</v>
      </c>
      <c r="I2266" s="26">
        <f t="shared" si="116"/>
        <v>0</v>
      </c>
      <c r="J2266" s="7" t="str">
        <f t="shared" si="118"/>
        <v>PAGADO</v>
      </c>
    </row>
    <row r="2267" spans="1:11" x14ac:dyDescent="0.25">
      <c r="A2267">
        <v>2025</v>
      </c>
      <c r="C2267" s="9" t="s">
        <v>2229</v>
      </c>
      <c r="D2267" s="9" t="s">
        <v>1388</v>
      </c>
      <c r="F2267" s="6">
        <v>280</v>
      </c>
      <c r="G2267" s="6">
        <f t="shared" si="117"/>
        <v>280</v>
      </c>
      <c r="H2267" s="24">
        <f>250+30</f>
        <v>280</v>
      </c>
      <c r="I2267" s="26">
        <f t="shared" si="116"/>
        <v>0</v>
      </c>
      <c r="J2267" s="7" t="str">
        <f t="shared" si="118"/>
        <v>PAGADO</v>
      </c>
      <c r="K2267" s="9"/>
    </row>
    <row r="2268" spans="1:11" x14ac:dyDescent="0.25">
      <c r="A2268">
        <v>2025</v>
      </c>
      <c r="C2268" s="9" t="s">
        <v>2230</v>
      </c>
      <c r="D2268" s="9" t="s">
        <v>1388</v>
      </c>
      <c r="F2268" s="6">
        <v>150</v>
      </c>
      <c r="G2268" s="6">
        <f t="shared" si="117"/>
        <v>150</v>
      </c>
      <c r="H2268" s="6">
        <v>150</v>
      </c>
      <c r="I2268" s="26">
        <f t="shared" si="116"/>
        <v>0</v>
      </c>
      <c r="J2268" s="7" t="str">
        <f t="shared" si="118"/>
        <v>PAGADO</v>
      </c>
      <c r="K2268" s="9"/>
    </row>
    <row r="2269" spans="1:11" x14ac:dyDescent="0.25">
      <c r="A2269">
        <v>2025</v>
      </c>
      <c r="C2269" s="9" t="s">
        <v>2231</v>
      </c>
      <c r="D2269" s="9" t="s">
        <v>1388</v>
      </c>
      <c r="F2269" s="6">
        <v>250</v>
      </c>
      <c r="G2269" s="6">
        <f t="shared" si="117"/>
        <v>250</v>
      </c>
      <c r="H2269" s="24">
        <v>250</v>
      </c>
      <c r="I2269" s="26">
        <f t="shared" si="116"/>
        <v>0</v>
      </c>
      <c r="J2269" s="7" t="str">
        <f t="shared" si="118"/>
        <v>PAGADO</v>
      </c>
      <c r="K2269" s="9"/>
    </row>
    <row r="2270" spans="1:11" x14ac:dyDescent="0.25">
      <c r="A2270">
        <v>2025</v>
      </c>
      <c r="C2270" s="9" t="s">
        <v>2232</v>
      </c>
      <c r="D2270" s="9" t="s">
        <v>1736</v>
      </c>
      <c r="F2270" s="6">
        <v>30</v>
      </c>
      <c r="G2270" s="6">
        <f t="shared" si="117"/>
        <v>30</v>
      </c>
      <c r="H2270" s="6">
        <v>30</v>
      </c>
      <c r="I2270" s="26">
        <f t="shared" si="116"/>
        <v>0</v>
      </c>
      <c r="J2270" s="7" t="str">
        <f t="shared" si="118"/>
        <v>PAGADO</v>
      </c>
      <c r="K2270" s="9"/>
    </row>
    <row r="2271" spans="1:11" x14ac:dyDescent="0.25">
      <c r="A2271">
        <v>2025</v>
      </c>
      <c r="C2271" s="9" t="s">
        <v>2232</v>
      </c>
      <c r="D2271" s="9" t="s">
        <v>1736</v>
      </c>
      <c r="F2271" s="6">
        <v>80</v>
      </c>
      <c r="G2271" s="6">
        <f t="shared" si="117"/>
        <v>80</v>
      </c>
      <c r="H2271" s="6">
        <v>80</v>
      </c>
      <c r="I2271" s="26">
        <f t="shared" si="116"/>
        <v>0</v>
      </c>
      <c r="J2271" s="7" t="str">
        <f t="shared" si="118"/>
        <v>PAGADO</v>
      </c>
      <c r="K2271" s="9"/>
    </row>
    <row r="2272" spans="1:11" x14ac:dyDescent="0.25">
      <c r="A2272">
        <v>2025</v>
      </c>
      <c r="C2272" s="9" t="s">
        <v>2233</v>
      </c>
      <c r="D2272" s="9" t="s">
        <v>1736</v>
      </c>
      <c r="F2272" s="6">
        <v>20</v>
      </c>
      <c r="G2272" s="6">
        <f t="shared" si="117"/>
        <v>20</v>
      </c>
      <c r="H2272" s="6">
        <v>20</v>
      </c>
      <c r="I2272" s="26">
        <f t="shared" si="116"/>
        <v>0</v>
      </c>
      <c r="J2272" s="7" t="str">
        <f t="shared" si="118"/>
        <v>PAGADO</v>
      </c>
      <c r="K2272" s="9"/>
    </row>
    <row r="2273" spans="1:12" x14ac:dyDescent="0.25">
      <c r="A2273">
        <v>2025</v>
      </c>
      <c r="C2273" s="9" t="s">
        <v>2234</v>
      </c>
      <c r="D2273" s="9" t="s">
        <v>1736</v>
      </c>
      <c r="F2273" s="6">
        <v>60</v>
      </c>
      <c r="G2273" s="6">
        <f t="shared" si="117"/>
        <v>60</v>
      </c>
      <c r="H2273" s="6">
        <v>60</v>
      </c>
      <c r="I2273" s="26">
        <f t="shared" si="116"/>
        <v>0</v>
      </c>
      <c r="J2273" s="7" t="str">
        <f t="shared" si="118"/>
        <v>PAGADO</v>
      </c>
      <c r="K2273" s="9"/>
    </row>
    <row r="2274" spans="1:12" x14ac:dyDescent="0.25">
      <c r="A2274">
        <v>2025</v>
      </c>
      <c r="C2274" s="9" t="s">
        <v>2235</v>
      </c>
      <c r="D2274" s="9" t="s">
        <v>816</v>
      </c>
      <c r="F2274" s="6">
        <v>270</v>
      </c>
      <c r="G2274" s="6">
        <f t="shared" si="117"/>
        <v>270</v>
      </c>
      <c r="H2274" s="6">
        <f>20+240+10</f>
        <v>270</v>
      </c>
      <c r="I2274" s="57">
        <f t="shared" si="116"/>
        <v>0</v>
      </c>
      <c r="J2274" s="7" t="str">
        <f t="shared" si="118"/>
        <v>PAGADO</v>
      </c>
      <c r="K2274" s="9" t="s">
        <v>1823</v>
      </c>
    </row>
    <row r="2275" spans="1:12" x14ac:dyDescent="0.25">
      <c r="A2275">
        <v>2025</v>
      </c>
      <c r="C2275" s="9" t="s">
        <v>2236</v>
      </c>
      <c r="D2275" s="9" t="s">
        <v>816</v>
      </c>
      <c r="F2275" s="6">
        <v>90</v>
      </c>
      <c r="G2275" s="6">
        <f t="shared" si="117"/>
        <v>90</v>
      </c>
      <c r="H2275" s="6">
        <v>90</v>
      </c>
      <c r="I2275" s="57">
        <f t="shared" si="116"/>
        <v>0</v>
      </c>
      <c r="J2275" s="7" t="str">
        <f t="shared" si="118"/>
        <v>PAGADO</v>
      </c>
      <c r="K2275" s="9"/>
    </row>
    <row r="2276" spans="1:12" x14ac:dyDescent="0.25">
      <c r="A2276">
        <v>2025</v>
      </c>
      <c r="C2276" s="9" t="s">
        <v>2224</v>
      </c>
      <c r="D2276" t="s">
        <v>1388</v>
      </c>
      <c r="F2276" s="6">
        <v>70</v>
      </c>
      <c r="G2276" s="6">
        <f t="shared" si="117"/>
        <v>70</v>
      </c>
      <c r="H2276" s="6">
        <v>70</v>
      </c>
      <c r="I2276" s="26">
        <f t="shared" si="116"/>
        <v>0</v>
      </c>
      <c r="J2276" s="7" t="str">
        <f t="shared" si="118"/>
        <v>PAGADO</v>
      </c>
    </row>
    <row r="2277" spans="1:12" x14ac:dyDescent="0.25">
      <c r="A2277">
        <v>2025</v>
      </c>
      <c r="C2277" s="9" t="s">
        <v>2237</v>
      </c>
      <c r="D2277" t="s">
        <v>2238</v>
      </c>
      <c r="F2277" s="6">
        <v>95</v>
      </c>
      <c r="G2277" s="6">
        <f t="shared" si="117"/>
        <v>95</v>
      </c>
      <c r="H2277" s="6">
        <v>95</v>
      </c>
      <c r="I2277" s="26">
        <f t="shared" si="116"/>
        <v>0</v>
      </c>
      <c r="J2277" s="7" t="str">
        <f t="shared" si="118"/>
        <v>PAGADO</v>
      </c>
    </row>
    <row r="2278" spans="1:12" x14ac:dyDescent="0.25">
      <c r="A2278">
        <v>2025</v>
      </c>
      <c r="C2278" s="9" t="s">
        <v>2239</v>
      </c>
      <c r="D2278" s="9" t="s">
        <v>1841</v>
      </c>
      <c r="F2278" s="6">
        <v>50</v>
      </c>
      <c r="G2278" s="6">
        <f t="shared" si="117"/>
        <v>50</v>
      </c>
      <c r="H2278" s="6">
        <v>50</v>
      </c>
      <c r="I2278" s="26">
        <f t="shared" si="116"/>
        <v>0</v>
      </c>
      <c r="J2278" s="7" t="str">
        <f t="shared" si="118"/>
        <v>PAGADO</v>
      </c>
    </row>
    <row r="2279" spans="1:12" x14ac:dyDescent="0.25">
      <c r="A2279">
        <v>2025</v>
      </c>
      <c r="C2279" s="9" t="s">
        <v>2240</v>
      </c>
      <c r="D2279" s="9" t="s">
        <v>2105</v>
      </c>
      <c r="F2279" s="6">
        <v>70</v>
      </c>
      <c r="G2279" s="6">
        <f t="shared" si="117"/>
        <v>70</v>
      </c>
      <c r="H2279" s="6">
        <f>35+35</f>
        <v>70</v>
      </c>
      <c r="I2279" s="26">
        <f t="shared" si="116"/>
        <v>0</v>
      </c>
      <c r="J2279" s="7" t="str">
        <f t="shared" si="118"/>
        <v>PAGADO</v>
      </c>
    </row>
    <row r="2280" spans="1:12" x14ac:dyDescent="0.25">
      <c r="A2280">
        <v>2025</v>
      </c>
      <c r="C2280" s="9" t="s">
        <v>2241</v>
      </c>
      <c r="D2280" s="9" t="s">
        <v>2105</v>
      </c>
      <c r="F2280" s="6">
        <v>100</v>
      </c>
      <c r="G2280" s="6">
        <f t="shared" si="117"/>
        <v>100</v>
      </c>
      <c r="H2280" s="6">
        <f>50+50</f>
        <v>100</v>
      </c>
      <c r="I2280" s="26">
        <f t="shared" si="116"/>
        <v>0</v>
      </c>
      <c r="J2280" s="7" t="str">
        <f t="shared" si="118"/>
        <v>PAGADO</v>
      </c>
    </row>
    <row r="2281" spans="1:12" x14ac:dyDescent="0.25">
      <c r="A2281">
        <v>2025</v>
      </c>
      <c r="C2281" s="9" t="s">
        <v>2242</v>
      </c>
      <c r="D2281" s="9" t="s">
        <v>2105</v>
      </c>
      <c r="F2281" s="6">
        <v>70</v>
      </c>
      <c r="G2281" s="6">
        <f t="shared" si="117"/>
        <v>70</v>
      </c>
      <c r="H2281" s="6">
        <f>35+35</f>
        <v>70</v>
      </c>
      <c r="I2281" s="26">
        <f t="shared" ref="I2281:I2320" si="119">F2281-H2281</f>
        <v>0</v>
      </c>
      <c r="J2281" s="7" t="str">
        <f t="shared" si="118"/>
        <v>PAGADO</v>
      </c>
    </row>
    <row r="2282" spans="1:12" x14ac:dyDescent="0.25">
      <c r="A2282">
        <v>2025</v>
      </c>
      <c r="C2282" s="9" t="s">
        <v>2243</v>
      </c>
      <c r="D2282" s="9" t="s">
        <v>816</v>
      </c>
      <c r="F2282" s="6">
        <v>100</v>
      </c>
      <c r="G2282" s="6">
        <f t="shared" si="117"/>
        <v>100</v>
      </c>
      <c r="H2282" s="6">
        <v>100</v>
      </c>
      <c r="I2282" s="57">
        <f t="shared" si="119"/>
        <v>0</v>
      </c>
      <c r="J2282" s="7" t="str">
        <f t="shared" si="118"/>
        <v>PAGADO</v>
      </c>
    </row>
    <row r="2283" spans="1:12" x14ac:dyDescent="0.25">
      <c r="A2283">
        <v>2025</v>
      </c>
      <c r="C2283" s="9" t="s">
        <v>2244</v>
      </c>
      <c r="D2283" s="9" t="s">
        <v>1055</v>
      </c>
      <c r="F2283" s="6">
        <v>60</v>
      </c>
      <c r="G2283" s="6">
        <f t="shared" si="117"/>
        <v>60</v>
      </c>
      <c r="H2283" s="6">
        <f>10+50</f>
        <v>60</v>
      </c>
      <c r="I2283" s="26">
        <f t="shared" si="119"/>
        <v>0</v>
      </c>
      <c r="J2283" s="7" t="str">
        <f t="shared" si="118"/>
        <v>PAGADO</v>
      </c>
      <c r="K2283" s="33" t="s">
        <v>1823</v>
      </c>
      <c r="L2283" t="s">
        <v>2245</v>
      </c>
    </row>
    <row r="2284" spans="1:12" x14ac:dyDescent="0.25">
      <c r="A2284">
        <v>2025</v>
      </c>
      <c r="C2284" s="9" t="s">
        <v>2246</v>
      </c>
      <c r="D2284" s="9" t="s">
        <v>1055</v>
      </c>
      <c r="F2284" s="6">
        <v>60</v>
      </c>
      <c r="G2284" s="6">
        <f t="shared" si="117"/>
        <v>60</v>
      </c>
      <c r="H2284" s="6">
        <f>50+10</f>
        <v>60</v>
      </c>
      <c r="I2284" s="26">
        <f t="shared" si="119"/>
        <v>0</v>
      </c>
      <c r="J2284" s="7" t="str">
        <f t="shared" si="118"/>
        <v>PAGADO</v>
      </c>
      <c r="K2284" s="33" t="s">
        <v>1823</v>
      </c>
      <c r="L2284" t="s">
        <v>2245</v>
      </c>
    </row>
    <row r="2285" spans="1:12" x14ac:dyDescent="0.25">
      <c r="A2285">
        <v>2025</v>
      </c>
      <c r="C2285" t="s">
        <v>1819</v>
      </c>
      <c r="D2285" s="9" t="s">
        <v>2001</v>
      </c>
      <c r="F2285" s="6">
        <v>65</v>
      </c>
      <c r="G2285" s="6">
        <f t="shared" si="117"/>
        <v>65</v>
      </c>
      <c r="H2285" s="6">
        <v>65</v>
      </c>
      <c r="I2285" s="6">
        <f t="shared" si="119"/>
        <v>0</v>
      </c>
      <c r="J2285" s="7" t="str">
        <f t="shared" si="118"/>
        <v>PAGADO</v>
      </c>
      <c r="K2285" t="s">
        <v>2247</v>
      </c>
    </row>
    <row r="2286" spans="1:12" x14ac:dyDescent="0.25">
      <c r="A2286">
        <v>2025</v>
      </c>
      <c r="C2286" t="s">
        <v>2248</v>
      </c>
      <c r="D2286" s="9" t="s">
        <v>2001</v>
      </c>
      <c r="F2286" s="6">
        <v>65</v>
      </c>
      <c r="G2286" s="6">
        <f t="shared" si="117"/>
        <v>65</v>
      </c>
      <c r="H2286" s="6">
        <v>65</v>
      </c>
      <c r="I2286" s="6">
        <f t="shared" si="119"/>
        <v>0</v>
      </c>
      <c r="J2286" s="7" t="str">
        <f t="shared" si="118"/>
        <v>PAGADO</v>
      </c>
      <c r="K2286" t="s">
        <v>2247</v>
      </c>
    </row>
    <row r="2287" spans="1:12" x14ac:dyDescent="0.25">
      <c r="A2287">
        <v>2025</v>
      </c>
      <c r="C2287" s="9" t="s">
        <v>2249</v>
      </c>
      <c r="D2287" s="9" t="s">
        <v>1501</v>
      </c>
      <c r="F2287" s="6">
        <v>65</v>
      </c>
      <c r="G2287" s="6">
        <f t="shared" si="117"/>
        <v>65</v>
      </c>
      <c r="H2287" s="6">
        <f>40+25</f>
        <v>65</v>
      </c>
      <c r="I2287" s="26">
        <f t="shared" si="119"/>
        <v>0</v>
      </c>
      <c r="J2287" s="7" t="str">
        <f t="shared" si="118"/>
        <v>PAGADO</v>
      </c>
      <c r="K2287" s="9" t="s">
        <v>2250</v>
      </c>
    </row>
    <row r="2288" spans="1:12" x14ac:dyDescent="0.25">
      <c r="A2288">
        <v>2025</v>
      </c>
      <c r="C2288" s="9" t="s">
        <v>1878</v>
      </c>
      <c r="D2288" s="9" t="s">
        <v>661</v>
      </c>
      <c r="F2288" s="6">
        <v>85</v>
      </c>
      <c r="G2288" s="6">
        <f t="shared" si="117"/>
        <v>85</v>
      </c>
      <c r="H2288" s="6">
        <v>85</v>
      </c>
      <c r="I2288" s="26">
        <f t="shared" si="119"/>
        <v>0</v>
      </c>
      <c r="J2288" s="7" t="str">
        <f t="shared" si="118"/>
        <v>PAGADO</v>
      </c>
      <c r="K2288" s="9"/>
    </row>
    <row r="2289" spans="1:11" x14ac:dyDescent="0.25">
      <c r="A2289">
        <v>2025</v>
      </c>
      <c r="C2289" s="9" t="s">
        <v>2251</v>
      </c>
      <c r="D2289" s="9" t="s">
        <v>1606</v>
      </c>
      <c r="F2289" s="6">
        <v>50</v>
      </c>
      <c r="G2289" s="6">
        <f t="shared" si="117"/>
        <v>50</v>
      </c>
      <c r="H2289" s="6">
        <f>35+15</f>
        <v>50</v>
      </c>
      <c r="I2289" s="26">
        <f t="shared" si="119"/>
        <v>0</v>
      </c>
      <c r="J2289" s="7" t="str">
        <f t="shared" si="118"/>
        <v>PAGADO</v>
      </c>
      <c r="K2289" s="9"/>
    </row>
    <row r="2290" spans="1:11" x14ac:dyDescent="0.25">
      <c r="A2290">
        <v>2025</v>
      </c>
      <c r="C2290" s="9" t="s">
        <v>2252</v>
      </c>
      <c r="D2290" s="9" t="s">
        <v>1679</v>
      </c>
      <c r="F2290" s="6">
        <v>60</v>
      </c>
      <c r="G2290" s="6">
        <f t="shared" si="117"/>
        <v>60</v>
      </c>
      <c r="H2290" s="6">
        <v>60</v>
      </c>
      <c r="I2290" s="26">
        <f t="shared" si="119"/>
        <v>0</v>
      </c>
      <c r="J2290" s="7" t="str">
        <f t="shared" si="118"/>
        <v>PAGADO</v>
      </c>
      <c r="K2290" s="9"/>
    </row>
    <row r="2291" spans="1:11" x14ac:dyDescent="0.25">
      <c r="A2291">
        <v>2025</v>
      </c>
      <c r="C2291" s="9" t="s">
        <v>2253</v>
      </c>
      <c r="D2291" t="s">
        <v>2066</v>
      </c>
      <c r="F2291" s="6">
        <v>70</v>
      </c>
      <c r="G2291" s="6">
        <f t="shared" si="117"/>
        <v>70</v>
      </c>
      <c r="H2291" s="6">
        <f>35+35</f>
        <v>70</v>
      </c>
      <c r="I2291" s="26">
        <f t="shared" si="119"/>
        <v>0</v>
      </c>
      <c r="J2291" s="7" t="str">
        <f t="shared" si="118"/>
        <v>PAGADO</v>
      </c>
    </row>
    <row r="2292" spans="1:11" x14ac:dyDescent="0.25">
      <c r="A2292">
        <v>2025</v>
      </c>
      <c r="C2292" s="9" t="s">
        <v>2254</v>
      </c>
      <c r="D2292" t="s">
        <v>2066</v>
      </c>
      <c r="F2292" s="6">
        <v>70</v>
      </c>
      <c r="G2292" s="6">
        <f t="shared" si="117"/>
        <v>70</v>
      </c>
      <c r="H2292" s="6">
        <f>35+35</f>
        <v>70</v>
      </c>
      <c r="I2292" s="26">
        <f t="shared" si="119"/>
        <v>0</v>
      </c>
      <c r="J2292" s="7" t="str">
        <f t="shared" si="118"/>
        <v>PAGADO</v>
      </c>
    </row>
    <row r="2293" spans="1:11" x14ac:dyDescent="0.25">
      <c r="A2293">
        <v>2025</v>
      </c>
      <c r="C2293" s="9" t="s">
        <v>2255</v>
      </c>
      <c r="D2293" s="9" t="s">
        <v>1466</v>
      </c>
      <c r="F2293" s="6">
        <v>80</v>
      </c>
      <c r="G2293" s="6">
        <f t="shared" si="117"/>
        <v>80</v>
      </c>
      <c r="H2293" s="6">
        <f>40+40</f>
        <v>80</v>
      </c>
      <c r="I2293" s="26">
        <f t="shared" si="119"/>
        <v>0</v>
      </c>
      <c r="J2293" s="7" t="str">
        <f t="shared" si="118"/>
        <v>PAGADO</v>
      </c>
      <c r="K2293" s="9" t="s">
        <v>1823</v>
      </c>
    </row>
    <row r="2294" spans="1:11" x14ac:dyDescent="0.25">
      <c r="A2294">
        <v>2025</v>
      </c>
      <c r="C2294" s="9" t="s">
        <v>2256</v>
      </c>
      <c r="D2294" s="9" t="s">
        <v>1466</v>
      </c>
      <c r="F2294" s="6">
        <v>80</v>
      </c>
      <c r="G2294" s="6">
        <f t="shared" si="117"/>
        <v>80</v>
      </c>
      <c r="H2294" s="6">
        <f>40+40</f>
        <v>80</v>
      </c>
      <c r="I2294" s="26">
        <f t="shared" si="119"/>
        <v>0</v>
      </c>
      <c r="J2294" s="7" t="str">
        <f t="shared" si="118"/>
        <v>PAGADO</v>
      </c>
      <c r="K2294" s="9" t="s">
        <v>1823</v>
      </c>
    </row>
    <row r="2295" spans="1:11" x14ac:dyDescent="0.25">
      <c r="A2295">
        <v>2025</v>
      </c>
      <c r="C2295" s="9" t="s">
        <v>2257</v>
      </c>
      <c r="D2295" s="9" t="s">
        <v>1523</v>
      </c>
      <c r="F2295" s="6">
        <v>195</v>
      </c>
      <c r="G2295" s="6">
        <f t="shared" si="117"/>
        <v>195</v>
      </c>
      <c r="H2295" s="6">
        <v>195</v>
      </c>
      <c r="I2295" s="26">
        <f t="shared" si="119"/>
        <v>0</v>
      </c>
      <c r="J2295" s="7" t="str">
        <f t="shared" si="118"/>
        <v>PAGADO</v>
      </c>
      <c r="K2295" s="33" t="s">
        <v>2258</v>
      </c>
    </row>
    <row r="2296" spans="1:11" x14ac:dyDescent="0.25">
      <c r="A2296">
        <v>2025</v>
      </c>
      <c r="C2296" s="9" t="s">
        <v>2259</v>
      </c>
      <c r="D2296" s="9" t="s">
        <v>807</v>
      </c>
      <c r="F2296" s="6">
        <v>130</v>
      </c>
      <c r="G2296" s="6">
        <f t="shared" si="117"/>
        <v>130</v>
      </c>
      <c r="H2296" s="6">
        <v>130</v>
      </c>
      <c r="I2296" s="26">
        <f t="shared" si="119"/>
        <v>0</v>
      </c>
      <c r="J2296" s="7" t="str">
        <f t="shared" si="118"/>
        <v>PAGADO</v>
      </c>
    </row>
    <row r="2297" spans="1:11" x14ac:dyDescent="0.25">
      <c r="A2297">
        <v>2025</v>
      </c>
      <c r="C2297" s="9" t="s">
        <v>2260</v>
      </c>
      <c r="D2297" s="9" t="s">
        <v>1425</v>
      </c>
      <c r="F2297" s="6">
        <v>70</v>
      </c>
      <c r="G2297" s="6">
        <f t="shared" si="117"/>
        <v>70</v>
      </c>
      <c r="H2297" s="6">
        <f>35+35</f>
        <v>70</v>
      </c>
      <c r="I2297" s="26">
        <f t="shared" si="119"/>
        <v>0</v>
      </c>
      <c r="J2297" s="7" t="str">
        <f t="shared" si="118"/>
        <v>PAGADO</v>
      </c>
      <c r="K2297" t="s">
        <v>1823</v>
      </c>
    </row>
    <row r="2298" spans="1:11" x14ac:dyDescent="0.25">
      <c r="A2298">
        <v>2025</v>
      </c>
      <c r="C2298" s="9" t="s">
        <v>2261</v>
      </c>
      <c r="D2298" s="9" t="s">
        <v>1606</v>
      </c>
      <c r="F2298" s="6">
        <v>340</v>
      </c>
      <c r="G2298" s="6">
        <f t="shared" si="117"/>
        <v>340</v>
      </c>
      <c r="H2298" s="6">
        <f>150+80+110</f>
        <v>340</v>
      </c>
      <c r="I2298" s="26">
        <f t="shared" si="119"/>
        <v>0</v>
      </c>
      <c r="J2298" s="7" t="str">
        <f t="shared" si="118"/>
        <v>PAGADO</v>
      </c>
    </row>
    <row r="2299" spans="1:11" x14ac:dyDescent="0.25">
      <c r="A2299">
        <v>2025</v>
      </c>
      <c r="C2299" s="9" t="s">
        <v>2262</v>
      </c>
      <c r="D2299" s="9" t="s">
        <v>1501</v>
      </c>
      <c r="F2299" s="6">
        <v>50</v>
      </c>
      <c r="G2299" s="6">
        <f t="shared" si="117"/>
        <v>50</v>
      </c>
      <c r="H2299" s="6">
        <f>25+25</f>
        <v>50</v>
      </c>
      <c r="I2299" s="26">
        <f t="shared" si="119"/>
        <v>0</v>
      </c>
      <c r="J2299" s="7" t="str">
        <f t="shared" si="118"/>
        <v>PAGADO</v>
      </c>
      <c r="K2299" s="9" t="s">
        <v>2250</v>
      </c>
    </row>
    <row r="2300" spans="1:11" x14ac:dyDescent="0.25">
      <c r="A2300">
        <v>2025</v>
      </c>
      <c r="C2300" s="9" t="s">
        <v>2263</v>
      </c>
      <c r="D2300" s="9" t="s">
        <v>1501</v>
      </c>
      <c r="F2300" s="6">
        <v>120</v>
      </c>
      <c r="G2300" s="6">
        <f t="shared" si="117"/>
        <v>120</v>
      </c>
      <c r="H2300" s="6">
        <f>60+10+50</f>
        <v>120</v>
      </c>
      <c r="I2300" s="26">
        <f t="shared" si="119"/>
        <v>0</v>
      </c>
      <c r="J2300" s="7" t="str">
        <f t="shared" si="118"/>
        <v>PAGADO</v>
      </c>
      <c r="K2300" s="9" t="s">
        <v>2250</v>
      </c>
    </row>
    <row r="2301" spans="1:11" x14ac:dyDescent="0.25">
      <c r="A2301">
        <v>2025</v>
      </c>
      <c r="C2301" s="9" t="s">
        <v>2264</v>
      </c>
      <c r="D2301" s="9" t="s">
        <v>1501</v>
      </c>
      <c r="F2301" s="6">
        <v>80</v>
      </c>
      <c r="G2301" s="6">
        <f t="shared" si="117"/>
        <v>80</v>
      </c>
      <c r="H2301" s="6">
        <f>40+40</f>
        <v>80</v>
      </c>
      <c r="I2301" s="26">
        <f t="shared" si="119"/>
        <v>0</v>
      </c>
      <c r="J2301" s="7" t="str">
        <f t="shared" si="118"/>
        <v>PAGADO</v>
      </c>
      <c r="K2301" s="9" t="s">
        <v>2250</v>
      </c>
    </row>
    <row r="2302" spans="1:11" x14ac:dyDescent="0.25">
      <c r="A2302">
        <v>2025</v>
      </c>
      <c r="C2302" s="9" t="s">
        <v>2265</v>
      </c>
      <c r="D2302" s="9" t="s">
        <v>1501</v>
      </c>
      <c r="F2302" s="6">
        <v>70</v>
      </c>
      <c r="G2302" s="6">
        <f t="shared" ref="G2302:G2365" si="120">F2302-E2302</f>
        <v>70</v>
      </c>
      <c r="H2302" s="6">
        <f>35+35</f>
        <v>70</v>
      </c>
      <c r="I2302" s="26">
        <f t="shared" si="119"/>
        <v>0</v>
      </c>
      <c r="J2302" s="7" t="str">
        <f t="shared" si="118"/>
        <v>PAGADO</v>
      </c>
      <c r="K2302" s="9" t="s">
        <v>2250</v>
      </c>
    </row>
    <row r="2303" spans="1:11" x14ac:dyDescent="0.25">
      <c r="A2303">
        <v>2025</v>
      </c>
      <c r="C2303" s="9" t="s">
        <v>2266</v>
      </c>
      <c r="D2303" s="9" t="s">
        <v>1501</v>
      </c>
      <c r="F2303" s="6">
        <v>80</v>
      </c>
      <c r="G2303" s="6">
        <f t="shared" si="120"/>
        <v>80</v>
      </c>
      <c r="H2303" s="6">
        <f>40+40</f>
        <v>80</v>
      </c>
      <c r="I2303" s="26">
        <f t="shared" si="119"/>
        <v>0</v>
      </c>
      <c r="J2303" s="7" t="str">
        <f t="shared" si="118"/>
        <v>PAGADO</v>
      </c>
      <c r="K2303" s="9" t="s">
        <v>2250</v>
      </c>
    </row>
    <row r="2304" spans="1:11" x14ac:dyDescent="0.25">
      <c r="A2304">
        <v>2025</v>
      </c>
      <c r="C2304" s="9" t="s">
        <v>2266</v>
      </c>
      <c r="D2304" s="9" t="s">
        <v>816</v>
      </c>
      <c r="F2304" s="6">
        <v>90</v>
      </c>
      <c r="G2304" s="6">
        <f t="shared" si="120"/>
        <v>90</v>
      </c>
      <c r="H2304" s="6">
        <v>90</v>
      </c>
      <c r="I2304" s="57">
        <f t="shared" si="119"/>
        <v>0</v>
      </c>
      <c r="J2304" s="7" t="str">
        <f t="shared" si="118"/>
        <v>PAGADO</v>
      </c>
      <c r="K2304" s="59" t="s">
        <v>1823</v>
      </c>
    </row>
    <row r="2305" spans="1:11" x14ac:dyDescent="0.25">
      <c r="A2305">
        <v>2025</v>
      </c>
      <c r="C2305" s="9" t="s">
        <v>2267</v>
      </c>
      <c r="D2305" s="9" t="s">
        <v>807</v>
      </c>
      <c r="F2305" s="6">
        <v>80</v>
      </c>
      <c r="G2305" s="6">
        <f t="shared" si="120"/>
        <v>80</v>
      </c>
      <c r="H2305" s="6">
        <f>30+50</f>
        <v>80</v>
      </c>
      <c r="I2305" s="26">
        <f t="shared" si="119"/>
        <v>0</v>
      </c>
      <c r="J2305" s="7" t="str">
        <f t="shared" si="118"/>
        <v>PAGADO</v>
      </c>
    </row>
    <row r="2306" spans="1:11" x14ac:dyDescent="0.25">
      <c r="A2306">
        <v>2025</v>
      </c>
      <c r="C2306" s="9" t="s">
        <v>2268</v>
      </c>
      <c r="D2306" s="9" t="s">
        <v>33</v>
      </c>
      <c r="F2306" s="6">
        <v>130</v>
      </c>
      <c r="G2306" s="6">
        <f t="shared" si="120"/>
        <v>130</v>
      </c>
      <c r="H2306" s="6">
        <v>130</v>
      </c>
      <c r="I2306" s="26">
        <f t="shared" si="119"/>
        <v>0</v>
      </c>
      <c r="J2306" s="7" t="str">
        <f t="shared" si="118"/>
        <v>PAGADO</v>
      </c>
    </row>
    <row r="2307" spans="1:11" x14ac:dyDescent="0.25">
      <c r="A2307">
        <v>2025</v>
      </c>
      <c r="C2307" s="9" t="s">
        <v>2269</v>
      </c>
      <c r="D2307" s="9" t="s">
        <v>1510</v>
      </c>
      <c r="F2307" s="6">
        <v>85</v>
      </c>
      <c r="G2307" s="6">
        <f t="shared" si="120"/>
        <v>85</v>
      </c>
      <c r="H2307" s="6">
        <f>42.5+42.5</f>
        <v>85</v>
      </c>
      <c r="I2307" s="26">
        <f t="shared" si="119"/>
        <v>0</v>
      </c>
      <c r="J2307" s="7" t="str">
        <f t="shared" si="118"/>
        <v>PAGADO</v>
      </c>
    </row>
    <row r="2308" spans="1:11" x14ac:dyDescent="0.25">
      <c r="A2308">
        <v>2025</v>
      </c>
      <c r="C2308" s="9" t="s">
        <v>2270</v>
      </c>
      <c r="D2308" s="9" t="s">
        <v>1510</v>
      </c>
      <c r="F2308" s="6">
        <v>85</v>
      </c>
      <c r="G2308" s="6">
        <f t="shared" si="120"/>
        <v>85</v>
      </c>
      <c r="H2308" s="6">
        <f>42.5+42.5</f>
        <v>85</v>
      </c>
      <c r="I2308" s="26">
        <f t="shared" si="119"/>
        <v>0</v>
      </c>
      <c r="J2308" s="7" t="str">
        <f t="shared" si="118"/>
        <v>PAGADO</v>
      </c>
    </row>
    <row r="2309" spans="1:11" x14ac:dyDescent="0.25">
      <c r="A2309">
        <v>2025</v>
      </c>
      <c r="C2309" s="9" t="s">
        <v>2266</v>
      </c>
      <c r="D2309" s="9" t="s">
        <v>67</v>
      </c>
      <c r="F2309" s="6">
        <v>100</v>
      </c>
      <c r="G2309" s="6">
        <f t="shared" si="120"/>
        <v>100</v>
      </c>
      <c r="H2309" s="6">
        <v>100</v>
      </c>
      <c r="I2309" s="26">
        <f t="shared" si="119"/>
        <v>0</v>
      </c>
      <c r="J2309" s="7" t="str">
        <f t="shared" si="118"/>
        <v>PAGADO</v>
      </c>
      <c r="K2309" s="59" t="s">
        <v>1823</v>
      </c>
    </row>
    <row r="2310" spans="1:11" x14ac:dyDescent="0.25">
      <c r="A2310">
        <v>2025</v>
      </c>
      <c r="C2310" s="9" t="s">
        <v>2241</v>
      </c>
      <c r="D2310" s="9" t="s">
        <v>1451</v>
      </c>
      <c r="F2310" s="6">
        <v>100</v>
      </c>
      <c r="G2310" s="6">
        <f t="shared" si="120"/>
        <v>100</v>
      </c>
      <c r="H2310" s="30">
        <f>30+55+15</f>
        <v>100</v>
      </c>
      <c r="I2310" s="26">
        <f t="shared" si="119"/>
        <v>0</v>
      </c>
      <c r="J2310" s="7" t="str">
        <f t="shared" si="118"/>
        <v>PAGADO</v>
      </c>
      <c r="K2310" s="9"/>
    </row>
    <row r="2311" spans="1:11" x14ac:dyDescent="0.25">
      <c r="A2311">
        <v>2025</v>
      </c>
      <c r="C2311" s="9" t="s">
        <v>2271</v>
      </c>
      <c r="D2311" s="9" t="s">
        <v>2114</v>
      </c>
      <c r="F2311" s="6">
        <v>70</v>
      </c>
      <c r="G2311" s="6">
        <f t="shared" si="120"/>
        <v>70</v>
      </c>
      <c r="H2311" s="6">
        <f>20+50</f>
        <v>70</v>
      </c>
      <c r="I2311" s="26">
        <f t="shared" si="119"/>
        <v>0</v>
      </c>
      <c r="J2311" s="7" t="str">
        <f t="shared" si="118"/>
        <v>PAGADO</v>
      </c>
    </row>
    <row r="2312" spans="1:11" x14ac:dyDescent="0.25">
      <c r="A2312">
        <v>2025</v>
      </c>
      <c r="C2312" s="9" t="s">
        <v>2272</v>
      </c>
      <c r="D2312" s="9" t="s">
        <v>2273</v>
      </c>
      <c r="F2312" s="6">
        <v>50</v>
      </c>
      <c r="G2312" s="6">
        <f t="shared" si="120"/>
        <v>50</v>
      </c>
      <c r="H2312" s="6">
        <v>50</v>
      </c>
      <c r="I2312" s="26">
        <f t="shared" si="119"/>
        <v>0</v>
      </c>
      <c r="J2312" s="7" t="str">
        <f t="shared" si="118"/>
        <v>PAGADO</v>
      </c>
    </row>
    <row r="2313" spans="1:11" x14ac:dyDescent="0.25">
      <c r="A2313">
        <v>2025</v>
      </c>
      <c r="C2313" s="9" t="s">
        <v>2274</v>
      </c>
      <c r="D2313" s="9" t="s">
        <v>2275</v>
      </c>
      <c r="F2313" s="6">
        <v>145</v>
      </c>
      <c r="G2313" s="6">
        <f t="shared" si="120"/>
        <v>145</v>
      </c>
      <c r="H2313" s="6">
        <v>145</v>
      </c>
      <c r="I2313" s="26">
        <f t="shared" si="119"/>
        <v>0</v>
      </c>
      <c r="J2313" s="7" t="str">
        <f t="shared" si="118"/>
        <v>PAGADO</v>
      </c>
      <c r="K2313" s="9"/>
    </row>
    <row r="2314" spans="1:11" x14ac:dyDescent="0.25">
      <c r="A2314">
        <v>2025</v>
      </c>
      <c r="C2314" s="9" t="s">
        <v>2276</v>
      </c>
      <c r="D2314" s="9" t="s">
        <v>2031</v>
      </c>
      <c r="F2314" s="6">
        <v>230</v>
      </c>
      <c r="G2314" s="6">
        <f t="shared" si="120"/>
        <v>230</v>
      </c>
      <c r="H2314" s="6">
        <f>115+115</f>
        <v>230</v>
      </c>
      <c r="I2314" s="26">
        <f t="shared" si="119"/>
        <v>0</v>
      </c>
      <c r="J2314" s="7" t="str">
        <f t="shared" si="118"/>
        <v>PAGADO</v>
      </c>
      <c r="K2314" s="59" t="s">
        <v>1823</v>
      </c>
    </row>
    <row r="2315" spans="1:11" x14ac:dyDescent="0.25">
      <c r="A2315">
        <v>2025</v>
      </c>
      <c r="C2315" s="9" t="s">
        <v>2277</v>
      </c>
      <c r="D2315" s="9" t="s">
        <v>2278</v>
      </c>
      <c r="F2315" s="6">
        <v>60</v>
      </c>
      <c r="G2315" s="6">
        <f t="shared" si="120"/>
        <v>60</v>
      </c>
      <c r="H2315" s="6">
        <v>60</v>
      </c>
      <c r="I2315" s="26">
        <f t="shared" si="119"/>
        <v>0</v>
      </c>
      <c r="J2315" s="7" t="str">
        <f t="shared" si="118"/>
        <v>PAGADO</v>
      </c>
      <c r="K2315" s="60" t="s">
        <v>693</v>
      </c>
    </row>
    <row r="2316" spans="1:11" x14ac:dyDescent="0.25">
      <c r="A2316">
        <v>2025</v>
      </c>
      <c r="C2316" s="9" t="s">
        <v>2279</v>
      </c>
      <c r="D2316" s="9" t="s">
        <v>488</v>
      </c>
      <c r="F2316" s="6">
        <v>399</v>
      </c>
      <c r="G2316" s="6">
        <f t="shared" si="120"/>
        <v>399</v>
      </c>
      <c r="H2316" s="6">
        <v>399</v>
      </c>
      <c r="I2316" s="26">
        <f t="shared" si="119"/>
        <v>0</v>
      </c>
      <c r="J2316" s="7" t="str">
        <f t="shared" si="118"/>
        <v>PAGADO</v>
      </c>
    </row>
    <row r="2317" spans="1:11" x14ac:dyDescent="0.25">
      <c r="A2317">
        <v>2025</v>
      </c>
      <c r="C2317" s="9" t="s">
        <v>1699</v>
      </c>
      <c r="D2317" s="9" t="s">
        <v>1363</v>
      </c>
      <c r="F2317" s="6">
        <v>130</v>
      </c>
      <c r="G2317" s="6">
        <f t="shared" si="120"/>
        <v>130</v>
      </c>
      <c r="H2317" s="6">
        <v>130</v>
      </c>
      <c r="I2317" s="26">
        <f t="shared" si="119"/>
        <v>0</v>
      </c>
      <c r="J2317" s="7" t="str">
        <f t="shared" ref="J2317:J2380" si="121">IF(I2317&gt;0,"DEBE","PAGADO")</f>
        <v>PAGADO</v>
      </c>
    </row>
    <row r="2318" spans="1:11" x14ac:dyDescent="0.25">
      <c r="A2318">
        <v>2025</v>
      </c>
      <c r="C2318" t="s">
        <v>2280</v>
      </c>
      <c r="D2318" t="s">
        <v>2278</v>
      </c>
      <c r="F2318" s="6">
        <v>55</v>
      </c>
      <c r="G2318" s="6">
        <f t="shared" si="120"/>
        <v>55</v>
      </c>
      <c r="H2318" s="6">
        <v>55</v>
      </c>
      <c r="I2318" s="26">
        <f t="shared" si="119"/>
        <v>0</v>
      </c>
      <c r="J2318" s="7" t="str">
        <f t="shared" si="121"/>
        <v>PAGADO</v>
      </c>
      <c r="K2318" s="60" t="s">
        <v>693</v>
      </c>
    </row>
    <row r="2319" spans="1:11" x14ac:dyDescent="0.25">
      <c r="A2319">
        <v>2025</v>
      </c>
      <c r="C2319" t="s">
        <v>2281</v>
      </c>
      <c r="D2319" t="s">
        <v>1659</v>
      </c>
      <c r="F2319" s="6">
        <v>60</v>
      </c>
      <c r="G2319" s="6">
        <f t="shared" si="120"/>
        <v>60</v>
      </c>
      <c r="H2319" s="6">
        <f>30+30</f>
        <v>60</v>
      </c>
      <c r="I2319" s="26">
        <f t="shared" si="119"/>
        <v>0</v>
      </c>
      <c r="J2319" s="7" t="str">
        <f t="shared" si="121"/>
        <v>PAGADO</v>
      </c>
    </row>
    <row r="2320" spans="1:11" x14ac:dyDescent="0.25">
      <c r="A2320">
        <v>2025</v>
      </c>
      <c r="C2320" s="9" t="s">
        <v>1621</v>
      </c>
      <c r="D2320" s="9" t="s">
        <v>2282</v>
      </c>
      <c r="F2320" s="6">
        <v>55</v>
      </c>
      <c r="G2320" s="6">
        <f t="shared" si="120"/>
        <v>55</v>
      </c>
      <c r="H2320" s="6">
        <f>25+30</f>
        <v>55</v>
      </c>
      <c r="I2320" s="26">
        <f t="shared" si="119"/>
        <v>0</v>
      </c>
      <c r="J2320" s="7" t="str">
        <f t="shared" si="121"/>
        <v>PAGADO</v>
      </c>
    </row>
    <row r="2321" spans="1:11" x14ac:dyDescent="0.25">
      <c r="A2321">
        <v>2025</v>
      </c>
      <c r="C2321" t="s">
        <v>2142</v>
      </c>
      <c r="D2321" s="9" t="s">
        <v>74</v>
      </c>
      <c r="F2321" s="30">
        <v>-450</v>
      </c>
      <c r="G2321" s="30">
        <f t="shared" si="120"/>
        <v>-450</v>
      </c>
      <c r="H2321" s="30">
        <v>-450</v>
      </c>
      <c r="I2321" s="30">
        <v>-450</v>
      </c>
      <c r="J2321" s="7" t="str">
        <f t="shared" si="121"/>
        <v>PAGADO</v>
      </c>
      <c r="K2321" s="28" t="s">
        <v>2283</v>
      </c>
    </row>
    <row r="2322" spans="1:11" x14ac:dyDescent="0.25">
      <c r="A2322">
        <v>2025</v>
      </c>
      <c r="C2322" s="9" t="s">
        <v>2284</v>
      </c>
      <c r="D2322" s="9" t="s">
        <v>1736</v>
      </c>
      <c r="F2322" s="6">
        <v>25</v>
      </c>
      <c r="G2322" s="6">
        <f t="shared" si="120"/>
        <v>25</v>
      </c>
      <c r="H2322" s="6">
        <v>25</v>
      </c>
      <c r="I2322" s="26">
        <f t="shared" ref="I2322:I2385" si="122">F2322-H2322</f>
        <v>0</v>
      </c>
      <c r="J2322" s="7" t="str">
        <f t="shared" si="121"/>
        <v>PAGADO</v>
      </c>
    </row>
    <row r="2323" spans="1:11" x14ac:dyDescent="0.25">
      <c r="A2323">
        <v>2025</v>
      </c>
      <c r="C2323" s="9" t="s">
        <v>2285</v>
      </c>
      <c r="D2323" s="9" t="s">
        <v>2147</v>
      </c>
      <c r="F2323" s="6">
        <v>80</v>
      </c>
      <c r="G2323" s="6">
        <f t="shared" si="120"/>
        <v>80</v>
      </c>
      <c r="H2323" s="6">
        <v>80</v>
      </c>
      <c r="I2323" s="26">
        <f t="shared" si="122"/>
        <v>0</v>
      </c>
      <c r="J2323" s="7" t="str">
        <f t="shared" si="121"/>
        <v>PAGADO</v>
      </c>
    </row>
    <row r="2324" spans="1:11" x14ac:dyDescent="0.25">
      <c r="A2324">
        <v>2025</v>
      </c>
      <c r="C2324" s="9" t="s">
        <v>2286</v>
      </c>
      <c r="D2324" s="9" t="s">
        <v>2278</v>
      </c>
      <c r="F2324" s="26">
        <v>900</v>
      </c>
      <c r="G2324" s="26">
        <f t="shared" si="120"/>
        <v>900</v>
      </c>
      <c r="H2324" s="26">
        <v>900</v>
      </c>
      <c r="I2324" s="26">
        <f t="shared" si="122"/>
        <v>0</v>
      </c>
      <c r="J2324" s="7" t="str">
        <f t="shared" si="121"/>
        <v>PAGADO</v>
      </c>
      <c r="K2324" s="60" t="s">
        <v>693</v>
      </c>
    </row>
    <row r="2325" spans="1:11" x14ac:dyDescent="0.25">
      <c r="A2325">
        <v>2025</v>
      </c>
      <c r="C2325" s="9" t="s">
        <v>2287</v>
      </c>
      <c r="D2325" s="9" t="s">
        <v>2278</v>
      </c>
      <c r="F2325" s="26">
        <v>300</v>
      </c>
      <c r="G2325" s="26">
        <f t="shared" si="120"/>
        <v>300</v>
      </c>
      <c r="H2325" s="26">
        <v>300</v>
      </c>
      <c r="I2325" s="26">
        <f t="shared" si="122"/>
        <v>0</v>
      </c>
      <c r="J2325" s="7" t="str">
        <f t="shared" si="121"/>
        <v>PAGADO</v>
      </c>
      <c r="K2325" s="60" t="s">
        <v>693</v>
      </c>
    </row>
    <row r="2326" spans="1:11" x14ac:dyDescent="0.25">
      <c r="A2326">
        <v>2025</v>
      </c>
      <c r="C2326" s="9" t="s">
        <v>2288</v>
      </c>
      <c r="D2326" s="9" t="s">
        <v>2278</v>
      </c>
      <c r="F2326" s="26">
        <v>180</v>
      </c>
      <c r="G2326" s="26">
        <f t="shared" si="120"/>
        <v>180</v>
      </c>
      <c r="H2326" s="26">
        <v>180</v>
      </c>
      <c r="I2326" s="26">
        <f t="shared" si="122"/>
        <v>0</v>
      </c>
      <c r="J2326" s="7" t="str">
        <f t="shared" si="121"/>
        <v>PAGADO</v>
      </c>
      <c r="K2326" s="60" t="s">
        <v>693</v>
      </c>
    </row>
    <row r="2327" spans="1:11" x14ac:dyDescent="0.25">
      <c r="A2327">
        <v>2025</v>
      </c>
      <c r="C2327" s="9" t="s">
        <v>1444</v>
      </c>
      <c r="D2327" s="9" t="s">
        <v>816</v>
      </c>
      <c r="F2327" s="6">
        <v>250</v>
      </c>
      <c r="G2327" s="6">
        <f t="shared" si="120"/>
        <v>250</v>
      </c>
      <c r="H2327" s="24">
        <v>250</v>
      </c>
      <c r="I2327" s="26">
        <f t="shared" si="122"/>
        <v>0</v>
      </c>
      <c r="J2327" s="7" t="str">
        <f t="shared" si="121"/>
        <v>PAGADO</v>
      </c>
    </row>
    <row r="2328" spans="1:11" x14ac:dyDescent="0.25">
      <c r="A2328">
        <v>2025</v>
      </c>
      <c r="C2328" s="9" t="s">
        <v>2289</v>
      </c>
      <c r="D2328" s="9" t="s">
        <v>816</v>
      </c>
      <c r="F2328" s="6">
        <v>750</v>
      </c>
      <c r="G2328" s="6">
        <f t="shared" si="120"/>
        <v>750</v>
      </c>
      <c r="H2328" s="24">
        <f>310+310+90+20+20</f>
        <v>750</v>
      </c>
      <c r="I2328" s="61">
        <f t="shared" si="122"/>
        <v>0</v>
      </c>
      <c r="J2328" s="7" t="str">
        <f t="shared" si="121"/>
        <v>PAGADO</v>
      </c>
    </row>
    <row r="2329" spans="1:11" x14ac:dyDescent="0.25">
      <c r="A2329">
        <v>2025</v>
      </c>
      <c r="C2329" s="9" t="s">
        <v>1699</v>
      </c>
      <c r="D2329" s="9" t="s">
        <v>1504</v>
      </c>
      <c r="F2329" s="6">
        <v>130</v>
      </c>
      <c r="G2329" s="6">
        <f t="shared" si="120"/>
        <v>130</v>
      </c>
      <c r="H2329" s="6">
        <f>35+95</f>
        <v>130</v>
      </c>
      <c r="I2329" s="26">
        <f t="shared" si="122"/>
        <v>0</v>
      </c>
      <c r="J2329" s="7" t="str">
        <f t="shared" si="121"/>
        <v>PAGADO</v>
      </c>
      <c r="K2329" t="s">
        <v>693</v>
      </c>
    </row>
    <row r="2330" spans="1:11" x14ac:dyDescent="0.25">
      <c r="A2330">
        <v>2025</v>
      </c>
      <c r="C2330" t="s">
        <v>2290</v>
      </c>
      <c r="D2330" s="9" t="s">
        <v>74</v>
      </c>
      <c r="F2330" s="6">
        <v>490</v>
      </c>
      <c r="G2330" s="6">
        <f t="shared" si="120"/>
        <v>490</v>
      </c>
      <c r="H2330" s="6">
        <v>490</v>
      </c>
      <c r="I2330" s="51">
        <f t="shared" si="122"/>
        <v>0</v>
      </c>
      <c r="J2330" s="7" t="str">
        <f t="shared" si="121"/>
        <v>PAGADO</v>
      </c>
    </row>
    <row r="2331" spans="1:11" x14ac:dyDescent="0.25">
      <c r="A2331">
        <v>2025</v>
      </c>
      <c r="C2331" t="s">
        <v>2291</v>
      </c>
      <c r="D2331" s="9" t="s">
        <v>74</v>
      </c>
      <c r="F2331" s="6">
        <v>350</v>
      </c>
      <c r="G2331" s="6">
        <f t="shared" si="120"/>
        <v>350</v>
      </c>
      <c r="H2331" s="6">
        <v>350</v>
      </c>
      <c r="I2331" s="51">
        <f t="shared" si="122"/>
        <v>0</v>
      </c>
      <c r="J2331" s="7" t="str">
        <f t="shared" si="121"/>
        <v>PAGADO</v>
      </c>
    </row>
    <row r="2332" spans="1:11" x14ac:dyDescent="0.25">
      <c r="A2332">
        <v>2025</v>
      </c>
      <c r="C2332" t="s">
        <v>1563</v>
      </c>
      <c r="D2332" s="9" t="s">
        <v>74</v>
      </c>
      <c r="F2332" s="6">
        <v>100</v>
      </c>
      <c r="G2332" s="6">
        <f t="shared" si="120"/>
        <v>100</v>
      </c>
      <c r="H2332" s="6">
        <v>100</v>
      </c>
      <c r="I2332" s="51">
        <f t="shared" si="122"/>
        <v>0</v>
      </c>
      <c r="J2332" s="7" t="str">
        <f t="shared" si="121"/>
        <v>PAGADO</v>
      </c>
    </row>
    <row r="2333" spans="1:11" x14ac:dyDescent="0.25">
      <c r="A2333">
        <v>2025</v>
      </c>
      <c r="C2333" s="9" t="s">
        <v>2292</v>
      </c>
      <c r="D2333" t="s">
        <v>1399</v>
      </c>
      <c r="F2333" s="6">
        <v>220</v>
      </c>
      <c r="G2333" s="6">
        <f t="shared" si="120"/>
        <v>220</v>
      </c>
      <c r="H2333" s="6">
        <v>220</v>
      </c>
      <c r="I2333" s="26">
        <f t="shared" si="122"/>
        <v>0</v>
      </c>
      <c r="J2333" s="7" t="str">
        <f t="shared" si="121"/>
        <v>PAGADO</v>
      </c>
    </row>
    <row r="2334" spans="1:11" x14ac:dyDescent="0.25">
      <c r="A2334">
        <v>2025</v>
      </c>
      <c r="C2334" s="9" t="s">
        <v>1619</v>
      </c>
      <c r="D2334" s="9" t="s">
        <v>1290</v>
      </c>
      <c r="F2334" s="6">
        <v>65</v>
      </c>
      <c r="G2334" s="6">
        <f t="shared" si="120"/>
        <v>65</v>
      </c>
      <c r="H2334" s="6">
        <v>65</v>
      </c>
      <c r="I2334" s="26">
        <f t="shared" si="122"/>
        <v>0</v>
      </c>
      <c r="J2334" s="7" t="str">
        <f t="shared" si="121"/>
        <v>PAGADO</v>
      </c>
    </row>
    <row r="2335" spans="1:11" x14ac:dyDescent="0.25">
      <c r="A2335">
        <v>2025</v>
      </c>
      <c r="C2335" s="9" t="s">
        <v>2293</v>
      </c>
      <c r="D2335" t="s">
        <v>80</v>
      </c>
      <c r="F2335" s="6">
        <v>70</v>
      </c>
      <c r="G2335" s="6">
        <f t="shared" si="120"/>
        <v>70</v>
      </c>
      <c r="H2335" s="6">
        <v>70</v>
      </c>
      <c r="I2335" s="6">
        <f t="shared" si="122"/>
        <v>0</v>
      </c>
      <c r="J2335" s="7" t="str">
        <f t="shared" si="121"/>
        <v>PAGADO</v>
      </c>
    </row>
    <row r="2336" spans="1:11" x14ac:dyDescent="0.25">
      <c r="A2336">
        <v>2025</v>
      </c>
      <c r="C2336" s="9" t="s">
        <v>2294</v>
      </c>
      <c r="D2336" s="9" t="s">
        <v>1679</v>
      </c>
      <c r="F2336" s="6">
        <v>140</v>
      </c>
      <c r="G2336" s="6">
        <f t="shared" si="120"/>
        <v>140</v>
      </c>
      <c r="H2336" s="6">
        <v>140</v>
      </c>
      <c r="I2336" s="26">
        <f t="shared" si="122"/>
        <v>0</v>
      </c>
      <c r="J2336" s="7" t="str">
        <f t="shared" si="121"/>
        <v>PAGADO</v>
      </c>
    </row>
    <row r="2337" spans="1:11" x14ac:dyDescent="0.25">
      <c r="A2337">
        <v>2025</v>
      </c>
      <c r="C2337" s="9" t="s">
        <v>2295</v>
      </c>
      <c r="D2337" s="9" t="s">
        <v>1679</v>
      </c>
      <c r="F2337" s="6">
        <v>100</v>
      </c>
      <c r="G2337" s="6">
        <f t="shared" si="120"/>
        <v>100</v>
      </c>
      <c r="H2337" s="6">
        <v>100</v>
      </c>
      <c r="I2337" s="26">
        <f t="shared" si="122"/>
        <v>0</v>
      </c>
      <c r="J2337" s="7" t="str">
        <f t="shared" si="121"/>
        <v>PAGADO</v>
      </c>
    </row>
    <row r="2338" spans="1:11" x14ac:dyDescent="0.25">
      <c r="A2338">
        <v>2025</v>
      </c>
      <c r="C2338" s="9" t="s">
        <v>2296</v>
      </c>
      <c r="D2338" s="9" t="s">
        <v>1606</v>
      </c>
      <c r="F2338" s="6">
        <v>100</v>
      </c>
      <c r="G2338" s="6">
        <f t="shared" si="120"/>
        <v>100</v>
      </c>
      <c r="H2338" s="6">
        <v>100</v>
      </c>
      <c r="I2338" s="26">
        <f t="shared" si="122"/>
        <v>0</v>
      </c>
      <c r="J2338" s="7" t="str">
        <f t="shared" si="121"/>
        <v>PAGADO</v>
      </c>
    </row>
    <row r="2339" spans="1:11" x14ac:dyDescent="0.25">
      <c r="A2339">
        <v>2025</v>
      </c>
      <c r="C2339" t="s">
        <v>2297</v>
      </c>
      <c r="D2339" s="9" t="s">
        <v>2018</v>
      </c>
      <c r="F2339" s="6">
        <v>170</v>
      </c>
      <c r="G2339" s="6">
        <f t="shared" si="120"/>
        <v>170</v>
      </c>
      <c r="H2339" s="6">
        <v>170</v>
      </c>
      <c r="I2339" s="6">
        <f t="shared" si="122"/>
        <v>0</v>
      </c>
      <c r="J2339" s="7" t="str">
        <f t="shared" si="121"/>
        <v>PAGADO</v>
      </c>
    </row>
    <row r="2340" spans="1:11" x14ac:dyDescent="0.25">
      <c r="A2340">
        <v>2025</v>
      </c>
      <c r="C2340" t="s">
        <v>2298</v>
      </c>
      <c r="D2340" s="9" t="s">
        <v>2018</v>
      </c>
      <c r="F2340" s="6">
        <v>150</v>
      </c>
      <c r="G2340" s="6">
        <f t="shared" si="120"/>
        <v>150</v>
      </c>
      <c r="H2340" s="6">
        <v>150</v>
      </c>
      <c r="I2340" s="6">
        <f t="shared" si="122"/>
        <v>0</v>
      </c>
      <c r="J2340" s="7" t="str">
        <f t="shared" si="121"/>
        <v>PAGADO</v>
      </c>
    </row>
    <row r="2341" spans="1:11" x14ac:dyDescent="0.25">
      <c r="A2341">
        <v>2025</v>
      </c>
      <c r="C2341" s="9" t="s">
        <v>1942</v>
      </c>
      <c r="D2341" s="9" t="s">
        <v>2018</v>
      </c>
      <c r="F2341" s="6">
        <v>60</v>
      </c>
      <c r="G2341" s="6">
        <f t="shared" si="120"/>
        <v>60</v>
      </c>
      <c r="H2341" s="6">
        <f>30+30</f>
        <v>60</v>
      </c>
      <c r="I2341" s="26">
        <f t="shared" si="122"/>
        <v>0</v>
      </c>
      <c r="J2341" s="7" t="str">
        <f t="shared" si="121"/>
        <v>PAGADO</v>
      </c>
      <c r="K2341" s="9"/>
    </row>
    <row r="2342" spans="1:11" x14ac:dyDescent="0.25">
      <c r="A2342">
        <v>2025</v>
      </c>
      <c r="C2342" s="9" t="s">
        <v>1942</v>
      </c>
      <c r="D2342" t="s">
        <v>2278</v>
      </c>
      <c r="F2342" s="26">
        <v>70</v>
      </c>
      <c r="G2342" s="26">
        <f t="shared" si="120"/>
        <v>70</v>
      </c>
      <c r="H2342" s="26">
        <v>70</v>
      </c>
      <c r="I2342" s="26">
        <f t="shared" si="122"/>
        <v>0</v>
      </c>
      <c r="J2342" s="7" t="str">
        <f t="shared" si="121"/>
        <v>PAGADO</v>
      </c>
      <c r="K2342" s="60" t="s">
        <v>693</v>
      </c>
    </row>
    <row r="2343" spans="1:11" x14ac:dyDescent="0.25">
      <c r="A2343">
        <v>2025</v>
      </c>
      <c r="C2343" s="9" t="s">
        <v>2299</v>
      </c>
      <c r="D2343" t="s">
        <v>2278</v>
      </c>
      <c r="F2343" s="26">
        <v>80</v>
      </c>
      <c r="G2343" s="26">
        <f t="shared" si="120"/>
        <v>80</v>
      </c>
      <c r="H2343" s="26">
        <v>80</v>
      </c>
      <c r="I2343" s="26">
        <f t="shared" si="122"/>
        <v>0</v>
      </c>
      <c r="J2343" s="7" t="str">
        <f t="shared" si="121"/>
        <v>PAGADO</v>
      </c>
      <c r="K2343" s="60" t="s">
        <v>693</v>
      </c>
    </row>
    <row r="2344" spans="1:11" x14ac:dyDescent="0.25">
      <c r="A2344">
        <v>2025</v>
      </c>
      <c r="C2344" s="9" t="s">
        <v>2300</v>
      </c>
      <c r="D2344" s="9" t="s">
        <v>1679</v>
      </c>
      <c r="F2344" s="6">
        <v>200</v>
      </c>
      <c r="G2344" s="6">
        <f t="shared" si="120"/>
        <v>200</v>
      </c>
      <c r="H2344" s="6">
        <v>200</v>
      </c>
      <c r="I2344" s="26">
        <f t="shared" si="122"/>
        <v>0</v>
      </c>
      <c r="J2344" s="7" t="str">
        <f t="shared" si="121"/>
        <v>PAGADO</v>
      </c>
    </row>
    <row r="2345" spans="1:11" x14ac:dyDescent="0.25">
      <c r="A2345">
        <v>2025</v>
      </c>
      <c r="C2345" s="9" t="s">
        <v>1952</v>
      </c>
      <c r="D2345" s="9" t="s">
        <v>18</v>
      </c>
      <c r="F2345" s="6">
        <v>160</v>
      </c>
      <c r="G2345" s="6">
        <f t="shared" si="120"/>
        <v>160</v>
      </c>
      <c r="H2345" s="6">
        <f>100+50+10</f>
        <v>160</v>
      </c>
      <c r="I2345" s="26">
        <f t="shared" si="122"/>
        <v>0</v>
      </c>
      <c r="J2345" s="7" t="str">
        <f t="shared" si="121"/>
        <v>PAGADO</v>
      </c>
    </row>
    <row r="2346" spans="1:11" x14ac:dyDescent="0.25">
      <c r="A2346">
        <v>2025</v>
      </c>
      <c r="C2346" s="9" t="s">
        <v>2301</v>
      </c>
      <c r="D2346" t="s">
        <v>80</v>
      </c>
      <c r="F2346" s="6">
        <v>60</v>
      </c>
      <c r="G2346" s="6">
        <f t="shared" si="120"/>
        <v>60</v>
      </c>
      <c r="H2346" s="6">
        <v>60</v>
      </c>
      <c r="I2346" s="6">
        <f t="shared" si="122"/>
        <v>0</v>
      </c>
      <c r="J2346" s="7" t="str">
        <f t="shared" si="121"/>
        <v>PAGADO</v>
      </c>
    </row>
    <row r="2347" spans="1:11" x14ac:dyDescent="0.25">
      <c r="A2347">
        <v>2025</v>
      </c>
      <c r="C2347" s="9" t="s">
        <v>2302</v>
      </c>
      <c r="D2347" s="9" t="s">
        <v>816</v>
      </c>
      <c r="F2347" s="6">
        <v>20</v>
      </c>
      <c r="G2347" s="6">
        <f t="shared" si="120"/>
        <v>20</v>
      </c>
      <c r="H2347" s="6">
        <v>20</v>
      </c>
      <c r="I2347" s="54">
        <f t="shared" si="122"/>
        <v>0</v>
      </c>
      <c r="J2347" s="7" t="str">
        <f t="shared" si="121"/>
        <v>PAGADO</v>
      </c>
    </row>
    <row r="2348" spans="1:11" x14ac:dyDescent="0.25">
      <c r="A2348">
        <v>2025</v>
      </c>
      <c r="C2348" s="9" t="s">
        <v>2303</v>
      </c>
      <c r="D2348" s="9" t="s">
        <v>1679</v>
      </c>
      <c r="F2348" s="6">
        <v>160</v>
      </c>
      <c r="G2348" s="6">
        <f t="shared" si="120"/>
        <v>160</v>
      </c>
      <c r="H2348" s="6">
        <v>160</v>
      </c>
      <c r="I2348" s="26">
        <f t="shared" si="122"/>
        <v>0</v>
      </c>
      <c r="J2348" s="7" t="str">
        <f t="shared" si="121"/>
        <v>PAGADO</v>
      </c>
      <c r="K2348" s="9"/>
    </row>
    <row r="2349" spans="1:11" x14ac:dyDescent="0.25">
      <c r="A2349">
        <v>2025</v>
      </c>
      <c r="C2349" s="9" t="s">
        <v>2304</v>
      </c>
      <c r="D2349" s="9" t="s">
        <v>1679</v>
      </c>
      <c r="F2349" s="6">
        <v>150</v>
      </c>
      <c r="G2349" s="6">
        <f t="shared" si="120"/>
        <v>150</v>
      </c>
      <c r="H2349" s="6">
        <v>150</v>
      </c>
      <c r="I2349" s="26">
        <f t="shared" si="122"/>
        <v>0</v>
      </c>
      <c r="J2349" s="7" t="str">
        <f t="shared" si="121"/>
        <v>PAGADO</v>
      </c>
      <c r="K2349" s="9"/>
    </row>
    <row r="2350" spans="1:11" x14ac:dyDescent="0.25">
      <c r="A2350">
        <v>2025</v>
      </c>
      <c r="C2350" s="9" t="s">
        <v>2305</v>
      </c>
      <c r="D2350" s="9" t="s">
        <v>1679</v>
      </c>
      <c r="F2350" s="6">
        <v>160</v>
      </c>
      <c r="G2350" s="6">
        <f t="shared" si="120"/>
        <v>160</v>
      </c>
      <c r="H2350" s="6">
        <v>160</v>
      </c>
      <c r="I2350" s="26">
        <f t="shared" si="122"/>
        <v>0</v>
      </c>
      <c r="J2350" s="7" t="str">
        <f t="shared" si="121"/>
        <v>PAGADO</v>
      </c>
      <c r="K2350" s="9"/>
    </row>
    <row r="2351" spans="1:11" x14ac:dyDescent="0.25">
      <c r="A2351">
        <v>2025</v>
      </c>
      <c r="C2351" s="9" t="s">
        <v>2306</v>
      </c>
      <c r="D2351" s="9" t="s">
        <v>1679</v>
      </c>
      <c r="F2351" s="6">
        <v>190</v>
      </c>
      <c r="G2351" s="6">
        <f t="shared" si="120"/>
        <v>190</v>
      </c>
      <c r="H2351" s="6">
        <v>190</v>
      </c>
      <c r="I2351" s="26">
        <f t="shared" si="122"/>
        <v>0</v>
      </c>
      <c r="J2351" s="7" t="str">
        <f t="shared" si="121"/>
        <v>PAGADO</v>
      </c>
      <c r="K2351" s="9"/>
    </row>
    <row r="2352" spans="1:11" x14ac:dyDescent="0.25">
      <c r="A2352">
        <v>2025</v>
      </c>
      <c r="C2352" s="9" t="s">
        <v>2307</v>
      </c>
      <c r="D2352" s="9" t="s">
        <v>1679</v>
      </c>
      <c r="F2352" s="6">
        <v>150</v>
      </c>
      <c r="G2352" s="6">
        <f t="shared" si="120"/>
        <v>150</v>
      </c>
      <c r="H2352" s="6">
        <v>150</v>
      </c>
      <c r="I2352" s="26">
        <f t="shared" si="122"/>
        <v>0</v>
      </c>
      <c r="J2352" s="7" t="str">
        <f t="shared" si="121"/>
        <v>PAGADO</v>
      </c>
      <c r="K2352" s="9"/>
    </row>
    <row r="2353" spans="1:11" x14ac:dyDescent="0.25">
      <c r="A2353">
        <v>2025</v>
      </c>
      <c r="C2353" s="9" t="s">
        <v>2307</v>
      </c>
      <c r="D2353" s="9" t="s">
        <v>67</v>
      </c>
      <c r="F2353" s="6">
        <v>160</v>
      </c>
      <c r="G2353" s="6">
        <f t="shared" si="120"/>
        <v>160</v>
      </c>
      <c r="H2353" s="6">
        <f>100+60</f>
        <v>160</v>
      </c>
      <c r="I2353" s="26">
        <f t="shared" si="122"/>
        <v>0</v>
      </c>
      <c r="J2353" s="7" t="str">
        <f t="shared" si="121"/>
        <v>PAGADO</v>
      </c>
      <c r="K2353" t="s">
        <v>1823</v>
      </c>
    </row>
    <row r="2354" spans="1:11" x14ac:dyDescent="0.25">
      <c r="A2354">
        <v>2025</v>
      </c>
      <c r="C2354" s="9" t="s">
        <v>2308</v>
      </c>
      <c r="D2354" s="9" t="s">
        <v>1425</v>
      </c>
      <c r="F2354" s="6">
        <v>70</v>
      </c>
      <c r="G2354" s="6">
        <f t="shared" si="120"/>
        <v>70</v>
      </c>
      <c r="H2354" s="6">
        <v>70</v>
      </c>
      <c r="I2354" s="26">
        <f t="shared" si="122"/>
        <v>0</v>
      </c>
      <c r="J2354" s="7" t="str">
        <f t="shared" si="121"/>
        <v>PAGADO</v>
      </c>
    </row>
    <row r="2355" spans="1:11" x14ac:dyDescent="0.25">
      <c r="A2355">
        <v>2025</v>
      </c>
      <c r="C2355" s="9" t="s">
        <v>2309</v>
      </c>
      <c r="D2355" s="9" t="s">
        <v>1425</v>
      </c>
      <c r="F2355" s="6">
        <v>50</v>
      </c>
      <c r="G2355" s="6">
        <f t="shared" si="120"/>
        <v>50</v>
      </c>
      <c r="H2355" s="6">
        <v>50</v>
      </c>
      <c r="I2355" s="26">
        <f t="shared" si="122"/>
        <v>0</v>
      </c>
      <c r="J2355" s="7" t="str">
        <f t="shared" si="121"/>
        <v>PAGADO</v>
      </c>
    </row>
    <row r="2356" spans="1:11" x14ac:dyDescent="0.25">
      <c r="A2356">
        <v>2025</v>
      </c>
      <c r="C2356" s="9" t="s">
        <v>2310</v>
      </c>
      <c r="D2356" s="9" t="s">
        <v>1425</v>
      </c>
      <c r="F2356" s="6">
        <v>40</v>
      </c>
      <c r="G2356" s="6">
        <f t="shared" si="120"/>
        <v>40</v>
      </c>
      <c r="H2356" s="6">
        <v>40</v>
      </c>
      <c r="I2356" s="26">
        <f t="shared" si="122"/>
        <v>0</v>
      </c>
      <c r="J2356" s="7" t="str">
        <f t="shared" si="121"/>
        <v>PAGADO</v>
      </c>
    </row>
    <row r="2357" spans="1:11" x14ac:dyDescent="0.25">
      <c r="A2357">
        <v>2025</v>
      </c>
      <c r="C2357" s="9" t="s">
        <v>2311</v>
      </c>
      <c r="D2357" s="9" t="s">
        <v>597</v>
      </c>
      <c r="F2357" s="6">
        <v>120</v>
      </c>
      <c r="G2357" s="6">
        <f t="shared" si="120"/>
        <v>120</v>
      </c>
      <c r="H2357" s="6">
        <v>120</v>
      </c>
      <c r="I2357" s="26">
        <f t="shared" si="122"/>
        <v>0</v>
      </c>
      <c r="J2357" s="7" t="str">
        <f t="shared" si="121"/>
        <v>PAGADO</v>
      </c>
    </row>
    <row r="2358" spans="1:11" x14ac:dyDescent="0.25">
      <c r="A2358">
        <v>2025</v>
      </c>
      <c r="C2358" s="9" t="s">
        <v>2312</v>
      </c>
      <c r="D2358" s="9" t="s">
        <v>1652</v>
      </c>
      <c r="F2358" s="6">
        <v>80</v>
      </c>
      <c r="G2358" s="6">
        <f t="shared" si="120"/>
        <v>80</v>
      </c>
      <c r="H2358" s="6">
        <v>80</v>
      </c>
      <c r="I2358" s="26">
        <f t="shared" si="122"/>
        <v>0</v>
      </c>
      <c r="J2358" s="7" t="str">
        <f t="shared" si="121"/>
        <v>PAGADO</v>
      </c>
    </row>
    <row r="2359" spans="1:11" x14ac:dyDescent="0.25">
      <c r="A2359">
        <v>2025</v>
      </c>
      <c r="C2359" s="9" t="s">
        <v>2313</v>
      </c>
      <c r="D2359" s="9" t="s">
        <v>2314</v>
      </c>
      <c r="F2359" s="6">
        <v>55</v>
      </c>
      <c r="G2359" s="6">
        <f t="shared" si="120"/>
        <v>55</v>
      </c>
      <c r="H2359" s="6">
        <v>55</v>
      </c>
      <c r="I2359" s="26">
        <f t="shared" si="122"/>
        <v>0</v>
      </c>
      <c r="J2359" s="7" t="str">
        <f t="shared" si="121"/>
        <v>PAGADO</v>
      </c>
    </row>
    <row r="2360" spans="1:11" x14ac:dyDescent="0.25">
      <c r="A2360">
        <v>2025</v>
      </c>
      <c r="C2360" s="9" t="s">
        <v>2315</v>
      </c>
      <c r="D2360" s="9" t="s">
        <v>1736</v>
      </c>
      <c r="F2360" s="6">
        <v>190</v>
      </c>
      <c r="G2360" s="6">
        <f t="shared" si="120"/>
        <v>190</v>
      </c>
      <c r="H2360" s="6">
        <f>95+42.5+5+47.5</f>
        <v>190</v>
      </c>
      <c r="I2360" s="26">
        <f t="shared" si="122"/>
        <v>0</v>
      </c>
      <c r="J2360" s="7" t="str">
        <f t="shared" si="121"/>
        <v>PAGADO</v>
      </c>
    </row>
    <row r="2361" spans="1:11" x14ac:dyDescent="0.25">
      <c r="A2361">
        <v>2025</v>
      </c>
      <c r="C2361" s="9" t="s">
        <v>2316</v>
      </c>
      <c r="D2361" s="9" t="s">
        <v>1501</v>
      </c>
      <c r="F2361" s="6">
        <v>60</v>
      </c>
      <c r="G2361" s="6">
        <f t="shared" si="120"/>
        <v>60</v>
      </c>
      <c r="H2361" s="6">
        <v>60</v>
      </c>
      <c r="I2361" s="26">
        <f t="shared" si="122"/>
        <v>0</v>
      </c>
      <c r="J2361" s="7" t="str">
        <f t="shared" si="121"/>
        <v>PAGADO</v>
      </c>
    </row>
    <row r="2362" spans="1:11" x14ac:dyDescent="0.25">
      <c r="A2362">
        <v>2025</v>
      </c>
      <c r="C2362" s="9" t="s">
        <v>2317</v>
      </c>
      <c r="D2362" s="9" t="s">
        <v>2105</v>
      </c>
      <c r="F2362" s="6">
        <v>70</v>
      </c>
      <c r="G2362" s="6">
        <f t="shared" si="120"/>
        <v>70</v>
      </c>
      <c r="H2362" s="6">
        <v>70</v>
      </c>
      <c r="I2362" s="26">
        <f t="shared" si="122"/>
        <v>0</v>
      </c>
      <c r="J2362" s="7" t="str">
        <f t="shared" si="121"/>
        <v>PAGADO</v>
      </c>
    </row>
    <row r="2363" spans="1:11" x14ac:dyDescent="0.25">
      <c r="A2363">
        <v>2025</v>
      </c>
      <c r="C2363" s="9" t="s">
        <v>2318</v>
      </c>
      <c r="D2363" s="9" t="s">
        <v>1309</v>
      </c>
      <c r="F2363" s="6">
        <v>30</v>
      </c>
      <c r="G2363" s="6">
        <f t="shared" si="120"/>
        <v>30</v>
      </c>
      <c r="H2363" s="6">
        <f>15+15</f>
        <v>30</v>
      </c>
      <c r="I2363" s="26">
        <f t="shared" si="122"/>
        <v>0</v>
      </c>
      <c r="J2363" s="7" t="str">
        <f t="shared" si="121"/>
        <v>PAGADO</v>
      </c>
    </row>
    <row r="2364" spans="1:11" x14ac:dyDescent="0.25">
      <c r="A2364">
        <v>2025</v>
      </c>
      <c r="C2364" s="9" t="s">
        <v>2319</v>
      </c>
      <c r="D2364" s="9" t="s">
        <v>2275</v>
      </c>
      <c r="F2364" s="6">
        <v>90</v>
      </c>
      <c r="G2364" s="6">
        <f t="shared" si="120"/>
        <v>90</v>
      </c>
      <c r="H2364" s="11">
        <v>90</v>
      </c>
      <c r="I2364" s="26">
        <f t="shared" si="122"/>
        <v>0</v>
      </c>
      <c r="J2364" s="7" t="str">
        <f t="shared" si="121"/>
        <v>PAGADO</v>
      </c>
      <c r="K2364" s="9"/>
    </row>
    <row r="2365" spans="1:11" x14ac:dyDescent="0.25">
      <c r="A2365">
        <v>2025</v>
      </c>
      <c r="C2365" s="9" t="s">
        <v>2320</v>
      </c>
      <c r="D2365" t="s">
        <v>2278</v>
      </c>
      <c r="F2365" s="26">
        <v>60</v>
      </c>
      <c r="G2365" s="26">
        <f t="shared" si="120"/>
        <v>60</v>
      </c>
      <c r="H2365" s="26">
        <v>60</v>
      </c>
      <c r="I2365" s="26">
        <f t="shared" si="122"/>
        <v>0</v>
      </c>
      <c r="J2365" s="7" t="str">
        <f t="shared" si="121"/>
        <v>PAGADO</v>
      </c>
      <c r="K2365" s="60" t="s">
        <v>693</v>
      </c>
    </row>
    <row r="2366" spans="1:11" x14ac:dyDescent="0.25">
      <c r="A2366">
        <v>2025</v>
      </c>
      <c r="C2366" s="9" t="s">
        <v>2321</v>
      </c>
      <c r="D2366" t="s">
        <v>2278</v>
      </c>
      <c r="F2366" s="26">
        <v>140</v>
      </c>
      <c r="G2366" s="26">
        <f t="shared" ref="G2366:G2429" si="123">F2366-E2366</f>
        <v>140</v>
      </c>
      <c r="H2366" s="26">
        <v>140</v>
      </c>
      <c r="I2366" s="26">
        <f t="shared" si="122"/>
        <v>0</v>
      </c>
      <c r="J2366" s="7" t="str">
        <f t="shared" si="121"/>
        <v>PAGADO</v>
      </c>
      <c r="K2366" s="60" t="s">
        <v>693</v>
      </c>
    </row>
    <row r="2367" spans="1:11" x14ac:dyDescent="0.25">
      <c r="A2367">
        <v>2025</v>
      </c>
      <c r="C2367" s="9" t="s">
        <v>2322</v>
      </c>
      <c r="D2367" t="s">
        <v>2278</v>
      </c>
      <c r="F2367" s="26">
        <v>60</v>
      </c>
      <c r="G2367" s="26">
        <f t="shared" si="123"/>
        <v>60</v>
      </c>
      <c r="H2367" s="26">
        <v>60</v>
      </c>
      <c r="I2367" s="26">
        <f t="shared" si="122"/>
        <v>0</v>
      </c>
      <c r="J2367" s="7" t="str">
        <f t="shared" si="121"/>
        <v>PAGADO</v>
      </c>
      <c r="K2367" s="60" t="s">
        <v>693</v>
      </c>
    </row>
    <row r="2368" spans="1:11" x14ac:dyDescent="0.25">
      <c r="A2368">
        <v>2025</v>
      </c>
      <c r="C2368" s="9" t="s">
        <v>2323</v>
      </c>
      <c r="D2368" t="s">
        <v>2278</v>
      </c>
      <c r="F2368" s="26">
        <v>270</v>
      </c>
      <c r="G2368" s="26">
        <f t="shared" si="123"/>
        <v>270</v>
      </c>
      <c r="H2368" s="26">
        <f>135+135</f>
        <v>270</v>
      </c>
      <c r="I2368" s="48">
        <f t="shared" si="122"/>
        <v>0</v>
      </c>
      <c r="J2368" s="7" t="str">
        <f t="shared" si="121"/>
        <v>PAGADO</v>
      </c>
      <c r="K2368" s="60" t="s">
        <v>693</v>
      </c>
    </row>
    <row r="2369" spans="1:11" x14ac:dyDescent="0.25">
      <c r="A2369">
        <v>2025</v>
      </c>
      <c r="C2369" s="9" t="s">
        <v>2323</v>
      </c>
      <c r="D2369" t="s">
        <v>2018</v>
      </c>
      <c r="F2369" s="6">
        <v>270</v>
      </c>
      <c r="G2369" s="6">
        <f t="shared" si="123"/>
        <v>270</v>
      </c>
      <c r="H2369" s="6">
        <f>50+100+120</f>
        <v>270</v>
      </c>
      <c r="I2369" s="26">
        <f t="shared" si="122"/>
        <v>0</v>
      </c>
      <c r="J2369" s="7" t="str">
        <f t="shared" si="121"/>
        <v>PAGADO</v>
      </c>
      <c r="K2369" t="s">
        <v>1823</v>
      </c>
    </row>
    <row r="2370" spans="1:11" x14ac:dyDescent="0.25">
      <c r="A2370">
        <v>2025</v>
      </c>
      <c r="C2370" t="s">
        <v>2324</v>
      </c>
      <c r="D2370" s="9" t="s">
        <v>2282</v>
      </c>
      <c r="F2370" s="6">
        <v>55</v>
      </c>
      <c r="G2370" s="6">
        <f t="shared" si="123"/>
        <v>55</v>
      </c>
      <c r="H2370" s="6">
        <f>25+30</f>
        <v>55</v>
      </c>
      <c r="I2370" s="26">
        <f t="shared" si="122"/>
        <v>0</v>
      </c>
      <c r="J2370" s="7" t="str">
        <f t="shared" si="121"/>
        <v>PAGADO</v>
      </c>
    </row>
    <row r="2371" spans="1:11" x14ac:dyDescent="0.25">
      <c r="A2371">
        <v>2025</v>
      </c>
      <c r="C2371" t="s">
        <v>2325</v>
      </c>
      <c r="D2371" t="s">
        <v>2326</v>
      </c>
      <c r="F2371" s="6">
        <v>18</v>
      </c>
      <c r="G2371" s="6">
        <f t="shared" si="123"/>
        <v>18</v>
      </c>
      <c r="H2371" s="6">
        <v>18</v>
      </c>
      <c r="I2371" s="26">
        <f t="shared" si="122"/>
        <v>0</v>
      </c>
      <c r="J2371" s="7" t="str">
        <f t="shared" si="121"/>
        <v>PAGADO</v>
      </c>
    </row>
    <row r="2372" spans="1:11" x14ac:dyDescent="0.25">
      <c r="A2372">
        <v>2025</v>
      </c>
      <c r="C2372" t="s">
        <v>2097</v>
      </c>
      <c r="D2372" t="s">
        <v>2327</v>
      </c>
      <c r="F2372" s="6">
        <v>70</v>
      </c>
      <c r="G2372" s="6">
        <f t="shared" si="123"/>
        <v>70</v>
      </c>
      <c r="H2372" s="6">
        <f>35+35</f>
        <v>70</v>
      </c>
      <c r="I2372" s="26">
        <f t="shared" si="122"/>
        <v>0</v>
      </c>
      <c r="J2372" s="7" t="str">
        <f t="shared" si="121"/>
        <v>PAGADO</v>
      </c>
    </row>
    <row r="2373" spans="1:11" x14ac:dyDescent="0.25">
      <c r="A2373">
        <v>2025</v>
      </c>
      <c r="C2373" s="9" t="s">
        <v>2328</v>
      </c>
      <c r="D2373" s="9" t="s">
        <v>1849</v>
      </c>
      <c r="F2373" s="6">
        <v>60</v>
      </c>
      <c r="G2373" s="6">
        <f t="shared" si="123"/>
        <v>60</v>
      </c>
      <c r="H2373" s="6">
        <v>60</v>
      </c>
      <c r="I2373" s="62">
        <f t="shared" si="122"/>
        <v>0</v>
      </c>
      <c r="J2373" s="7" t="str">
        <f t="shared" si="121"/>
        <v>PAGADO</v>
      </c>
    </row>
    <row r="2374" spans="1:11" x14ac:dyDescent="0.25">
      <c r="A2374">
        <v>2025</v>
      </c>
      <c r="C2374" s="9" t="s">
        <v>2329</v>
      </c>
      <c r="D2374" s="9" t="s">
        <v>1849</v>
      </c>
      <c r="F2374" s="6">
        <v>55</v>
      </c>
      <c r="G2374" s="6">
        <f t="shared" si="123"/>
        <v>55</v>
      </c>
      <c r="H2374" s="6">
        <v>55</v>
      </c>
      <c r="I2374" s="62">
        <f t="shared" si="122"/>
        <v>0</v>
      </c>
      <c r="J2374" s="7" t="str">
        <f t="shared" si="121"/>
        <v>PAGADO</v>
      </c>
    </row>
    <row r="2375" spans="1:11" x14ac:dyDescent="0.25">
      <c r="A2375">
        <v>2025</v>
      </c>
      <c r="C2375" s="9" t="s">
        <v>2080</v>
      </c>
      <c r="D2375" s="9" t="s">
        <v>1849</v>
      </c>
      <c r="F2375" s="6">
        <v>55</v>
      </c>
      <c r="G2375" s="6">
        <f t="shared" si="123"/>
        <v>55</v>
      </c>
      <c r="H2375" s="6">
        <v>55</v>
      </c>
      <c r="I2375" s="26">
        <f t="shared" si="122"/>
        <v>0</v>
      </c>
      <c r="J2375" s="7" t="str">
        <f t="shared" si="121"/>
        <v>PAGADO</v>
      </c>
      <c r="K2375" s="9"/>
    </row>
    <row r="2376" spans="1:11" x14ac:dyDescent="0.25">
      <c r="A2376">
        <v>2025</v>
      </c>
      <c r="C2376" s="9" t="s">
        <v>2330</v>
      </c>
      <c r="D2376" s="9" t="s">
        <v>1849</v>
      </c>
      <c r="F2376" s="6">
        <v>130</v>
      </c>
      <c r="G2376" s="6">
        <f t="shared" si="123"/>
        <v>130</v>
      </c>
      <c r="H2376" s="6">
        <v>130</v>
      </c>
      <c r="I2376" s="26">
        <f t="shared" si="122"/>
        <v>0</v>
      </c>
      <c r="J2376" s="7" t="str">
        <f t="shared" si="121"/>
        <v>PAGADO</v>
      </c>
    </row>
    <row r="2377" spans="1:11" x14ac:dyDescent="0.25">
      <c r="A2377">
        <v>2025</v>
      </c>
      <c r="C2377" t="s">
        <v>2331</v>
      </c>
      <c r="D2377" s="9" t="s">
        <v>1849</v>
      </c>
      <c r="F2377" s="6">
        <v>110</v>
      </c>
      <c r="G2377" s="6">
        <f t="shared" si="123"/>
        <v>110</v>
      </c>
      <c r="H2377" s="6">
        <v>110</v>
      </c>
      <c r="I2377" s="62">
        <f t="shared" si="122"/>
        <v>0</v>
      </c>
      <c r="J2377" s="7" t="str">
        <f t="shared" si="121"/>
        <v>PAGADO</v>
      </c>
    </row>
    <row r="2378" spans="1:11" x14ac:dyDescent="0.25">
      <c r="A2378">
        <v>2025</v>
      </c>
      <c r="C2378" t="s">
        <v>2332</v>
      </c>
      <c r="D2378" s="9" t="s">
        <v>1849</v>
      </c>
      <c r="F2378" s="6">
        <v>110</v>
      </c>
      <c r="G2378" s="6">
        <f t="shared" si="123"/>
        <v>110</v>
      </c>
      <c r="H2378" s="6">
        <v>110</v>
      </c>
      <c r="I2378" s="62">
        <f t="shared" si="122"/>
        <v>0</v>
      </c>
      <c r="J2378" s="7" t="str">
        <f t="shared" si="121"/>
        <v>PAGADO</v>
      </c>
    </row>
    <row r="2379" spans="1:11" x14ac:dyDescent="0.25">
      <c r="A2379">
        <v>2025</v>
      </c>
      <c r="C2379" s="9" t="s">
        <v>2182</v>
      </c>
      <c r="D2379" s="9" t="s">
        <v>1849</v>
      </c>
      <c r="F2379" s="6">
        <v>95</v>
      </c>
      <c r="G2379" s="6">
        <f t="shared" si="123"/>
        <v>95</v>
      </c>
      <c r="H2379" s="6">
        <v>95</v>
      </c>
      <c r="I2379" s="62">
        <f t="shared" si="122"/>
        <v>0</v>
      </c>
      <c r="J2379" s="7" t="str">
        <f t="shared" si="121"/>
        <v>PAGADO</v>
      </c>
    </row>
    <row r="2380" spans="1:11" x14ac:dyDescent="0.25">
      <c r="A2380">
        <v>2025</v>
      </c>
      <c r="C2380" s="9" t="s">
        <v>2333</v>
      </c>
      <c r="D2380" s="9" t="s">
        <v>39</v>
      </c>
      <c r="F2380" s="6">
        <v>70</v>
      </c>
      <c r="G2380" s="6">
        <f t="shared" si="123"/>
        <v>70</v>
      </c>
      <c r="H2380" s="6">
        <v>70</v>
      </c>
      <c r="I2380" s="26">
        <f t="shared" si="122"/>
        <v>0</v>
      </c>
      <c r="J2380" s="7" t="str">
        <f t="shared" si="121"/>
        <v>PAGADO</v>
      </c>
    </row>
    <row r="2381" spans="1:11" x14ac:dyDescent="0.25">
      <c r="A2381">
        <v>2025</v>
      </c>
      <c r="C2381" s="9" t="s">
        <v>2334</v>
      </c>
      <c r="D2381" s="9" t="s">
        <v>18</v>
      </c>
      <c r="F2381" s="6">
        <v>21</v>
      </c>
      <c r="G2381" s="6">
        <f t="shared" si="123"/>
        <v>21</v>
      </c>
      <c r="H2381" s="6">
        <v>21</v>
      </c>
      <c r="I2381" s="26">
        <f t="shared" si="122"/>
        <v>0</v>
      </c>
      <c r="J2381" s="7" t="str">
        <f t="shared" ref="J2381:J2444" si="124">IF(I2381&gt;0,"DEBE","PAGADO")</f>
        <v>PAGADO</v>
      </c>
    </row>
    <row r="2382" spans="1:11" x14ac:dyDescent="0.25">
      <c r="A2382">
        <v>2025</v>
      </c>
      <c r="C2382" s="9" t="s">
        <v>1942</v>
      </c>
      <c r="D2382" s="9" t="s">
        <v>2275</v>
      </c>
      <c r="F2382" s="6">
        <v>55</v>
      </c>
      <c r="G2382" s="6">
        <f t="shared" si="123"/>
        <v>55</v>
      </c>
      <c r="H2382" s="6">
        <v>55</v>
      </c>
      <c r="I2382" s="26">
        <f t="shared" si="122"/>
        <v>0</v>
      </c>
      <c r="J2382" s="7" t="str">
        <f t="shared" si="124"/>
        <v>PAGADO</v>
      </c>
    </row>
    <row r="2383" spans="1:11" x14ac:dyDescent="0.25">
      <c r="A2383">
        <v>2025</v>
      </c>
      <c r="C2383" s="9" t="s">
        <v>1693</v>
      </c>
      <c r="D2383" s="9" t="s">
        <v>2275</v>
      </c>
      <c r="F2383" s="6">
        <v>70</v>
      </c>
      <c r="G2383" s="6">
        <f t="shared" si="123"/>
        <v>70</v>
      </c>
      <c r="H2383" s="6">
        <v>70</v>
      </c>
      <c r="I2383" s="26">
        <f t="shared" si="122"/>
        <v>0</v>
      </c>
      <c r="J2383" s="7" t="str">
        <f t="shared" si="124"/>
        <v>PAGADO</v>
      </c>
    </row>
    <row r="2384" spans="1:11" x14ac:dyDescent="0.25">
      <c r="A2384">
        <v>2025</v>
      </c>
      <c r="C2384" t="s">
        <v>835</v>
      </c>
      <c r="D2384" s="9" t="s">
        <v>1247</v>
      </c>
      <c r="F2384" s="6">
        <v>400</v>
      </c>
      <c r="G2384" s="6">
        <f t="shared" si="123"/>
        <v>400</v>
      </c>
      <c r="H2384" s="6">
        <f>200+200</f>
        <v>400</v>
      </c>
      <c r="I2384" s="6">
        <f t="shared" si="122"/>
        <v>0</v>
      </c>
      <c r="J2384" s="7" t="str">
        <f t="shared" si="124"/>
        <v>PAGADO</v>
      </c>
    </row>
    <row r="2385" spans="1:12" x14ac:dyDescent="0.25">
      <c r="A2385">
        <v>2025</v>
      </c>
      <c r="C2385" s="9" t="s">
        <v>2335</v>
      </c>
      <c r="D2385" s="9" t="s">
        <v>1736</v>
      </c>
      <c r="F2385" s="6">
        <v>150</v>
      </c>
      <c r="G2385" s="6">
        <f t="shared" si="123"/>
        <v>150</v>
      </c>
      <c r="H2385" s="6">
        <v>150</v>
      </c>
      <c r="I2385" s="26">
        <f t="shared" si="122"/>
        <v>0</v>
      </c>
      <c r="J2385" s="7" t="str">
        <f t="shared" si="124"/>
        <v>PAGADO</v>
      </c>
    </row>
    <row r="2386" spans="1:12" x14ac:dyDescent="0.25">
      <c r="A2386">
        <v>2025</v>
      </c>
      <c r="C2386" s="9" t="s">
        <v>2336</v>
      </c>
      <c r="D2386" s="9" t="s">
        <v>816</v>
      </c>
      <c r="F2386" s="6">
        <f>130*5</f>
        <v>650</v>
      </c>
      <c r="G2386" s="6">
        <f t="shared" si="123"/>
        <v>650</v>
      </c>
      <c r="H2386" s="63">
        <f>300+350</f>
        <v>650</v>
      </c>
      <c r="I2386" s="16">
        <f t="shared" ref="I2386:I2449" si="125">F2386-H2386</f>
        <v>0</v>
      </c>
      <c r="J2386" s="7" t="str">
        <f t="shared" si="124"/>
        <v>PAGADO</v>
      </c>
    </row>
    <row r="2387" spans="1:12" x14ac:dyDescent="0.25">
      <c r="A2387">
        <v>2025</v>
      </c>
      <c r="C2387" s="9" t="s">
        <v>2337</v>
      </c>
      <c r="D2387" s="9" t="s">
        <v>921</v>
      </c>
      <c r="F2387" s="6">
        <v>90</v>
      </c>
      <c r="G2387" s="6">
        <f t="shared" si="123"/>
        <v>90</v>
      </c>
      <c r="H2387" s="6">
        <v>90</v>
      </c>
      <c r="I2387" s="26">
        <f t="shared" si="125"/>
        <v>0</v>
      </c>
      <c r="J2387" s="7" t="str">
        <f t="shared" si="124"/>
        <v>PAGADO</v>
      </c>
    </row>
    <row r="2388" spans="1:12" x14ac:dyDescent="0.25">
      <c r="A2388">
        <v>2025</v>
      </c>
      <c r="C2388" s="9" t="s">
        <v>2097</v>
      </c>
      <c r="D2388" s="9" t="s">
        <v>1451</v>
      </c>
      <c r="F2388" s="6">
        <v>60</v>
      </c>
      <c r="G2388" s="6">
        <f t="shared" si="123"/>
        <v>60</v>
      </c>
      <c r="H2388" s="6">
        <v>60</v>
      </c>
      <c r="I2388" s="26">
        <f t="shared" si="125"/>
        <v>0</v>
      </c>
      <c r="J2388" s="7" t="str">
        <f t="shared" si="124"/>
        <v>PAGADO</v>
      </c>
    </row>
    <row r="2389" spans="1:12" x14ac:dyDescent="0.25">
      <c r="A2389">
        <v>2025</v>
      </c>
      <c r="C2389" s="9" t="s">
        <v>1942</v>
      </c>
      <c r="D2389" s="9" t="s">
        <v>1451</v>
      </c>
      <c r="F2389" s="6">
        <v>55</v>
      </c>
      <c r="G2389" s="6">
        <f t="shared" si="123"/>
        <v>55</v>
      </c>
      <c r="H2389" s="6">
        <v>55</v>
      </c>
      <c r="I2389" s="26">
        <f t="shared" si="125"/>
        <v>0</v>
      </c>
      <c r="J2389" s="7" t="str">
        <f t="shared" si="124"/>
        <v>PAGADO</v>
      </c>
    </row>
    <row r="2390" spans="1:12" x14ac:dyDescent="0.25">
      <c r="A2390">
        <v>2025</v>
      </c>
      <c r="C2390" s="9" t="s">
        <v>2328</v>
      </c>
      <c r="D2390" s="9" t="s">
        <v>1451</v>
      </c>
      <c r="F2390" s="6">
        <v>60</v>
      </c>
      <c r="G2390" s="6">
        <f t="shared" si="123"/>
        <v>60</v>
      </c>
      <c r="H2390" s="6">
        <v>60</v>
      </c>
      <c r="I2390" s="26">
        <f t="shared" si="125"/>
        <v>0</v>
      </c>
      <c r="J2390" s="7" t="str">
        <f t="shared" si="124"/>
        <v>PAGADO</v>
      </c>
    </row>
    <row r="2391" spans="1:12" x14ac:dyDescent="0.25">
      <c r="A2391">
        <v>2025</v>
      </c>
      <c r="C2391" s="9" t="s">
        <v>2072</v>
      </c>
      <c r="D2391" s="9" t="s">
        <v>1451</v>
      </c>
      <c r="F2391" s="6">
        <v>70</v>
      </c>
      <c r="G2391" s="6">
        <f t="shared" si="123"/>
        <v>70</v>
      </c>
      <c r="H2391" s="6">
        <v>70</v>
      </c>
      <c r="I2391" s="26">
        <f t="shared" si="125"/>
        <v>0</v>
      </c>
      <c r="J2391" s="7" t="str">
        <f t="shared" si="124"/>
        <v>PAGADO</v>
      </c>
      <c r="K2391" s="9"/>
    </row>
    <row r="2392" spans="1:12" x14ac:dyDescent="0.25">
      <c r="A2392">
        <v>2025</v>
      </c>
      <c r="C2392" s="9" t="s">
        <v>2032</v>
      </c>
      <c r="D2392" s="9" t="s">
        <v>816</v>
      </c>
      <c r="F2392" s="6">
        <v>60</v>
      </c>
      <c r="G2392" s="6">
        <f t="shared" si="123"/>
        <v>60</v>
      </c>
      <c r="H2392" s="6">
        <f>52+8</f>
        <v>60</v>
      </c>
      <c r="I2392" s="61">
        <f t="shared" si="125"/>
        <v>0</v>
      </c>
      <c r="J2392" s="7" t="str">
        <f t="shared" si="124"/>
        <v>PAGADO</v>
      </c>
    </row>
    <row r="2393" spans="1:12" x14ac:dyDescent="0.25">
      <c r="A2393">
        <v>2025</v>
      </c>
      <c r="C2393" s="9" t="s">
        <v>2338</v>
      </c>
      <c r="D2393" s="9" t="s">
        <v>2066</v>
      </c>
      <c r="F2393" s="6">
        <v>60</v>
      </c>
      <c r="G2393" s="6">
        <f t="shared" si="123"/>
        <v>60</v>
      </c>
      <c r="H2393" s="6">
        <v>60</v>
      </c>
      <c r="I2393" s="26">
        <f t="shared" si="125"/>
        <v>0</v>
      </c>
      <c r="J2393" s="7" t="str">
        <f t="shared" si="124"/>
        <v>PAGADO</v>
      </c>
    </row>
    <row r="2394" spans="1:12" x14ac:dyDescent="0.25">
      <c r="A2394">
        <v>2025</v>
      </c>
      <c r="C2394" s="9" t="s">
        <v>2339</v>
      </c>
      <c r="D2394" s="9" t="s">
        <v>1510</v>
      </c>
      <c r="F2394" s="6">
        <v>100</v>
      </c>
      <c r="G2394" s="6">
        <f t="shared" si="123"/>
        <v>100</v>
      </c>
      <c r="H2394" s="6">
        <v>100</v>
      </c>
      <c r="I2394" s="26">
        <f t="shared" si="125"/>
        <v>0</v>
      </c>
      <c r="J2394" s="7" t="str">
        <f t="shared" si="124"/>
        <v>PAGADO</v>
      </c>
    </row>
    <row r="2395" spans="1:12" x14ac:dyDescent="0.25">
      <c r="A2395">
        <v>2025</v>
      </c>
      <c r="C2395" s="9" t="s">
        <v>2340</v>
      </c>
      <c r="D2395" s="9" t="s">
        <v>1510</v>
      </c>
      <c r="F2395" s="6">
        <v>55</v>
      </c>
      <c r="G2395" s="6">
        <f t="shared" si="123"/>
        <v>55</v>
      </c>
      <c r="H2395" s="6">
        <v>55</v>
      </c>
      <c r="I2395" s="26">
        <f t="shared" si="125"/>
        <v>0</v>
      </c>
      <c r="J2395" s="7" t="str">
        <f t="shared" si="124"/>
        <v>PAGADO</v>
      </c>
    </row>
    <row r="2396" spans="1:12" x14ac:dyDescent="0.25">
      <c r="A2396">
        <v>2025</v>
      </c>
      <c r="C2396" s="9" t="s">
        <v>2341</v>
      </c>
      <c r="D2396" s="9" t="s">
        <v>816</v>
      </c>
      <c r="F2396" s="6">
        <v>150</v>
      </c>
      <c r="G2396" s="6">
        <f t="shared" si="123"/>
        <v>150</v>
      </c>
      <c r="H2396" s="6">
        <v>150</v>
      </c>
      <c r="I2396" s="54">
        <f t="shared" si="125"/>
        <v>0</v>
      </c>
      <c r="J2396" s="7" t="str">
        <f t="shared" si="124"/>
        <v>PAGADO</v>
      </c>
    </row>
    <row r="2397" spans="1:12" x14ac:dyDescent="0.25">
      <c r="A2397">
        <v>2025</v>
      </c>
      <c r="C2397" s="9" t="s">
        <v>2072</v>
      </c>
      <c r="D2397" s="9" t="s">
        <v>1849</v>
      </c>
      <c r="F2397" s="6">
        <v>70</v>
      </c>
      <c r="G2397" s="6">
        <f t="shared" si="123"/>
        <v>70</v>
      </c>
      <c r="H2397" s="6">
        <v>70</v>
      </c>
      <c r="I2397" s="26">
        <f t="shared" si="125"/>
        <v>0</v>
      </c>
      <c r="J2397" s="7" t="str">
        <f t="shared" si="124"/>
        <v>PAGADO</v>
      </c>
      <c r="K2397" s="9"/>
    </row>
    <row r="2398" spans="1:12" x14ac:dyDescent="0.25">
      <c r="A2398">
        <v>2025</v>
      </c>
      <c r="C2398" s="9" t="s">
        <v>2342</v>
      </c>
      <c r="D2398" s="9" t="s">
        <v>18</v>
      </c>
      <c r="F2398" s="6">
        <v>80</v>
      </c>
      <c r="G2398" s="6">
        <f t="shared" si="123"/>
        <v>80</v>
      </c>
      <c r="H2398" s="6">
        <v>80</v>
      </c>
      <c r="I2398" s="26">
        <f t="shared" si="125"/>
        <v>0</v>
      </c>
      <c r="J2398" s="7" t="str">
        <f t="shared" si="124"/>
        <v>PAGADO</v>
      </c>
      <c r="K2398" s="9"/>
    </row>
    <row r="2399" spans="1:12" x14ac:dyDescent="0.25">
      <c r="A2399">
        <v>2025</v>
      </c>
      <c r="C2399" s="9" t="s">
        <v>2343</v>
      </c>
      <c r="D2399" s="9" t="s">
        <v>2278</v>
      </c>
      <c r="F2399" s="26">
        <v>190</v>
      </c>
      <c r="G2399" s="26">
        <f t="shared" si="123"/>
        <v>190</v>
      </c>
      <c r="H2399" s="26">
        <v>190</v>
      </c>
      <c r="I2399" s="26">
        <f t="shared" si="125"/>
        <v>0</v>
      </c>
      <c r="J2399" s="7" t="str">
        <f t="shared" si="124"/>
        <v>PAGADO</v>
      </c>
      <c r="K2399" s="60" t="s">
        <v>693</v>
      </c>
    </row>
    <row r="2400" spans="1:12" x14ac:dyDescent="0.25">
      <c r="A2400">
        <v>2025</v>
      </c>
      <c r="C2400" s="9" t="s">
        <v>2344</v>
      </c>
      <c r="D2400" s="9" t="s">
        <v>1055</v>
      </c>
      <c r="F2400" s="6">
        <v>130</v>
      </c>
      <c r="G2400" s="6">
        <f t="shared" si="123"/>
        <v>130</v>
      </c>
      <c r="H2400" s="6">
        <f>20+20+20+50+20</f>
        <v>130</v>
      </c>
      <c r="I2400" s="26">
        <f t="shared" si="125"/>
        <v>0</v>
      </c>
      <c r="J2400" s="7" t="str">
        <f t="shared" si="124"/>
        <v>PAGADO</v>
      </c>
      <c r="K2400" s="45" t="s">
        <v>1056</v>
      </c>
      <c r="L2400" t="s">
        <v>2245</v>
      </c>
    </row>
    <row r="2401" spans="1:11" x14ac:dyDescent="0.25">
      <c r="A2401">
        <v>2025</v>
      </c>
      <c r="C2401" s="9" t="s">
        <v>2323</v>
      </c>
      <c r="D2401" s="9" t="s">
        <v>2275</v>
      </c>
      <c r="F2401" s="6">
        <v>270</v>
      </c>
      <c r="G2401" s="6">
        <f t="shared" si="123"/>
        <v>270</v>
      </c>
      <c r="H2401" s="16">
        <f>20+82+100+68</f>
        <v>270</v>
      </c>
      <c r="I2401" s="26">
        <f t="shared" si="125"/>
        <v>0</v>
      </c>
      <c r="J2401" s="7" t="str">
        <f t="shared" si="124"/>
        <v>PAGADO</v>
      </c>
      <c r="K2401" s="9" t="s">
        <v>693</v>
      </c>
    </row>
    <row r="2402" spans="1:11" x14ac:dyDescent="0.25">
      <c r="A2402">
        <v>2025</v>
      </c>
      <c r="C2402" s="9" t="s">
        <v>2323</v>
      </c>
      <c r="D2402" s="9" t="s">
        <v>67</v>
      </c>
      <c r="F2402" s="6">
        <v>280</v>
      </c>
      <c r="G2402" s="6">
        <f t="shared" si="123"/>
        <v>280</v>
      </c>
      <c r="H2402" s="6">
        <f>110+170</f>
        <v>280</v>
      </c>
      <c r="I2402" s="26">
        <f t="shared" si="125"/>
        <v>0</v>
      </c>
      <c r="J2402" s="7" t="str">
        <f t="shared" si="124"/>
        <v>PAGADO</v>
      </c>
      <c r="K2402" s="9"/>
    </row>
    <row r="2403" spans="1:11" x14ac:dyDescent="0.25">
      <c r="A2403">
        <v>2025</v>
      </c>
      <c r="C2403" s="9" t="s">
        <v>2345</v>
      </c>
      <c r="D2403" s="9" t="s">
        <v>2105</v>
      </c>
      <c r="F2403" s="6">
        <v>40</v>
      </c>
      <c r="G2403" s="6">
        <f t="shared" si="123"/>
        <v>40</v>
      </c>
      <c r="H2403" s="6">
        <v>40</v>
      </c>
      <c r="I2403" s="26">
        <f t="shared" si="125"/>
        <v>0</v>
      </c>
      <c r="J2403" s="7" t="str">
        <f t="shared" si="124"/>
        <v>PAGADO</v>
      </c>
    </row>
    <row r="2404" spans="1:11" x14ac:dyDescent="0.25">
      <c r="A2404">
        <v>2025</v>
      </c>
      <c r="C2404" s="9" t="s">
        <v>2346</v>
      </c>
      <c r="D2404" s="9" t="s">
        <v>1504</v>
      </c>
      <c r="F2404" s="6">
        <v>70</v>
      </c>
      <c r="G2404" s="6">
        <f t="shared" si="123"/>
        <v>70</v>
      </c>
      <c r="H2404" s="6">
        <v>70</v>
      </c>
      <c r="I2404" s="26">
        <f t="shared" si="125"/>
        <v>0</v>
      </c>
      <c r="J2404" s="7" t="str">
        <f t="shared" si="124"/>
        <v>PAGADO</v>
      </c>
      <c r="K2404" s="33" t="s">
        <v>693</v>
      </c>
    </row>
    <row r="2405" spans="1:11" x14ac:dyDescent="0.25">
      <c r="A2405">
        <v>2025</v>
      </c>
      <c r="C2405" s="9" t="s">
        <v>2347</v>
      </c>
      <c r="D2405" s="9" t="s">
        <v>2275</v>
      </c>
      <c r="F2405" s="6">
        <v>90</v>
      </c>
      <c r="G2405" s="6">
        <f t="shared" si="123"/>
        <v>90</v>
      </c>
      <c r="H2405" s="6">
        <f>20+70</f>
        <v>90</v>
      </c>
      <c r="I2405" s="26">
        <f t="shared" si="125"/>
        <v>0</v>
      </c>
      <c r="J2405" s="7" t="str">
        <f t="shared" si="124"/>
        <v>PAGADO</v>
      </c>
      <c r="K2405" s="9" t="s">
        <v>693</v>
      </c>
    </row>
    <row r="2406" spans="1:11" x14ac:dyDescent="0.25">
      <c r="A2406">
        <v>2025</v>
      </c>
      <c r="C2406" s="9" t="s">
        <v>2347</v>
      </c>
      <c r="D2406" s="9" t="s">
        <v>2278</v>
      </c>
      <c r="F2406" s="26">
        <v>90</v>
      </c>
      <c r="G2406" s="26">
        <f t="shared" si="123"/>
        <v>90</v>
      </c>
      <c r="H2406" s="26">
        <f>45+45</f>
        <v>90</v>
      </c>
      <c r="I2406" s="57">
        <f t="shared" si="125"/>
        <v>0</v>
      </c>
      <c r="J2406" s="7" t="str">
        <f t="shared" si="124"/>
        <v>PAGADO</v>
      </c>
      <c r="K2406" s="60" t="s">
        <v>693</v>
      </c>
    </row>
    <row r="2407" spans="1:11" x14ac:dyDescent="0.25">
      <c r="A2407">
        <v>2025</v>
      </c>
      <c r="C2407" s="9" t="s">
        <v>2348</v>
      </c>
      <c r="D2407" s="9" t="s">
        <v>74</v>
      </c>
      <c r="F2407" s="6">
        <v>21</v>
      </c>
      <c r="G2407" s="6">
        <f t="shared" si="123"/>
        <v>21</v>
      </c>
      <c r="H2407" s="6">
        <v>0</v>
      </c>
      <c r="I2407" s="26">
        <f t="shared" si="125"/>
        <v>21</v>
      </c>
      <c r="J2407" s="7" t="str">
        <f t="shared" si="124"/>
        <v>DEBE</v>
      </c>
    </row>
    <row r="2408" spans="1:11" x14ac:dyDescent="0.25">
      <c r="A2408">
        <v>2025</v>
      </c>
      <c r="C2408" s="9" t="s">
        <v>2349</v>
      </c>
      <c r="D2408" s="9" t="s">
        <v>1736</v>
      </c>
      <c r="F2408" s="26">
        <v>65</v>
      </c>
      <c r="G2408" s="26">
        <f t="shared" si="123"/>
        <v>65</v>
      </c>
      <c r="H2408" s="26">
        <v>65</v>
      </c>
      <c r="I2408" s="26">
        <f t="shared" si="125"/>
        <v>0</v>
      </c>
      <c r="J2408" s="7" t="str">
        <f t="shared" si="124"/>
        <v>PAGADO</v>
      </c>
      <c r="K2408" s="9"/>
    </row>
    <row r="2409" spans="1:11" x14ac:dyDescent="0.25">
      <c r="A2409">
        <v>2025</v>
      </c>
      <c r="C2409" s="9" t="s">
        <v>2350</v>
      </c>
      <c r="D2409" s="9" t="s">
        <v>1736</v>
      </c>
      <c r="F2409" s="26">
        <v>140</v>
      </c>
      <c r="G2409" s="26">
        <f t="shared" si="123"/>
        <v>140</v>
      </c>
      <c r="H2409" s="26">
        <v>140</v>
      </c>
      <c r="I2409" s="26">
        <f t="shared" si="125"/>
        <v>0</v>
      </c>
      <c r="J2409" s="7" t="str">
        <f t="shared" si="124"/>
        <v>PAGADO</v>
      </c>
      <c r="K2409" s="9"/>
    </row>
    <row r="2410" spans="1:11" x14ac:dyDescent="0.25">
      <c r="A2410">
        <v>2025</v>
      </c>
      <c r="C2410" s="9" t="s">
        <v>2351</v>
      </c>
      <c r="D2410" s="9" t="s">
        <v>1736</v>
      </c>
      <c r="F2410" s="6">
        <v>150</v>
      </c>
      <c r="G2410" s="6">
        <f t="shared" si="123"/>
        <v>150</v>
      </c>
      <c r="H2410" s="6">
        <f>75+75</f>
        <v>150</v>
      </c>
      <c r="I2410" s="26">
        <f t="shared" si="125"/>
        <v>0</v>
      </c>
      <c r="J2410" s="7" t="str">
        <f t="shared" si="124"/>
        <v>PAGADO</v>
      </c>
    </row>
    <row r="2411" spans="1:11" x14ac:dyDescent="0.25">
      <c r="A2411">
        <v>2025</v>
      </c>
      <c r="C2411" s="9" t="s">
        <v>2352</v>
      </c>
      <c r="D2411" s="9" t="s">
        <v>816</v>
      </c>
      <c r="F2411" s="6">
        <v>150</v>
      </c>
      <c r="G2411" s="6">
        <f t="shared" si="123"/>
        <v>150</v>
      </c>
      <c r="H2411" s="6">
        <v>150</v>
      </c>
      <c r="I2411" s="64">
        <f t="shared" si="125"/>
        <v>0</v>
      </c>
      <c r="J2411" s="7" t="str">
        <f t="shared" si="124"/>
        <v>PAGADO</v>
      </c>
    </row>
    <row r="2412" spans="1:11" x14ac:dyDescent="0.25">
      <c r="A2412">
        <v>2025</v>
      </c>
      <c r="C2412" s="9" t="s">
        <v>2353</v>
      </c>
      <c r="D2412" s="9" t="s">
        <v>816</v>
      </c>
      <c r="F2412" s="6">
        <v>80</v>
      </c>
      <c r="G2412" s="6">
        <f t="shared" si="123"/>
        <v>80</v>
      </c>
      <c r="H2412" s="6">
        <f>72+8</f>
        <v>80</v>
      </c>
      <c r="I2412" s="61">
        <f t="shared" si="125"/>
        <v>0</v>
      </c>
      <c r="J2412" s="7" t="str">
        <f t="shared" si="124"/>
        <v>PAGADO</v>
      </c>
    </row>
    <row r="2413" spans="1:11" x14ac:dyDescent="0.25">
      <c r="A2413">
        <v>2025</v>
      </c>
      <c r="C2413" s="9" t="s">
        <v>2354</v>
      </c>
      <c r="D2413" s="9" t="s">
        <v>816</v>
      </c>
      <c r="F2413" s="6">
        <v>130</v>
      </c>
      <c r="G2413" s="6">
        <f t="shared" si="123"/>
        <v>130</v>
      </c>
      <c r="H2413" s="6">
        <v>130</v>
      </c>
      <c r="I2413" s="64">
        <f t="shared" si="125"/>
        <v>0</v>
      </c>
      <c r="J2413" s="7" t="str">
        <f t="shared" si="124"/>
        <v>PAGADO</v>
      </c>
    </row>
    <row r="2414" spans="1:11" x14ac:dyDescent="0.25">
      <c r="A2414">
        <v>2025</v>
      </c>
      <c r="C2414" s="9" t="s">
        <v>2355</v>
      </c>
      <c r="D2414" s="9" t="s">
        <v>1727</v>
      </c>
      <c r="F2414" s="6">
        <v>150</v>
      </c>
      <c r="G2414" s="6">
        <f t="shared" si="123"/>
        <v>150</v>
      </c>
      <c r="H2414" s="6">
        <v>150</v>
      </c>
      <c r="I2414" s="26">
        <f t="shared" si="125"/>
        <v>0</v>
      </c>
      <c r="J2414" s="7" t="str">
        <f t="shared" si="124"/>
        <v>PAGADO</v>
      </c>
      <c r="K2414" s="9"/>
    </row>
    <row r="2415" spans="1:11" x14ac:dyDescent="0.25">
      <c r="A2415">
        <v>2025</v>
      </c>
      <c r="C2415" s="9" t="s">
        <v>2356</v>
      </c>
      <c r="D2415" s="9" t="s">
        <v>1425</v>
      </c>
      <c r="F2415" s="6">
        <v>60</v>
      </c>
      <c r="G2415" s="6">
        <f t="shared" si="123"/>
        <v>60</v>
      </c>
      <c r="H2415" s="6">
        <v>60</v>
      </c>
      <c r="I2415" s="26">
        <f t="shared" si="125"/>
        <v>0</v>
      </c>
      <c r="J2415" s="7" t="str">
        <f t="shared" si="124"/>
        <v>PAGADO</v>
      </c>
    </row>
    <row r="2416" spans="1:11" x14ac:dyDescent="0.25">
      <c r="A2416">
        <v>2025</v>
      </c>
      <c r="C2416" s="9" t="s">
        <v>2357</v>
      </c>
      <c r="D2416" s="9" t="s">
        <v>1425</v>
      </c>
      <c r="F2416" s="6">
        <v>90</v>
      </c>
      <c r="G2416" s="6">
        <f t="shared" si="123"/>
        <v>90</v>
      </c>
      <c r="H2416" s="6">
        <v>90</v>
      </c>
      <c r="I2416" s="26">
        <f t="shared" si="125"/>
        <v>0</v>
      </c>
      <c r="J2416" s="7" t="str">
        <f t="shared" si="124"/>
        <v>PAGADO</v>
      </c>
    </row>
    <row r="2417" spans="1:11" x14ac:dyDescent="0.25">
      <c r="A2417">
        <v>2025</v>
      </c>
      <c r="C2417" s="52" t="s">
        <v>2358</v>
      </c>
      <c r="D2417" s="9" t="s">
        <v>1451</v>
      </c>
      <c r="F2417" s="6">
        <v>2400</v>
      </c>
      <c r="G2417" s="6">
        <f t="shared" si="123"/>
        <v>2400</v>
      </c>
      <c r="H2417" s="6">
        <f>1200+1200</f>
        <v>2400</v>
      </c>
      <c r="I2417" s="26">
        <f t="shared" si="125"/>
        <v>0</v>
      </c>
      <c r="J2417" s="7" t="str">
        <f t="shared" si="124"/>
        <v>PAGADO</v>
      </c>
      <c r="K2417" s="9"/>
    </row>
    <row r="2418" spans="1:11" x14ac:dyDescent="0.25">
      <c r="A2418">
        <v>2025</v>
      </c>
      <c r="C2418" s="9" t="s">
        <v>2359</v>
      </c>
      <c r="D2418" s="9" t="s">
        <v>2360</v>
      </c>
      <c r="F2418" s="6">
        <v>45</v>
      </c>
      <c r="G2418" s="6">
        <f t="shared" si="123"/>
        <v>45</v>
      </c>
      <c r="H2418" s="6">
        <v>45</v>
      </c>
      <c r="I2418" s="26">
        <f t="shared" si="125"/>
        <v>0</v>
      </c>
      <c r="J2418" s="7" t="str">
        <f t="shared" si="124"/>
        <v>PAGADO</v>
      </c>
      <c r="K2418" s="9"/>
    </row>
    <row r="2419" spans="1:11" x14ac:dyDescent="0.25">
      <c r="A2419">
        <v>2025</v>
      </c>
      <c r="C2419" s="9" t="s">
        <v>2361</v>
      </c>
      <c r="D2419" s="9" t="s">
        <v>1078</v>
      </c>
      <c r="F2419" s="6">
        <v>25</v>
      </c>
      <c r="G2419" s="6">
        <f t="shared" si="123"/>
        <v>25</v>
      </c>
      <c r="H2419" s="6">
        <v>25</v>
      </c>
      <c r="I2419" s="6">
        <f t="shared" si="125"/>
        <v>0</v>
      </c>
      <c r="J2419" s="7" t="str">
        <f t="shared" si="124"/>
        <v>PAGADO</v>
      </c>
      <c r="K2419" s="9"/>
    </row>
    <row r="2420" spans="1:11" x14ac:dyDescent="0.25">
      <c r="A2420">
        <v>2025</v>
      </c>
      <c r="C2420" s="9" t="s">
        <v>2362</v>
      </c>
      <c r="D2420" s="9" t="s">
        <v>2363</v>
      </c>
      <c r="F2420" s="6">
        <v>200</v>
      </c>
      <c r="G2420" s="6">
        <f t="shared" si="123"/>
        <v>200</v>
      </c>
      <c r="H2420" s="6">
        <v>200</v>
      </c>
      <c r="I2420" s="6">
        <f t="shared" si="125"/>
        <v>0</v>
      </c>
      <c r="J2420" s="7" t="str">
        <f t="shared" si="124"/>
        <v>PAGADO</v>
      </c>
      <c r="K2420" s="33" t="s">
        <v>693</v>
      </c>
    </row>
    <row r="2421" spans="1:11" x14ac:dyDescent="0.25">
      <c r="A2421">
        <v>2025</v>
      </c>
      <c r="C2421" s="9" t="s">
        <v>2364</v>
      </c>
      <c r="D2421" s="9" t="s">
        <v>2363</v>
      </c>
      <c r="F2421" s="6">
        <v>20</v>
      </c>
      <c r="G2421" s="6">
        <f t="shared" si="123"/>
        <v>20</v>
      </c>
      <c r="H2421" s="6">
        <v>20</v>
      </c>
      <c r="I2421" s="6">
        <f t="shared" si="125"/>
        <v>0</v>
      </c>
      <c r="J2421" s="7" t="str">
        <f t="shared" si="124"/>
        <v>PAGADO</v>
      </c>
      <c r="K2421" s="33" t="s">
        <v>693</v>
      </c>
    </row>
    <row r="2422" spans="1:11" x14ac:dyDescent="0.25">
      <c r="A2422">
        <v>2025</v>
      </c>
      <c r="C2422" s="9" t="s">
        <v>2365</v>
      </c>
      <c r="D2422" s="9" t="s">
        <v>2366</v>
      </c>
      <c r="F2422" s="6">
        <v>120</v>
      </c>
      <c r="G2422" s="6">
        <f t="shared" si="123"/>
        <v>120</v>
      </c>
      <c r="H2422" s="6">
        <v>120</v>
      </c>
      <c r="I2422" s="26">
        <f t="shared" si="125"/>
        <v>0</v>
      </c>
      <c r="J2422" s="7" t="str">
        <f t="shared" si="124"/>
        <v>PAGADO</v>
      </c>
    </row>
    <row r="2423" spans="1:11" x14ac:dyDescent="0.25">
      <c r="A2423">
        <v>2025</v>
      </c>
      <c r="C2423" s="9" t="s">
        <v>2367</v>
      </c>
      <c r="D2423" s="9" t="s">
        <v>2278</v>
      </c>
      <c r="F2423" s="26">
        <v>70</v>
      </c>
      <c r="G2423" s="26">
        <f t="shared" si="123"/>
        <v>70</v>
      </c>
      <c r="H2423" s="26">
        <v>70</v>
      </c>
      <c r="I2423" s="26">
        <f t="shared" si="125"/>
        <v>0</v>
      </c>
      <c r="J2423" s="7" t="str">
        <f t="shared" si="124"/>
        <v>PAGADO</v>
      </c>
      <c r="K2423" s="60" t="s">
        <v>693</v>
      </c>
    </row>
    <row r="2424" spans="1:11" x14ac:dyDescent="0.25">
      <c r="A2424">
        <v>2025</v>
      </c>
      <c r="C2424" s="9" t="s">
        <v>810</v>
      </c>
      <c r="D2424" s="9" t="s">
        <v>2278</v>
      </c>
      <c r="F2424" s="26">
        <v>70</v>
      </c>
      <c r="G2424" s="26">
        <f t="shared" si="123"/>
        <v>70</v>
      </c>
      <c r="H2424" s="26">
        <v>70</v>
      </c>
      <c r="I2424" s="26">
        <f t="shared" si="125"/>
        <v>0</v>
      </c>
      <c r="J2424" s="7" t="str">
        <f t="shared" si="124"/>
        <v>PAGADO</v>
      </c>
      <c r="K2424" s="60" t="s">
        <v>693</v>
      </c>
    </row>
    <row r="2425" spans="1:11" x14ac:dyDescent="0.25">
      <c r="A2425">
        <v>2025</v>
      </c>
      <c r="C2425" s="9" t="s">
        <v>1699</v>
      </c>
      <c r="D2425" s="9" t="s">
        <v>2368</v>
      </c>
      <c r="F2425" s="6">
        <v>130</v>
      </c>
      <c r="G2425" s="6">
        <f t="shared" si="123"/>
        <v>130</v>
      </c>
      <c r="H2425" s="6">
        <f>30+30+40+15+15</f>
        <v>130</v>
      </c>
      <c r="I2425" s="26">
        <f t="shared" si="125"/>
        <v>0</v>
      </c>
      <c r="J2425" s="7" t="str">
        <f t="shared" si="124"/>
        <v>PAGADO</v>
      </c>
    </row>
    <row r="2426" spans="1:11" x14ac:dyDescent="0.25">
      <c r="A2426">
        <v>2025</v>
      </c>
      <c r="C2426" s="9" t="s">
        <v>504</v>
      </c>
      <c r="D2426" s="9" t="s">
        <v>2368</v>
      </c>
      <c r="F2426" s="6">
        <v>70</v>
      </c>
      <c r="G2426" s="6">
        <f t="shared" si="123"/>
        <v>70</v>
      </c>
      <c r="H2426" s="6">
        <f>20+40+10</f>
        <v>70</v>
      </c>
      <c r="I2426" s="26">
        <f t="shared" si="125"/>
        <v>0</v>
      </c>
      <c r="J2426" s="7" t="str">
        <f t="shared" si="124"/>
        <v>PAGADO</v>
      </c>
    </row>
    <row r="2427" spans="1:11" x14ac:dyDescent="0.25">
      <c r="A2427">
        <v>2025</v>
      </c>
      <c r="C2427" s="9" t="s">
        <v>2369</v>
      </c>
      <c r="D2427" s="9" t="s">
        <v>1736</v>
      </c>
      <c r="F2427" s="6">
        <v>40</v>
      </c>
      <c r="G2427" s="6">
        <f t="shared" si="123"/>
        <v>40</v>
      </c>
      <c r="H2427" s="6">
        <v>40</v>
      </c>
      <c r="I2427" s="26">
        <f t="shared" si="125"/>
        <v>0</v>
      </c>
      <c r="J2427" s="7" t="str">
        <f t="shared" si="124"/>
        <v>PAGADO</v>
      </c>
    </row>
    <row r="2428" spans="1:11" x14ac:dyDescent="0.25">
      <c r="A2428">
        <v>2025</v>
      </c>
      <c r="C2428" s="9" t="s">
        <v>1045</v>
      </c>
      <c r="D2428" s="9" t="s">
        <v>1736</v>
      </c>
      <c r="F2428" s="6">
        <v>40</v>
      </c>
      <c r="G2428" s="6">
        <f t="shared" si="123"/>
        <v>40</v>
      </c>
      <c r="H2428" s="6">
        <v>40</v>
      </c>
      <c r="I2428" s="26">
        <f t="shared" si="125"/>
        <v>0</v>
      </c>
      <c r="J2428" s="7" t="str">
        <f t="shared" si="124"/>
        <v>PAGADO</v>
      </c>
    </row>
    <row r="2429" spans="1:11" x14ac:dyDescent="0.25">
      <c r="A2429">
        <v>2025</v>
      </c>
      <c r="C2429" s="9" t="s">
        <v>2370</v>
      </c>
      <c r="D2429" s="9" t="s">
        <v>80</v>
      </c>
      <c r="F2429" s="6">
        <v>130</v>
      </c>
      <c r="G2429" s="6">
        <f t="shared" si="123"/>
        <v>130</v>
      </c>
      <c r="H2429" s="6">
        <v>130</v>
      </c>
      <c r="I2429" s="26">
        <f t="shared" si="125"/>
        <v>0</v>
      </c>
      <c r="J2429" s="7" t="str">
        <f t="shared" si="124"/>
        <v>PAGADO</v>
      </c>
    </row>
    <row r="2430" spans="1:11" x14ac:dyDescent="0.25">
      <c r="A2430">
        <v>2025</v>
      </c>
      <c r="C2430" s="9" t="s">
        <v>2371</v>
      </c>
      <c r="D2430" s="9" t="s">
        <v>2372</v>
      </c>
      <c r="F2430" s="6">
        <v>520</v>
      </c>
      <c r="G2430" s="6">
        <f t="shared" ref="G2430:G2493" si="126">F2430-E2430</f>
        <v>520</v>
      </c>
      <c r="H2430" s="6">
        <f>260+260</f>
        <v>520</v>
      </c>
      <c r="I2430" s="26">
        <f t="shared" si="125"/>
        <v>0</v>
      </c>
      <c r="J2430" s="7" t="str">
        <f t="shared" si="124"/>
        <v>PAGADO</v>
      </c>
      <c r="K2430" s="9" t="s">
        <v>2373</v>
      </c>
    </row>
    <row r="2431" spans="1:11" x14ac:dyDescent="0.25">
      <c r="A2431">
        <v>2025</v>
      </c>
      <c r="C2431" s="9" t="s">
        <v>2374</v>
      </c>
      <c r="D2431" s="9" t="s">
        <v>700</v>
      </c>
      <c r="F2431" s="6">
        <v>55</v>
      </c>
      <c r="G2431" s="6">
        <f t="shared" si="126"/>
        <v>55</v>
      </c>
      <c r="H2431" s="6">
        <v>55</v>
      </c>
      <c r="I2431" s="26">
        <f t="shared" si="125"/>
        <v>0</v>
      </c>
      <c r="J2431" s="7" t="str">
        <f t="shared" si="124"/>
        <v>PAGADO</v>
      </c>
    </row>
    <row r="2432" spans="1:11" x14ac:dyDescent="0.25">
      <c r="A2432">
        <v>2025</v>
      </c>
      <c r="C2432" s="9" t="s">
        <v>2375</v>
      </c>
      <c r="D2432" s="9" t="s">
        <v>700</v>
      </c>
      <c r="F2432" s="6">
        <v>40</v>
      </c>
      <c r="G2432" s="6">
        <f t="shared" si="126"/>
        <v>40</v>
      </c>
      <c r="H2432" s="6">
        <v>40</v>
      </c>
      <c r="I2432" s="26">
        <f t="shared" si="125"/>
        <v>0</v>
      </c>
      <c r="J2432" s="7" t="str">
        <f t="shared" si="124"/>
        <v>PAGADO</v>
      </c>
    </row>
    <row r="2433" spans="1:11" x14ac:dyDescent="0.25">
      <c r="A2433">
        <v>2025</v>
      </c>
      <c r="C2433" s="9" t="s">
        <v>2376</v>
      </c>
      <c r="D2433" s="9" t="s">
        <v>2275</v>
      </c>
      <c r="F2433" s="6">
        <v>70</v>
      </c>
      <c r="G2433" s="6">
        <f t="shared" si="126"/>
        <v>70</v>
      </c>
      <c r="H2433" s="6">
        <f>20+50</f>
        <v>70</v>
      </c>
      <c r="I2433" s="26">
        <f t="shared" si="125"/>
        <v>0</v>
      </c>
      <c r="J2433" s="7" t="str">
        <f t="shared" si="124"/>
        <v>PAGADO</v>
      </c>
      <c r="K2433" s="9" t="s">
        <v>693</v>
      </c>
    </row>
    <row r="2434" spans="1:11" x14ac:dyDescent="0.25">
      <c r="A2434">
        <v>2025</v>
      </c>
      <c r="C2434" s="9" t="s">
        <v>2241</v>
      </c>
      <c r="D2434" s="9" t="s">
        <v>2278</v>
      </c>
      <c r="F2434" s="26">
        <v>90</v>
      </c>
      <c r="G2434" s="26">
        <f t="shared" si="126"/>
        <v>90</v>
      </c>
      <c r="H2434" s="26">
        <f>45+45</f>
        <v>90</v>
      </c>
      <c r="I2434" s="26">
        <f t="shared" si="125"/>
        <v>0</v>
      </c>
      <c r="J2434" s="7" t="str">
        <f t="shared" si="124"/>
        <v>PAGADO</v>
      </c>
      <c r="K2434" s="60" t="s">
        <v>693</v>
      </c>
    </row>
    <row r="2435" spans="1:11" x14ac:dyDescent="0.25">
      <c r="A2435">
        <v>2025</v>
      </c>
      <c r="C2435" s="9" t="s">
        <v>2377</v>
      </c>
      <c r="D2435" s="9" t="s">
        <v>2278</v>
      </c>
      <c r="F2435" s="26">
        <v>90</v>
      </c>
      <c r="G2435" s="26">
        <f t="shared" si="126"/>
        <v>90</v>
      </c>
      <c r="H2435" s="26">
        <f>45+45</f>
        <v>90</v>
      </c>
      <c r="I2435" s="57">
        <f t="shared" si="125"/>
        <v>0</v>
      </c>
      <c r="J2435" s="7" t="str">
        <f t="shared" si="124"/>
        <v>PAGADO</v>
      </c>
      <c r="K2435" s="60" t="s">
        <v>693</v>
      </c>
    </row>
    <row r="2436" spans="1:11" x14ac:dyDescent="0.25">
      <c r="A2436">
        <v>2025</v>
      </c>
      <c r="C2436" s="9" t="s">
        <v>2378</v>
      </c>
      <c r="D2436" s="9" t="s">
        <v>2278</v>
      </c>
      <c r="F2436" s="26">
        <v>72</v>
      </c>
      <c r="G2436" s="26">
        <f t="shared" si="126"/>
        <v>72</v>
      </c>
      <c r="H2436" s="26">
        <f>36+36</f>
        <v>72</v>
      </c>
      <c r="I2436" s="26">
        <f t="shared" si="125"/>
        <v>0</v>
      </c>
      <c r="J2436" s="7" t="str">
        <f t="shared" si="124"/>
        <v>PAGADO</v>
      </c>
      <c r="K2436" s="60" t="s">
        <v>693</v>
      </c>
    </row>
    <row r="2437" spans="1:11" x14ac:dyDescent="0.25">
      <c r="A2437">
        <v>2025</v>
      </c>
      <c r="C2437" s="9" t="s">
        <v>2378</v>
      </c>
      <c r="D2437" s="9" t="s">
        <v>2366</v>
      </c>
      <c r="F2437" s="6">
        <v>80</v>
      </c>
      <c r="G2437" s="6">
        <f t="shared" si="126"/>
        <v>80</v>
      </c>
      <c r="H2437" s="6">
        <f>40+40</f>
        <v>80</v>
      </c>
      <c r="I2437" s="26">
        <f t="shared" si="125"/>
        <v>0</v>
      </c>
      <c r="J2437" s="7" t="str">
        <f t="shared" si="124"/>
        <v>PAGADO</v>
      </c>
      <c r="K2437" s="9"/>
    </row>
    <row r="2438" spans="1:11" x14ac:dyDescent="0.25">
      <c r="A2438">
        <v>2025</v>
      </c>
      <c r="C2438" s="9" t="s">
        <v>2379</v>
      </c>
      <c r="D2438" s="9" t="s">
        <v>2366</v>
      </c>
      <c r="F2438" s="6">
        <v>75</v>
      </c>
      <c r="G2438" s="6">
        <f t="shared" si="126"/>
        <v>75</v>
      </c>
      <c r="H2438" s="6">
        <f>30+45</f>
        <v>75</v>
      </c>
      <c r="I2438" s="26">
        <f t="shared" si="125"/>
        <v>0</v>
      </c>
      <c r="J2438" s="7" t="str">
        <f t="shared" si="124"/>
        <v>PAGADO</v>
      </c>
      <c r="K2438" s="9"/>
    </row>
    <row r="2439" spans="1:11" x14ac:dyDescent="0.25">
      <c r="A2439">
        <v>2025</v>
      </c>
      <c r="C2439" s="9" t="s">
        <v>2380</v>
      </c>
      <c r="D2439" s="9" t="s">
        <v>1606</v>
      </c>
      <c r="F2439" s="6">
        <v>700</v>
      </c>
      <c r="G2439" s="6">
        <f t="shared" si="126"/>
        <v>700</v>
      </c>
      <c r="H2439" s="6">
        <f>400+100+50+150</f>
        <v>700</v>
      </c>
      <c r="I2439" s="26">
        <f t="shared" si="125"/>
        <v>0</v>
      </c>
      <c r="J2439" s="7" t="str">
        <f t="shared" si="124"/>
        <v>PAGADO</v>
      </c>
      <c r="K2439" s="9"/>
    </row>
    <row r="2440" spans="1:11" x14ac:dyDescent="0.25">
      <c r="A2440">
        <v>2025</v>
      </c>
      <c r="C2440" s="9" t="s">
        <v>2381</v>
      </c>
      <c r="D2440" s="9" t="s">
        <v>2278</v>
      </c>
      <c r="F2440" s="26">
        <v>550</v>
      </c>
      <c r="G2440" s="26">
        <f t="shared" si="126"/>
        <v>550</v>
      </c>
      <c r="H2440" s="26">
        <f>275+275</f>
        <v>550</v>
      </c>
      <c r="I2440" s="48">
        <f t="shared" si="125"/>
        <v>0</v>
      </c>
      <c r="J2440" s="7" t="str">
        <f t="shared" si="124"/>
        <v>PAGADO</v>
      </c>
      <c r="K2440" s="60" t="s">
        <v>693</v>
      </c>
    </row>
    <row r="2441" spans="1:11" x14ac:dyDescent="0.25">
      <c r="A2441">
        <v>2025</v>
      </c>
      <c r="C2441" s="9" t="s">
        <v>2382</v>
      </c>
      <c r="D2441" s="9" t="s">
        <v>2278</v>
      </c>
      <c r="F2441" s="26">
        <v>160</v>
      </c>
      <c r="G2441" s="26">
        <f t="shared" si="126"/>
        <v>160</v>
      </c>
      <c r="H2441" s="26">
        <f>80+80</f>
        <v>160</v>
      </c>
      <c r="I2441" s="57">
        <f t="shared" si="125"/>
        <v>0</v>
      </c>
      <c r="J2441" s="7" t="str">
        <f t="shared" si="124"/>
        <v>PAGADO</v>
      </c>
      <c r="K2441" s="60" t="s">
        <v>693</v>
      </c>
    </row>
    <row r="2442" spans="1:11" x14ac:dyDescent="0.25">
      <c r="A2442">
        <v>2025</v>
      </c>
      <c r="C2442" s="9" t="s">
        <v>2383</v>
      </c>
      <c r="D2442" s="9" t="s">
        <v>2278</v>
      </c>
      <c r="F2442" s="26">
        <v>150</v>
      </c>
      <c r="G2442" s="26">
        <f t="shared" si="126"/>
        <v>150</v>
      </c>
      <c r="H2442" s="26">
        <f>75+75</f>
        <v>150</v>
      </c>
      <c r="I2442" s="57">
        <f t="shared" si="125"/>
        <v>0</v>
      </c>
      <c r="J2442" s="7" t="str">
        <f t="shared" si="124"/>
        <v>PAGADO</v>
      </c>
      <c r="K2442" s="60" t="s">
        <v>693</v>
      </c>
    </row>
    <row r="2443" spans="1:11" x14ac:dyDescent="0.25">
      <c r="A2443">
        <v>2025</v>
      </c>
      <c r="C2443" s="9" t="s">
        <v>2384</v>
      </c>
      <c r="D2443" s="9" t="s">
        <v>2278</v>
      </c>
      <c r="F2443" s="26">
        <v>80</v>
      </c>
      <c r="G2443" s="26">
        <f t="shared" si="126"/>
        <v>80</v>
      </c>
      <c r="H2443" s="26">
        <f>40+40</f>
        <v>80</v>
      </c>
      <c r="I2443" s="57">
        <f t="shared" si="125"/>
        <v>0</v>
      </c>
      <c r="J2443" s="7" t="str">
        <f t="shared" si="124"/>
        <v>PAGADO</v>
      </c>
      <c r="K2443" s="60" t="s">
        <v>693</v>
      </c>
    </row>
    <row r="2444" spans="1:11" x14ac:dyDescent="0.25">
      <c r="A2444">
        <v>2025</v>
      </c>
      <c r="C2444" s="9" t="s">
        <v>2385</v>
      </c>
      <c r="D2444" s="9" t="s">
        <v>2278</v>
      </c>
      <c r="F2444" s="26">
        <v>330</v>
      </c>
      <c r="G2444" s="26">
        <f t="shared" si="126"/>
        <v>330</v>
      </c>
      <c r="H2444" s="26">
        <f>165+165</f>
        <v>330</v>
      </c>
      <c r="I2444" s="57">
        <f t="shared" si="125"/>
        <v>0</v>
      </c>
      <c r="J2444" s="7" t="str">
        <f t="shared" si="124"/>
        <v>PAGADO</v>
      </c>
      <c r="K2444" s="60" t="s">
        <v>693</v>
      </c>
    </row>
    <row r="2445" spans="1:11" x14ac:dyDescent="0.25">
      <c r="A2445">
        <v>2025</v>
      </c>
      <c r="C2445" s="9" t="s">
        <v>2386</v>
      </c>
      <c r="D2445" s="9" t="s">
        <v>2278</v>
      </c>
      <c r="F2445" s="26">
        <v>320</v>
      </c>
      <c r="G2445" s="26">
        <f t="shared" si="126"/>
        <v>320</v>
      </c>
      <c r="H2445" s="26">
        <f>59+261</f>
        <v>320</v>
      </c>
      <c r="I2445" s="57">
        <f t="shared" si="125"/>
        <v>0</v>
      </c>
      <c r="J2445" s="7" t="str">
        <f t="shared" ref="J2445:J2508" si="127">IF(I2445&gt;0,"DEBE","PAGADO")</f>
        <v>PAGADO</v>
      </c>
      <c r="K2445" s="60" t="s">
        <v>693</v>
      </c>
    </row>
    <row r="2446" spans="1:11" x14ac:dyDescent="0.25">
      <c r="A2446">
        <v>2025</v>
      </c>
      <c r="C2446" s="9" t="s">
        <v>2387</v>
      </c>
      <c r="D2446" s="9" t="s">
        <v>2278</v>
      </c>
      <c r="F2446" s="26">
        <v>640</v>
      </c>
      <c r="G2446" s="26">
        <f t="shared" si="126"/>
        <v>640</v>
      </c>
      <c r="H2446" s="26">
        <v>640</v>
      </c>
      <c r="I2446" s="27">
        <f t="shared" si="125"/>
        <v>0</v>
      </c>
      <c r="J2446" s="7" t="str">
        <f t="shared" si="127"/>
        <v>PAGADO</v>
      </c>
      <c r="K2446" s="60" t="s">
        <v>693</v>
      </c>
    </row>
    <row r="2447" spans="1:11" x14ac:dyDescent="0.25">
      <c r="A2447">
        <v>2025</v>
      </c>
      <c r="C2447" s="9" t="s">
        <v>2388</v>
      </c>
      <c r="D2447" s="9" t="s">
        <v>2278</v>
      </c>
      <c r="F2447" s="26">
        <v>590</v>
      </c>
      <c r="G2447" s="26">
        <f t="shared" si="126"/>
        <v>590</v>
      </c>
      <c r="H2447" s="26">
        <v>590</v>
      </c>
      <c r="I2447" s="27">
        <f t="shared" si="125"/>
        <v>0</v>
      </c>
      <c r="J2447" s="7" t="str">
        <f t="shared" si="127"/>
        <v>PAGADO</v>
      </c>
      <c r="K2447" s="60" t="s">
        <v>693</v>
      </c>
    </row>
    <row r="2448" spans="1:11" x14ac:dyDescent="0.25">
      <c r="A2448">
        <v>2025</v>
      </c>
      <c r="C2448" s="9" t="s">
        <v>2389</v>
      </c>
      <c r="D2448" s="9" t="s">
        <v>2390</v>
      </c>
      <c r="F2448" s="6">
        <v>85</v>
      </c>
      <c r="G2448" s="6">
        <f t="shared" si="126"/>
        <v>85</v>
      </c>
      <c r="H2448" s="6">
        <v>85</v>
      </c>
      <c r="I2448" s="26">
        <f t="shared" si="125"/>
        <v>0</v>
      </c>
      <c r="J2448" s="7" t="str">
        <f t="shared" si="127"/>
        <v>PAGADO</v>
      </c>
    </row>
    <row r="2449" spans="1:11" x14ac:dyDescent="0.25">
      <c r="A2449">
        <v>2025</v>
      </c>
      <c r="C2449" s="9" t="s">
        <v>2391</v>
      </c>
      <c r="D2449" s="9" t="s">
        <v>2392</v>
      </c>
      <c r="F2449" s="6">
        <v>110</v>
      </c>
      <c r="G2449" s="6">
        <f t="shared" si="126"/>
        <v>110</v>
      </c>
      <c r="H2449" s="6">
        <v>110</v>
      </c>
      <c r="I2449" s="26">
        <f t="shared" si="125"/>
        <v>0</v>
      </c>
      <c r="J2449" s="7" t="str">
        <f t="shared" si="127"/>
        <v>PAGADO</v>
      </c>
      <c r="K2449" s="9"/>
    </row>
    <row r="2450" spans="1:11" x14ac:dyDescent="0.25">
      <c r="A2450">
        <v>2025</v>
      </c>
      <c r="C2450" s="9" t="s">
        <v>2393</v>
      </c>
      <c r="D2450" s="9" t="s">
        <v>1425</v>
      </c>
      <c r="F2450" s="6">
        <v>100</v>
      </c>
      <c r="G2450" s="6">
        <f t="shared" si="126"/>
        <v>100</v>
      </c>
      <c r="H2450" s="6">
        <v>100</v>
      </c>
      <c r="I2450" s="26">
        <f t="shared" ref="I2450:I2513" si="128">F2450-H2450</f>
        <v>0</v>
      </c>
      <c r="J2450" s="7" t="str">
        <f t="shared" si="127"/>
        <v>PAGADO</v>
      </c>
    </row>
    <row r="2451" spans="1:11" x14ac:dyDescent="0.25">
      <c r="A2451">
        <v>2025</v>
      </c>
      <c r="C2451" s="9" t="s">
        <v>2266</v>
      </c>
      <c r="D2451" s="9" t="s">
        <v>2368</v>
      </c>
      <c r="F2451" s="6">
        <v>90</v>
      </c>
      <c r="G2451" s="6">
        <f t="shared" si="126"/>
        <v>90</v>
      </c>
      <c r="H2451" s="6">
        <f>45+45</f>
        <v>90</v>
      </c>
      <c r="I2451" s="26">
        <f t="shared" si="128"/>
        <v>0</v>
      </c>
      <c r="J2451" s="7" t="str">
        <f t="shared" si="127"/>
        <v>PAGADO</v>
      </c>
      <c r="K2451" s="59" t="s">
        <v>1823</v>
      </c>
    </row>
    <row r="2452" spans="1:11" x14ac:dyDescent="0.25">
      <c r="A2452">
        <v>2025</v>
      </c>
      <c r="C2452" s="9" t="s">
        <v>2394</v>
      </c>
      <c r="D2452" s="9" t="s">
        <v>2363</v>
      </c>
      <c r="F2452" s="6">
        <v>200</v>
      </c>
      <c r="G2452" s="6">
        <f t="shared" si="126"/>
        <v>200</v>
      </c>
      <c r="H2452" s="6">
        <v>200</v>
      </c>
      <c r="I2452" s="6">
        <f t="shared" si="128"/>
        <v>0</v>
      </c>
      <c r="J2452" s="7" t="str">
        <f t="shared" si="127"/>
        <v>PAGADO</v>
      </c>
      <c r="K2452" s="33" t="s">
        <v>693</v>
      </c>
    </row>
    <row r="2453" spans="1:11" x14ac:dyDescent="0.25">
      <c r="A2453">
        <v>2025</v>
      </c>
      <c r="C2453" s="9" t="s">
        <v>2395</v>
      </c>
      <c r="D2453" s="9" t="s">
        <v>1382</v>
      </c>
      <c r="F2453" s="6">
        <v>65</v>
      </c>
      <c r="G2453" s="6">
        <f t="shared" si="126"/>
        <v>65</v>
      </c>
      <c r="H2453" s="6">
        <f>30+35</f>
        <v>65</v>
      </c>
      <c r="I2453" s="6">
        <f t="shared" si="128"/>
        <v>0</v>
      </c>
      <c r="J2453" s="7" t="str">
        <f t="shared" si="127"/>
        <v>PAGADO</v>
      </c>
    </row>
    <row r="2454" spans="1:11" x14ac:dyDescent="0.25">
      <c r="A2454">
        <v>2025</v>
      </c>
      <c r="C2454" s="9" t="s">
        <v>2396</v>
      </c>
      <c r="D2454" s="9" t="s">
        <v>1290</v>
      </c>
      <c r="F2454" s="6">
        <v>120</v>
      </c>
      <c r="G2454" s="6">
        <f t="shared" si="126"/>
        <v>120</v>
      </c>
      <c r="H2454" s="6">
        <v>120</v>
      </c>
      <c r="I2454" s="55">
        <f t="shared" si="128"/>
        <v>0</v>
      </c>
      <c r="J2454" s="7" t="str">
        <f t="shared" si="127"/>
        <v>PAGADO</v>
      </c>
      <c r="K2454" s="9"/>
    </row>
    <row r="2455" spans="1:11" x14ac:dyDescent="0.25">
      <c r="A2455">
        <v>2025</v>
      </c>
      <c r="C2455" s="9" t="s">
        <v>612</v>
      </c>
      <c r="D2455" s="9" t="s">
        <v>2018</v>
      </c>
      <c r="F2455" s="6">
        <v>90</v>
      </c>
      <c r="G2455" s="6">
        <f t="shared" si="126"/>
        <v>90</v>
      </c>
      <c r="H2455" s="6">
        <v>90</v>
      </c>
      <c r="I2455" s="26">
        <f t="shared" si="128"/>
        <v>0</v>
      </c>
      <c r="J2455" s="7" t="str">
        <f t="shared" si="127"/>
        <v>PAGADO</v>
      </c>
    </row>
    <row r="2456" spans="1:11" x14ac:dyDescent="0.25">
      <c r="A2456">
        <v>2025</v>
      </c>
      <c r="C2456" t="s">
        <v>2397</v>
      </c>
      <c r="D2456" s="9" t="s">
        <v>1849</v>
      </c>
      <c r="F2456" s="6">
        <v>55</v>
      </c>
      <c r="G2456" s="6">
        <f t="shared" si="126"/>
        <v>55</v>
      </c>
      <c r="H2456" s="6">
        <v>55</v>
      </c>
      <c r="I2456" s="62">
        <f t="shared" si="128"/>
        <v>0</v>
      </c>
      <c r="J2456" s="7" t="str">
        <f t="shared" si="127"/>
        <v>PAGADO</v>
      </c>
      <c r="K2456" s="9"/>
    </row>
    <row r="2457" spans="1:11" x14ac:dyDescent="0.25">
      <c r="A2457">
        <v>2025</v>
      </c>
      <c r="C2457" t="s">
        <v>2398</v>
      </c>
      <c r="D2457" s="9" t="s">
        <v>1849</v>
      </c>
      <c r="F2457" s="6">
        <v>55</v>
      </c>
      <c r="G2457" s="6">
        <f t="shared" si="126"/>
        <v>55</v>
      </c>
      <c r="H2457" s="6">
        <v>55</v>
      </c>
      <c r="I2457" s="62">
        <f t="shared" si="128"/>
        <v>0</v>
      </c>
      <c r="J2457" s="7" t="str">
        <f t="shared" si="127"/>
        <v>PAGADO</v>
      </c>
      <c r="K2457" s="9"/>
    </row>
    <row r="2458" spans="1:11" x14ac:dyDescent="0.25">
      <c r="A2458">
        <v>2025</v>
      </c>
      <c r="C2458" t="s">
        <v>2399</v>
      </c>
      <c r="D2458" s="9" t="s">
        <v>1849</v>
      </c>
      <c r="F2458" s="6">
        <f>55*3</f>
        <v>165</v>
      </c>
      <c r="G2458" s="6">
        <f t="shared" si="126"/>
        <v>165</v>
      </c>
      <c r="H2458" s="6">
        <v>165</v>
      </c>
      <c r="I2458" s="62">
        <f t="shared" si="128"/>
        <v>0</v>
      </c>
      <c r="J2458" s="7" t="str">
        <f t="shared" si="127"/>
        <v>PAGADO</v>
      </c>
      <c r="K2458" s="9"/>
    </row>
    <row r="2459" spans="1:11" x14ac:dyDescent="0.25">
      <c r="A2459">
        <v>2025</v>
      </c>
      <c r="C2459" t="s">
        <v>2400</v>
      </c>
      <c r="D2459" s="9" t="s">
        <v>2153</v>
      </c>
      <c r="F2459" s="6">
        <v>100</v>
      </c>
      <c r="G2459" s="6">
        <f t="shared" si="126"/>
        <v>100</v>
      </c>
      <c r="H2459" s="6">
        <f>50+50</f>
        <v>100</v>
      </c>
      <c r="I2459" s="62">
        <f t="shared" si="128"/>
        <v>0</v>
      </c>
      <c r="J2459" s="7" t="str">
        <f t="shared" si="127"/>
        <v>PAGADO</v>
      </c>
    </row>
    <row r="2460" spans="1:11" x14ac:dyDescent="0.25">
      <c r="A2460">
        <v>2025</v>
      </c>
      <c r="C2460" t="s">
        <v>2401</v>
      </c>
      <c r="D2460" s="9" t="s">
        <v>2402</v>
      </c>
      <c r="F2460" s="6">
        <v>80</v>
      </c>
      <c r="G2460" s="6">
        <f t="shared" si="126"/>
        <v>80</v>
      </c>
      <c r="H2460" s="6">
        <v>80</v>
      </c>
      <c r="I2460" s="26">
        <f t="shared" si="128"/>
        <v>0</v>
      </c>
      <c r="J2460" s="7" t="str">
        <f t="shared" si="127"/>
        <v>PAGADO</v>
      </c>
    </row>
    <row r="2461" spans="1:11" x14ac:dyDescent="0.25">
      <c r="A2461">
        <v>2025</v>
      </c>
      <c r="C2461" t="s">
        <v>2403</v>
      </c>
      <c r="D2461" s="9" t="s">
        <v>488</v>
      </c>
      <c r="F2461" s="6">
        <v>50</v>
      </c>
      <c r="G2461" s="6">
        <f t="shared" si="126"/>
        <v>50</v>
      </c>
      <c r="H2461" s="6">
        <v>50</v>
      </c>
      <c r="I2461" s="26">
        <f t="shared" si="128"/>
        <v>0</v>
      </c>
      <c r="J2461" s="7" t="str">
        <f t="shared" si="127"/>
        <v>PAGADO</v>
      </c>
    </row>
    <row r="2462" spans="1:11" x14ac:dyDescent="0.25">
      <c r="A2462">
        <v>2025</v>
      </c>
      <c r="C2462" t="s">
        <v>2404</v>
      </c>
      <c r="D2462" s="9" t="s">
        <v>1370</v>
      </c>
      <c r="F2462" s="6">
        <v>125</v>
      </c>
      <c r="G2462" s="6">
        <f t="shared" si="126"/>
        <v>125</v>
      </c>
      <c r="H2462" s="6">
        <f>20+50+55</f>
        <v>125</v>
      </c>
      <c r="I2462" s="26">
        <f t="shared" si="128"/>
        <v>0</v>
      </c>
      <c r="J2462" s="7" t="str">
        <f t="shared" si="127"/>
        <v>PAGADO</v>
      </c>
    </row>
    <row r="2463" spans="1:11" x14ac:dyDescent="0.25">
      <c r="A2463">
        <v>2025</v>
      </c>
      <c r="C2463" t="s">
        <v>2405</v>
      </c>
      <c r="D2463" s="9" t="s">
        <v>2406</v>
      </c>
      <c r="F2463" s="6">
        <v>80</v>
      </c>
      <c r="G2463" s="6">
        <f t="shared" si="126"/>
        <v>80</v>
      </c>
      <c r="H2463" s="6">
        <v>80</v>
      </c>
      <c r="I2463" s="26">
        <f t="shared" si="128"/>
        <v>0</v>
      </c>
      <c r="J2463" s="7" t="str">
        <f t="shared" si="127"/>
        <v>PAGADO</v>
      </c>
    </row>
    <row r="2464" spans="1:11" x14ac:dyDescent="0.25">
      <c r="A2464">
        <v>2025</v>
      </c>
      <c r="C2464" s="9" t="s">
        <v>2354</v>
      </c>
      <c r="D2464" s="9" t="s">
        <v>2407</v>
      </c>
      <c r="F2464" s="6">
        <v>150</v>
      </c>
      <c r="G2464" s="6">
        <f t="shared" si="126"/>
        <v>150</v>
      </c>
      <c r="H2464" s="6">
        <f>75+75</f>
        <v>150</v>
      </c>
      <c r="I2464" s="26">
        <f t="shared" si="128"/>
        <v>0</v>
      </c>
      <c r="J2464" s="7" t="str">
        <f t="shared" si="127"/>
        <v>PAGADO</v>
      </c>
    </row>
    <row r="2465" spans="1:11" x14ac:dyDescent="0.25">
      <c r="A2465">
        <v>2025</v>
      </c>
      <c r="C2465" s="9" t="s">
        <v>2104</v>
      </c>
      <c r="D2465" s="9" t="s">
        <v>2408</v>
      </c>
      <c r="F2465" s="6">
        <v>65</v>
      </c>
      <c r="G2465" s="6">
        <f t="shared" si="126"/>
        <v>65</v>
      </c>
      <c r="H2465" s="6">
        <v>65</v>
      </c>
      <c r="I2465" s="26">
        <f t="shared" si="128"/>
        <v>0</v>
      </c>
      <c r="J2465" s="7" t="str">
        <f t="shared" si="127"/>
        <v>PAGADO</v>
      </c>
    </row>
    <row r="2466" spans="1:11" x14ac:dyDescent="0.25">
      <c r="A2466">
        <v>2025</v>
      </c>
      <c r="C2466" s="9" t="s">
        <v>2409</v>
      </c>
      <c r="D2466" s="9" t="s">
        <v>18</v>
      </c>
      <c r="F2466" s="6">
        <v>160</v>
      </c>
      <c r="G2466" s="6">
        <f t="shared" si="126"/>
        <v>160</v>
      </c>
      <c r="H2466" s="6">
        <f>100+50+10</f>
        <v>160</v>
      </c>
      <c r="I2466" s="26">
        <f t="shared" si="128"/>
        <v>0</v>
      </c>
      <c r="J2466" s="7" t="str">
        <f t="shared" si="127"/>
        <v>PAGADO</v>
      </c>
    </row>
    <row r="2467" spans="1:11" x14ac:dyDescent="0.25">
      <c r="A2467">
        <v>2025</v>
      </c>
      <c r="C2467" s="33" t="s">
        <v>2410</v>
      </c>
      <c r="D2467" s="9" t="s">
        <v>18</v>
      </c>
      <c r="F2467" s="6">
        <v>310</v>
      </c>
      <c r="G2467" s="6">
        <f t="shared" si="126"/>
        <v>310</v>
      </c>
      <c r="H2467" s="6">
        <f>130+50+50+50+30</f>
        <v>310</v>
      </c>
      <c r="I2467" s="26">
        <f t="shared" si="128"/>
        <v>0</v>
      </c>
      <c r="J2467" s="7" t="str">
        <f t="shared" si="127"/>
        <v>PAGADO</v>
      </c>
      <c r="K2467" s="9"/>
    </row>
    <row r="2468" spans="1:11" x14ac:dyDescent="0.25">
      <c r="A2468">
        <v>2025</v>
      </c>
      <c r="C2468" s="9" t="s">
        <v>2411</v>
      </c>
      <c r="D2468" s="9" t="s">
        <v>722</v>
      </c>
      <c r="F2468" s="6">
        <v>60</v>
      </c>
      <c r="G2468" s="6">
        <f t="shared" si="126"/>
        <v>60</v>
      </c>
      <c r="H2468" s="6">
        <v>60</v>
      </c>
      <c r="I2468" s="26">
        <f t="shared" si="128"/>
        <v>0</v>
      </c>
      <c r="J2468" s="7" t="str">
        <f t="shared" si="127"/>
        <v>PAGADO</v>
      </c>
    </row>
    <row r="2469" spans="1:11" x14ac:dyDescent="0.25">
      <c r="A2469">
        <v>2025</v>
      </c>
      <c r="C2469" s="9" t="s">
        <v>2412</v>
      </c>
      <c r="D2469" s="9" t="s">
        <v>816</v>
      </c>
      <c r="F2469" s="6">
        <v>65</v>
      </c>
      <c r="G2469" s="6">
        <f t="shared" si="126"/>
        <v>65</v>
      </c>
      <c r="H2469" s="6">
        <f>30+35</f>
        <v>65</v>
      </c>
      <c r="I2469" s="61">
        <f t="shared" si="128"/>
        <v>0</v>
      </c>
      <c r="J2469" s="7" t="str">
        <f t="shared" si="127"/>
        <v>PAGADO</v>
      </c>
    </row>
    <row r="2470" spans="1:11" x14ac:dyDescent="0.25">
      <c r="A2470">
        <v>2025</v>
      </c>
      <c r="C2470" s="9" t="s">
        <v>2413</v>
      </c>
      <c r="D2470" s="9" t="s">
        <v>816</v>
      </c>
      <c r="F2470" s="6">
        <v>65</v>
      </c>
      <c r="G2470" s="6">
        <f t="shared" si="126"/>
        <v>65</v>
      </c>
      <c r="H2470" s="6">
        <v>65</v>
      </c>
      <c r="I2470" s="61">
        <f t="shared" si="128"/>
        <v>0</v>
      </c>
      <c r="J2470" s="7" t="str">
        <f t="shared" si="127"/>
        <v>PAGADO</v>
      </c>
    </row>
    <row r="2471" spans="1:11" x14ac:dyDescent="0.25">
      <c r="A2471">
        <v>2025</v>
      </c>
      <c r="C2471" s="9" t="s">
        <v>2414</v>
      </c>
      <c r="D2471" s="9" t="s">
        <v>2415</v>
      </c>
      <c r="F2471" s="6">
        <v>140</v>
      </c>
      <c r="G2471" s="6">
        <f t="shared" si="126"/>
        <v>140</v>
      </c>
      <c r="H2471" s="6">
        <v>140</v>
      </c>
      <c r="I2471" s="26">
        <f t="shared" si="128"/>
        <v>0</v>
      </c>
      <c r="J2471" s="7" t="str">
        <f t="shared" si="127"/>
        <v>PAGADO</v>
      </c>
    </row>
    <row r="2472" spans="1:11" x14ac:dyDescent="0.25">
      <c r="A2472">
        <v>2025</v>
      </c>
      <c r="C2472" s="9" t="s">
        <v>2416</v>
      </c>
      <c r="D2472" s="9" t="s">
        <v>2415</v>
      </c>
      <c r="F2472" s="6">
        <f>8*15</f>
        <v>120</v>
      </c>
      <c r="G2472" s="6">
        <f t="shared" si="126"/>
        <v>120</v>
      </c>
      <c r="H2472" s="6">
        <v>120</v>
      </c>
      <c r="I2472" s="26">
        <f t="shared" si="128"/>
        <v>0</v>
      </c>
      <c r="J2472" s="7" t="str">
        <f t="shared" si="127"/>
        <v>PAGADO</v>
      </c>
    </row>
    <row r="2473" spans="1:11" x14ac:dyDescent="0.25">
      <c r="A2473">
        <v>2025</v>
      </c>
      <c r="C2473" s="9" t="s">
        <v>2417</v>
      </c>
      <c r="D2473" s="9" t="s">
        <v>2360</v>
      </c>
      <c r="F2473" s="6">
        <v>40</v>
      </c>
      <c r="G2473" s="6">
        <f t="shared" si="126"/>
        <v>40</v>
      </c>
      <c r="H2473" s="6">
        <v>40</v>
      </c>
      <c r="I2473" s="26">
        <f t="shared" si="128"/>
        <v>0</v>
      </c>
      <c r="J2473" s="7" t="str">
        <f t="shared" si="127"/>
        <v>PAGADO</v>
      </c>
      <c r="K2473" s="9"/>
    </row>
    <row r="2474" spans="1:11" x14ac:dyDescent="0.25">
      <c r="A2474">
        <v>2025</v>
      </c>
      <c r="C2474" s="9" t="s">
        <v>2418</v>
      </c>
      <c r="D2474" s="9" t="s">
        <v>2360</v>
      </c>
      <c r="F2474" s="6">
        <v>40</v>
      </c>
      <c r="G2474" s="6">
        <f t="shared" si="126"/>
        <v>40</v>
      </c>
      <c r="H2474" s="6">
        <v>40</v>
      </c>
      <c r="I2474" s="26">
        <f t="shared" si="128"/>
        <v>0</v>
      </c>
      <c r="J2474" s="7" t="str">
        <f t="shared" si="127"/>
        <v>PAGADO</v>
      </c>
      <c r="K2474" s="9"/>
    </row>
    <row r="2475" spans="1:11" x14ac:dyDescent="0.25">
      <c r="A2475">
        <v>2025</v>
      </c>
      <c r="C2475" s="9" t="s">
        <v>2419</v>
      </c>
      <c r="D2475" s="9" t="s">
        <v>2275</v>
      </c>
      <c r="F2475" s="6">
        <v>170</v>
      </c>
      <c r="G2475" s="6">
        <f t="shared" si="126"/>
        <v>170</v>
      </c>
      <c r="H2475" s="6">
        <f>60+110</f>
        <v>170</v>
      </c>
      <c r="I2475" s="26">
        <f t="shared" si="128"/>
        <v>0</v>
      </c>
      <c r="J2475" s="7" t="str">
        <f t="shared" si="127"/>
        <v>PAGADO</v>
      </c>
      <c r="K2475" s="9" t="s">
        <v>693</v>
      </c>
    </row>
    <row r="2476" spans="1:11" x14ac:dyDescent="0.25">
      <c r="A2476">
        <v>2025</v>
      </c>
      <c r="C2476" s="9" t="s">
        <v>2419</v>
      </c>
      <c r="D2476" s="9" t="s">
        <v>1504</v>
      </c>
      <c r="F2476" s="6">
        <v>170</v>
      </c>
      <c r="G2476" s="6">
        <f t="shared" si="126"/>
        <v>170</v>
      </c>
      <c r="H2476" s="6">
        <v>170</v>
      </c>
      <c r="I2476" s="26">
        <f t="shared" si="128"/>
        <v>0</v>
      </c>
      <c r="J2476" s="7" t="str">
        <f t="shared" si="127"/>
        <v>PAGADO</v>
      </c>
      <c r="K2476" s="33" t="s">
        <v>693</v>
      </c>
    </row>
    <row r="2477" spans="1:11" x14ac:dyDescent="0.25">
      <c r="A2477">
        <v>2025</v>
      </c>
      <c r="C2477" s="9" t="s">
        <v>2420</v>
      </c>
      <c r="D2477" s="9" t="s">
        <v>2278</v>
      </c>
      <c r="F2477" s="26">
        <v>80</v>
      </c>
      <c r="G2477" s="26">
        <f t="shared" si="126"/>
        <v>80</v>
      </c>
      <c r="H2477" s="16">
        <f>40+40</f>
        <v>80</v>
      </c>
      <c r="I2477" s="57">
        <f t="shared" si="128"/>
        <v>0</v>
      </c>
      <c r="J2477" s="7" t="str">
        <f t="shared" si="127"/>
        <v>PAGADO</v>
      </c>
      <c r="K2477" s="60" t="s">
        <v>693</v>
      </c>
    </row>
    <row r="2478" spans="1:11" x14ac:dyDescent="0.25">
      <c r="A2478">
        <v>2025</v>
      </c>
      <c r="C2478" s="9" t="s">
        <v>2421</v>
      </c>
      <c r="D2478" s="9" t="s">
        <v>2278</v>
      </c>
      <c r="F2478" s="26">
        <v>90</v>
      </c>
      <c r="G2478" s="26">
        <f t="shared" si="126"/>
        <v>90</v>
      </c>
      <c r="H2478" s="16">
        <f>45+45</f>
        <v>90</v>
      </c>
      <c r="I2478" s="57">
        <f t="shared" si="128"/>
        <v>0</v>
      </c>
      <c r="J2478" s="7" t="str">
        <f t="shared" si="127"/>
        <v>PAGADO</v>
      </c>
      <c r="K2478" s="60" t="s">
        <v>693</v>
      </c>
    </row>
    <row r="2479" spans="1:11" x14ac:dyDescent="0.25">
      <c r="A2479">
        <v>2025</v>
      </c>
      <c r="C2479" s="14" t="s">
        <v>2422</v>
      </c>
      <c r="D2479" s="9" t="s">
        <v>2066</v>
      </c>
      <c r="F2479" s="6">
        <v>90</v>
      </c>
      <c r="G2479" s="6">
        <f t="shared" si="126"/>
        <v>90</v>
      </c>
      <c r="H2479" s="6">
        <f>45+45</f>
        <v>90</v>
      </c>
      <c r="I2479" s="26">
        <f t="shared" si="128"/>
        <v>0</v>
      </c>
      <c r="J2479" s="7" t="str">
        <f t="shared" si="127"/>
        <v>PAGADO</v>
      </c>
      <c r="K2479" s="59" t="s">
        <v>1823</v>
      </c>
    </row>
    <row r="2480" spans="1:11" x14ac:dyDescent="0.25">
      <c r="A2480">
        <v>2025</v>
      </c>
      <c r="C2480" s="9" t="s">
        <v>2423</v>
      </c>
      <c r="D2480" s="9" t="s">
        <v>1736</v>
      </c>
      <c r="F2480" s="6">
        <v>80</v>
      </c>
      <c r="G2480" s="6">
        <f t="shared" si="126"/>
        <v>80</v>
      </c>
      <c r="H2480" s="6">
        <f>40+40</f>
        <v>80</v>
      </c>
      <c r="I2480" s="26">
        <f t="shared" si="128"/>
        <v>0</v>
      </c>
      <c r="J2480" s="7" t="str">
        <f t="shared" si="127"/>
        <v>PAGADO</v>
      </c>
      <c r="K2480" s="9"/>
    </row>
    <row r="2481" spans="1:11" x14ac:dyDescent="0.25">
      <c r="A2481">
        <v>2025</v>
      </c>
      <c r="C2481" s="9" t="s">
        <v>2424</v>
      </c>
      <c r="D2481" s="9" t="s">
        <v>74</v>
      </c>
      <c r="F2481" s="6">
        <v>90</v>
      </c>
      <c r="G2481" s="6">
        <f t="shared" si="126"/>
        <v>90</v>
      </c>
      <c r="H2481" s="6">
        <v>60</v>
      </c>
      <c r="I2481" s="26">
        <f t="shared" si="128"/>
        <v>30</v>
      </c>
      <c r="J2481" s="7" t="str">
        <f t="shared" si="127"/>
        <v>DEBE</v>
      </c>
    </row>
    <row r="2482" spans="1:11" x14ac:dyDescent="0.25">
      <c r="A2482">
        <v>2025</v>
      </c>
      <c r="C2482" s="9" t="s">
        <v>2425</v>
      </c>
      <c r="D2482" s="9" t="s">
        <v>74</v>
      </c>
      <c r="F2482" s="6">
        <v>90</v>
      </c>
      <c r="G2482" s="6">
        <f t="shared" si="126"/>
        <v>90</v>
      </c>
      <c r="H2482" s="6">
        <v>65</v>
      </c>
      <c r="I2482" s="26">
        <f t="shared" si="128"/>
        <v>25</v>
      </c>
      <c r="J2482" s="7" t="str">
        <f t="shared" si="127"/>
        <v>DEBE</v>
      </c>
    </row>
    <row r="2483" spans="1:11" x14ac:dyDescent="0.25">
      <c r="A2483">
        <v>2025</v>
      </c>
      <c r="C2483" s="9" t="s">
        <v>2426</v>
      </c>
      <c r="D2483" s="9" t="s">
        <v>74</v>
      </c>
      <c r="F2483" s="6">
        <v>90</v>
      </c>
      <c r="G2483" s="6">
        <f t="shared" si="126"/>
        <v>90</v>
      </c>
      <c r="H2483" s="6">
        <v>60</v>
      </c>
      <c r="I2483" s="26">
        <f t="shared" si="128"/>
        <v>30</v>
      </c>
      <c r="J2483" s="7" t="str">
        <f t="shared" si="127"/>
        <v>DEBE</v>
      </c>
    </row>
    <row r="2484" spans="1:11" x14ac:dyDescent="0.25">
      <c r="A2484">
        <v>2025</v>
      </c>
      <c r="C2484" s="9" t="s">
        <v>2427</v>
      </c>
      <c r="D2484" s="9" t="s">
        <v>74</v>
      </c>
      <c r="F2484" s="6">
        <v>90</v>
      </c>
      <c r="G2484" s="6">
        <f t="shared" si="126"/>
        <v>90</v>
      </c>
      <c r="H2484" s="6">
        <v>60</v>
      </c>
      <c r="I2484" s="26">
        <f t="shared" si="128"/>
        <v>30</v>
      </c>
      <c r="J2484" s="7" t="str">
        <f t="shared" si="127"/>
        <v>DEBE</v>
      </c>
    </row>
    <row r="2485" spans="1:11" x14ac:dyDescent="0.25">
      <c r="A2485">
        <v>2025</v>
      </c>
      <c r="C2485" s="9" t="s">
        <v>2428</v>
      </c>
      <c r="D2485" s="9" t="s">
        <v>74</v>
      </c>
      <c r="F2485" s="6">
        <v>110</v>
      </c>
      <c r="G2485" s="6">
        <f t="shared" si="126"/>
        <v>110</v>
      </c>
      <c r="H2485" s="6">
        <v>110</v>
      </c>
      <c r="I2485" s="51">
        <f t="shared" si="128"/>
        <v>0</v>
      </c>
      <c r="J2485" s="7" t="str">
        <f t="shared" si="127"/>
        <v>PAGADO</v>
      </c>
    </row>
    <row r="2486" spans="1:11" x14ac:dyDescent="0.25">
      <c r="A2486">
        <v>2025</v>
      </c>
      <c r="C2486" s="9" t="s">
        <v>2425</v>
      </c>
      <c r="D2486" s="9" t="s">
        <v>1677</v>
      </c>
      <c r="F2486" s="6">
        <v>90</v>
      </c>
      <c r="G2486" s="6">
        <f t="shared" si="126"/>
        <v>90</v>
      </c>
      <c r="H2486" s="6">
        <v>90</v>
      </c>
      <c r="I2486" s="26">
        <f t="shared" si="128"/>
        <v>0</v>
      </c>
      <c r="J2486" s="7" t="str">
        <f t="shared" si="127"/>
        <v>PAGADO</v>
      </c>
      <c r="K2486" t="s">
        <v>693</v>
      </c>
    </row>
    <row r="2487" spans="1:11" x14ac:dyDescent="0.25">
      <c r="A2487">
        <v>2025</v>
      </c>
      <c r="C2487" s="9" t="s">
        <v>2427</v>
      </c>
      <c r="D2487" s="9" t="s">
        <v>1677</v>
      </c>
      <c r="F2487" s="6">
        <v>90</v>
      </c>
      <c r="G2487" s="6">
        <f t="shared" si="126"/>
        <v>90</v>
      </c>
      <c r="H2487" s="6">
        <v>90</v>
      </c>
      <c r="I2487" s="26">
        <f t="shared" si="128"/>
        <v>0</v>
      </c>
      <c r="J2487" s="7" t="str">
        <f t="shared" si="127"/>
        <v>PAGADO</v>
      </c>
      <c r="K2487" t="s">
        <v>693</v>
      </c>
    </row>
    <row r="2488" spans="1:11" x14ac:dyDescent="0.25">
      <c r="A2488">
        <v>2025</v>
      </c>
      <c r="C2488" s="9" t="s">
        <v>2429</v>
      </c>
      <c r="D2488" s="9" t="s">
        <v>74</v>
      </c>
      <c r="F2488" s="6">
        <v>30</v>
      </c>
      <c r="G2488" s="6">
        <f t="shared" si="126"/>
        <v>30</v>
      </c>
      <c r="H2488" s="6">
        <v>30</v>
      </c>
      <c r="I2488" s="51">
        <f t="shared" si="128"/>
        <v>0</v>
      </c>
      <c r="J2488" s="7" t="str">
        <f t="shared" si="127"/>
        <v>PAGADO</v>
      </c>
    </row>
    <row r="2489" spans="1:11" x14ac:dyDescent="0.25">
      <c r="A2489">
        <v>2025</v>
      </c>
      <c r="C2489" s="9" t="s">
        <v>2430</v>
      </c>
      <c r="D2489" s="9" t="s">
        <v>74</v>
      </c>
      <c r="F2489" s="6">
        <v>100</v>
      </c>
      <c r="G2489" s="6">
        <f t="shared" si="126"/>
        <v>100</v>
      </c>
      <c r="H2489" s="6">
        <v>100</v>
      </c>
      <c r="I2489" s="26">
        <f t="shared" si="128"/>
        <v>0</v>
      </c>
      <c r="J2489" s="7" t="str">
        <f t="shared" si="127"/>
        <v>PAGADO</v>
      </c>
    </row>
    <row r="2490" spans="1:11" x14ac:dyDescent="0.25">
      <c r="A2490">
        <v>2025</v>
      </c>
      <c r="C2490" s="9" t="s">
        <v>2424</v>
      </c>
      <c r="D2490" s="9" t="s">
        <v>1606</v>
      </c>
      <c r="F2490" s="6">
        <v>90</v>
      </c>
      <c r="G2490" s="6">
        <f t="shared" si="126"/>
        <v>90</v>
      </c>
      <c r="H2490" s="6">
        <v>90</v>
      </c>
      <c r="I2490" s="26">
        <f t="shared" si="128"/>
        <v>0</v>
      </c>
      <c r="J2490" s="7" t="str">
        <f t="shared" si="127"/>
        <v>PAGADO</v>
      </c>
      <c r="K2490" s="9"/>
    </row>
    <row r="2491" spans="1:11" x14ac:dyDescent="0.25">
      <c r="A2491">
        <v>2025</v>
      </c>
      <c r="C2491" s="9" t="s">
        <v>1673</v>
      </c>
      <c r="D2491" s="9" t="s">
        <v>2018</v>
      </c>
      <c r="F2491" s="6">
        <v>60</v>
      </c>
      <c r="G2491" s="6">
        <f t="shared" si="126"/>
        <v>60</v>
      </c>
      <c r="H2491" s="6">
        <v>60</v>
      </c>
      <c r="I2491" s="26">
        <f t="shared" si="128"/>
        <v>0</v>
      </c>
      <c r="J2491" s="7" t="str">
        <f t="shared" si="127"/>
        <v>PAGADO</v>
      </c>
    </row>
    <row r="2492" spans="1:11" x14ac:dyDescent="0.25">
      <c r="A2492">
        <v>2025</v>
      </c>
      <c r="C2492" s="9" t="s">
        <v>2431</v>
      </c>
      <c r="D2492" s="9" t="s">
        <v>2415</v>
      </c>
      <c r="F2492" s="6">
        <v>120</v>
      </c>
      <c r="G2492" s="6">
        <f t="shared" si="126"/>
        <v>120</v>
      </c>
      <c r="H2492" s="6">
        <v>120</v>
      </c>
      <c r="I2492" s="26">
        <f t="shared" si="128"/>
        <v>0</v>
      </c>
      <c r="J2492" s="7" t="str">
        <f t="shared" si="127"/>
        <v>PAGADO</v>
      </c>
      <c r="K2492" s="9"/>
    </row>
    <row r="2493" spans="1:11" x14ac:dyDescent="0.25">
      <c r="A2493">
        <v>2025</v>
      </c>
      <c r="C2493" s="52" t="s">
        <v>2432</v>
      </c>
      <c r="D2493" s="9" t="s">
        <v>1451</v>
      </c>
      <c r="F2493" s="6">
        <v>90</v>
      </c>
      <c r="G2493" s="6">
        <f t="shared" si="126"/>
        <v>90</v>
      </c>
      <c r="H2493" s="6">
        <v>90</v>
      </c>
      <c r="I2493" s="26">
        <f t="shared" si="128"/>
        <v>0</v>
      </c>
      <c r="J2493" s="7" t="str">
        <f t="shared" si="127"/>
        <v>PAGADO</v>
      </c>
    </row>
    <row r="2494" spans="1:11" x14ac:dyDescent="0.25">
      <c r="A2494">
        <v>2025</v>
      </c>
      <c r="C2494" s="9" t="s">
        <v>2433</v>
      </c>
      <c r="D2494" s="9" t="s">
        <v>2278</v>
      </c>
      <c r="F2494" s="26">
        <v>50</v>
      </c>
      <c r="G2494" s="26">
        <f t="shared" ref="G2494:G2557" si="129">F2494-E2494</f>
        <v>50</v>
      </c>
      <c r="H2494" s="26">
        <v>50</v>
      </c>
      <c r="I2494" s="27">
        <f t="shared" si="128"/>
        <v>0</v>
      </c>
      <c r="J2494" s="7" t="str">
        <f t="shared" si="127"/>
        <v>PAGADO</v>
      </c>
      <c r="K2494" s="60" t="s">
        <v>693</v>
      </c>
    </row>
    <row r="2495" spans="1:11" x14ac:dyDescent="0.25">
      <c r="A2495">
        <v>2025</v>
      </c>
      <c r="C2495" s="9" t="s">
        <v>2434</v>
      </c>
      <c r="D2495" s="9" t="s">
        <v>2278</v>
      </c>
      <c r="F2495" s="26">
        <v>50</v>
      </c>
      <c r="G2495" s="26">
        <f t="shared" si="129"/>
        <v>50</v>
      </c>
      <c r="H2495" s="26">
        <v>50</v>
      </c>
      <c r="I2495" s="27">
        <f t="shared" si="128"/>
        <v>0</v>
      </c>
      <c r="J2495" s="7" t="str">
        <f t="shared" si="127"/>
        <v>PAGADO</v>
      </c>
      <c r="K2495" s="60" t="s">
        <v>693</v>
      </c>
    </row>
    <row r="2496" spans="1:11" x14ac:dyDescent="0.25">
      <c r="A2496">
        <v>2025</v>
      </c>
      <c r="C2496" s="9" t="s">
        <v>2435</v>
      </c>
      <c r="D2496" s="9" t="s">
        <v>2278</v>
      </c>
      <c r="F2496" s="26">
        <v>50</v>
      </c>
      <c r="G2496" s="26">
        <f t="shared" si="129"/>
        <v>50</v>
      </c>
      <c r="H2496" s="26">
        <v>50</v>
      </c>
      <c r="I2496" s="27">
        <f t="shared" si="128"/>
        <v>0</v>
      </c>
      <c r="J2496" s="7" t="str">
        <f t="shared" si="127"/>
        <v>PAGADO</v>
      </c>
      <c r="K2496" s="60" t="s">
        <v>693</v>
      </c>
    </row>
    <row r="2497" spans="1:11" x14ac:dyDescent="0.25">
      <c r="A2497">
        <v>2025</v>
      </c>
      <c r="C2497" s="9" t="s">
        <v>2436</v>
      </c>
      <c r="D2497" s="9" t="s">
        <v>2278</v>
      </c>
      <c r="F2497" s="26">
        <v>50</v>
      </c>
      <c r="G2497" s="26">
        <f t="shared" si="129"/>
        <v>50</v>
      </c>
      <c r="H2497" s="26">
        <v>50</v>
      </c>
      <c r="I2497" s="27">
        <f t="shared" si="128"/>
        <v>0</v>
      </c>
      <c r="J2497" s="7" t="str">
        <f t="shared" si="127"/>
        <v>PAGADO</v>
      </c>
      <c r="K2497" s="60" t="s">
        <v>693</v>
      </c>
    </row>
    <row r="2498" spans="1:11" x14ac:dyDescent="0.25">
      <c r="A2498">
        <v>2025</v>
      </c>
      <c r="C2498" s="9" t="s">
        <v>2437</v>
      </c>
      <c r="D2498" s="9" t="s">
        <v>2278</v>
      </c>
      <c r="F2498" s="26">
        <v>60</v>
      </c>
      <c r="G2498" s="26">
        <f t="shared" si="129"/>
        <v>60</v>
      </c>
      <c r="H2498" s="26">
        <v>60</v>
      </c>
      <c r="I2498" s="27">
        <f t="shared" si="128"/>
        <v>0</v>
      </c>
      <c r="J2498" s="7" t="str">
        <f t="shared" si="127"/>
        <v>PAGADO</v>
      </c>
      <c r="K2498" s="60" t="s">
        <v>693</v>
      </c>
    </row>
    <row r="2499" spans="1:11" x14ac:dyDescent="0.25">
      <c r="A2499">
        <v>2025</v>
      </c>
      <c r="C2499" s="9" t="s">
        <v>2438</v>
      </c>
      <c r="D2499" s="9" t="s">
        <v>2278</v>
      </c>
      <c r="F2499" s="26">
        <v>50</v>
      </c>
      <c r="G2499" s="26">
        <f t="shared" si="129"/>
        <v>50</v>
      </c>
      <c r="H2499" s="26">
        <v>50</v>
      </c>
      <c r="I2499" s="27">
        <f t="shared" si="128"/>
        <v>0</v>
      </c>
      <c r="J2499" s="7" t="str">
        <f t="shared" si="127"/>
        <v>PAGADO</v>
      </c>
      <c r="K2499" s="60" t="s">
        <v>693</v>
      </c>
    </row>
    <row r="2500" spans="1:11" x14ac:dyDescent="0.25">
      <c r="A2500">
        <v>2025</v>
      </c>
      <c r="C2500" s="9" t="s">
        <v>2439</v>
      </c>
      <c r="D2500" s="9" t="s">
        <v>2278</v>
      </c>
      <c r="F2500" s="26">
        <v>120</v>
      </c>
      <c r="G2500" s="26">
        <f t="shared" si="129"/>
        <v>120</v>
      </c>
      <c r="H2500" s="26">
        <v>120</v>
      </c>
      <c r="I2500" s="27">
        <f t="shared" si="128"/>
        <v>0</v>
      </c>
      <c r="J2500" s="7" t="str">
        <f t="shared" si="127"/>
        <v>PAGADO</v>
      </c>
      <c r="K2500" s="60" t="s">
        <v>693</v>
      </c>
    </row>
    <row r="2501" spans="1:11" x14ac:dyDescent="0.25">
      <c r="A2501">
        <v>2025</v>
      </c>
      <c r="C2501" s="9" t="s">
        <v>2440</v>
      </c>
      <c r="D2501" s="9" t="s">
        <v>2278</v>
      </c>
      <c r="F2501" s="26">
        <v>120</v>
      </c>
      <c r="G2501" s="26">
        <f t="shared" si="129"/>
        <v>120</v>
      </c>
      <c r="H2501" s="26">
        <v>120</v>
      </c>
      <c r="I2501" s="27">
        <f t="shared" si="128"/>
        <v>0</v>
      </c>
      <c r="J2501" s="7" t="str">
        <f t="shared" si="127"/>
        <v>PAGADO</v>
      </c>
      <c r="K2501" s="60" t="s">
        <v>693</v>
      </c>
    </row>
    <row r="2502" spans="1:11" x14ac:dyDescent="0.25">
      <c r="A2502">
        <v>2025</v>
      </c>
      <c r="C2502" s="9" t="s">
        <v>2441</v>
      </c>
      <c r="D2502" s="9" t="s">
        <v>2278</v>
      </c>
      <c r="F2502" s="26">
        <v>350</v>
      </c>
      <c r="G2502" s="26">
        <f t="shared" si="129"/>
        <v>350</v>
      </c>
      <c r="H2502" s="26">
        <f>220+130</f>
        <v>350</v>
      </c>
      <c r="I2502" s="27">
        <f t="shared" si="128"/>
        <v>0</v>
      </c>
      <c r="J2502" s="7" t="str">
        <f t="shared" si="127"/>
        <v>PAGADO</v>
      </c>
      <c r="K2502" s="60" t="s">
        <v>693</v>
      </c>
    </row>
    <row r="2503" spans="1:11" x14ac:dyDescent="0.25">
      <c r="A2503">
        <v>2025</v>
      </c>
      <c r="C2503" s="9" t="s">
        <v>2442</v>
      </c>
      <c r="D2503" s="9" t="s">
        <v>2415</v>
      </c>
      <c r="F2503" s="6">
        <v>40</v>
      </c>
      <c r="G2503" s="6">
        <f t="shared" si="129"/>
        <v>40</v>
      </c>
      <c r="H2503" s="6">
        <v>40</v>
      </c>
      <c r="I2503" s="26">
        <f t="shared" si="128"/>
        <v>0</v>
      </c>
      <c r="J2503" s="7" t="str">
        <f t="shared" si="127"/>
        <v>PAGADO</v>
      </c>
      <c r="K2503" s="59" t="s">
        <v>1823</v>
      </c>
    </row>
    <row r="2504" spans="1:11" x14ac:dyDescent="0.25">
      <c r="A2504">
        <v>2025</v>
      </c>
      <c r="C2504" s="9" t="s">
        <v>2443</v>
      </c>
      <c r="D2504" s="9" t="s">
        <v>2415</v>
      </c>
      <c r="F2504" s="6">
        <v>40</v>
      </c>
      <c r="G2504" s="6">
        <f t="shared" si="129"/>
        <v>40</v>
      </c>
      <c r="H2504" s="6">
        <v>40</v>
      </c>
      <c r="I2504" s="26">
        <f t="shared" si="128"/>
        <v>0</v>
      </c>
      <c r="J2504" s="7" t="str">
        <f t="shared" si="127"/>
        <v>PAGADO</v>
      </c>
      <c r="K2504" s="59" t="s">
        <v>1823</v>
      </c>
    </row>
    <row r="2505" spans="1:11" x14ac:dyDescent="0.25">
      <c r="A2505">
        <v>2025</v>
      </c>
      <c r="C2505" s="9" t="s">
        <v>2444</v>
      </c>
      <c r="D2505" s="9" t="s">
        <v>2360</v>
      </c>
      <c r="F2505" s="6">
        <v>40</v>
      </c>
      <c r="G2505" s="6">
        <f t="shared" si="129"/>
        <v>40</v>
      </c>
      <c r="H2505" s="27">
        <v>40</v>
      </c>
      <c r="I2505" s="26">
        <f t="shared" si="128"/>
        <v>0</v>
      </c>
      <c r="J2505" s="7" t="str">
        <f t="shared" si="127"/>
        <v>PAGADO</v>
      </c>
      <c r="K2505" s="59" t="s">
        <v>570</v>
      </c>
    </row>
    <row r="2506" spans="1:11" x14ac:dyDescent="0.25">
      <c r="A2506">
        <v>2025</v>
      </c>
      <c r="C2506" s="9" t="s">
        <v>2445</v>
      </c>
      <c r="D2506" s="9" t="s">
        <v>2360</v>
      </c>
      <c r="F2506" s="6">
        <v>40</v>
      </c>
      <c r="G2506" s="6">
        <f t="shared" si="129"/>
        <v>40</v>
      </c>
      <c r="H2506" s="27">
        <f>20+20</f>
        <v>40</v>
      </c>
      <c r="I2506" s="26">
        <f t="shared" si="128"/>
        <v>0</v>
      </c>
      <c r="J2506" s="7" t="str">
        <f t="shared" si="127"/>
        <v>PAGADO</v>
      </c>
      <c r="K2506" s="59" t="s">
        <v>570</v>
      </c>
    </row>
    <row r="2507" spans="1:11" x14ac:dyDescent="0.25">
      <c r="A2507">
        <v>2025</v>
      </c>
      <c r="C2507" s="9" t="s">
        <v>2446</v>
      </c>
      <c r="D2507" s="9" t="s">
        <v>2278</v>
      </c>
      <c r="F2507" s="26">
        <v>40</v>
      </c>
      <c r="G2507" s="26">
        <f t="shared" si="129"/>
        <v>40</v>
      </c>
      <c r="H2507" s="27">
        <f>20+20</f>
        <v>40</v>
      </c>
      <c r="I2507" s="48">
        <f t="shared" si="128"/>
        <v>0</v>
      </c>
      <c r="J2507" s="7" t="str">
        <f t="shared" si="127"/>
        <v>PAGADO</v>
      </c>
      <c r="K2507" s="60" t="s">
        <v>693</v>
      </c>
    </row>
    <row r="2508" spans="1:11" x14ac:dyDescent="0.25">
      <c r="A2508">
        <v>2025</v>
      </c>
      <c r="C2508" s="9" t="s">
        <v>2447</v>
      </c>
      <c r="D2508" s="9" t="s">
        <v>2278</v>
      </c>
      <c r="F2508" s="26">
        <v>50</v>
      </c>
      <c r="G2508" s="26">
        <f t="shared" si="129"/>
        <v>50</v>
      </c>
      <c r="H2508" s="27">
        <f t="shared" ref="H2508:H2514" si="130">25+25</f>
        <v>50</v>
      </c>
      <c r="I2508" s="48">
        <f t="shared" si="128"/>
        <v>0</v>
      </c>
      <c r="J2508" s="7" t="str">
        <f t="shared" si="127"/>
        <v>PAGADO</v>
      </c>
      <c r="K2508" s="60" t="s">
        <v>693</v>
      </c>
    </row>
    <row r="2509" spans="1:11" x14ac:dyDescent="0.25">
      <c r="A2509">
        <v>2025</v>
      </c>
      <c r="C2509" s="9" t="s">
        <v>2448</v>
      </c>
      <c r="D2509" s="9" t="s">
        <v>2278</v>
      </c>
      <c r="F2509" s="26">
        <v>50</v>
      </c>
      <c r="G2509" s="26">
        <f t="shared" si="129"/>
        <v>50</v>
      </c>
      <c r="H2509" s="27">
        <f t="shared" si="130"/>
        <v>50</v>
      </c>
      <c r="I2509" s="48">
        <f t="shared" si="128"/>
        <v>0</v>
      </c>
      <c r="J2509" s="7" t="str">
        <f t="shared" ref="J2509:J2563" si="131">IF(I2509&gt;0,"DEBE","PAGADO")</f>
        <v>PAGADO</v>
      </c>
      <c r="K2509" s="60" t="s">
        <v>693</v>
      </c>
    </row>
    <row r="2510" spans="1:11" x14ac:dyDescent="0.25">
      <c r="A2510">
        <v>2025</v>
      </c>
      <c r="C2510" t="s">
        <v>2449</v>
      </c>
      <c r="D2510" s="9" t="s">
        <v>2360</v>
      </c>
      <c r="F2510" s="65">
        <v>50</v>
      </c>
      <c r="G2510" s="6">
        <f t="shared" si="129"/>
        <v>50</v>
      </c>
      <c r="H2510" s="27">
        <f t="shared" si="130"/>
        <v>50</v>
      </c>
      <c r="I2510" s="62">
        <f t="shared" si="128"/>
        <v>0</v>
      </c>
      <c r="J2510" s="7" t="str">
        <f t="shared" si="131"/>
        <v>PAGADO</v>
      </c>
      <c r="K2510" s="59" t="s">
        <v>570</v>
      </c>
    </row>
    <row r="2511" spans="1:11" x14ac:dyDescent="0.25">
      <c r="A2511">
        <v>2025</v>
      </c>
      <c r="C2511" t="s">
        <v>2450</v>
      </c>
      <c r="D2511" s="9" t="s">
        <v>2360</v>
      </c>
      <c r="F2511" s="65">
        <v>50</v>
      </c>
      <c r="G2511" s="6">
        <f t="shared" si="129"/>
        <v>50</v>
      </c>
      <c r="H2511" s="27">
        <f t="shared" si="130"/>
        <v>50</v>
      </c>
      <c r="I2511" s="62">
        <f t="shared" si="128"/>
        <v>0</v>
      </c>
      <c r="J2511" s="7" t="str">
        <f t="shared" si="131"/>
        <v>PAGADO</v>
      </c>
      <c r="K2511" s="59" t="s">
        <v>570</v>
      </c>
    </row>
    <row r="2512" spans="1:11" x14ac:dyDescent="0.25">
      <c r="A2512">
        <v>2025</v>
      </c>
      <c r="C2512" t="s">
        <v>2451</v>
      </c>
      <c r="D2512" s="9" t="s">
        <v>2278</v>
      </c>
      <c r="F2512" s="26">
        <v>50</v>
      </c>
      <c r="G2512" s="26">
        <f t="shared" si="129"/>
        <v>50</v>
      </c>
      <c r="H2512" s="27">
        <f t="shared" si="130"/>
        <v>50</v>
      </c>
      <c r="I2512" s="66">
        <f t="shared" si="128"/>
        <v>0</v>
      </c>
      <c r="J2512" s="7" t="str">
        <f t="shared" si="131"/>
        <v>PAGADO</v>
      </c>
      <c r="K2512" s="60" t="s">
        <v>693</v>
      </c>
    </row>
    <row r="2513" spans="1:11" x14ac:dyDescent="0.25">
      <c r="A2513">
        <v>2025</v>
      </c>
      <c r="C2513" t="s">
        <v>2452</v>
      </c>
      <c r="D2513" s="9" t="s">
        <v>2278</v>
      </c>
      <c r="F2513" s="26">
        <v>50</v>
      </c>
      <c r="G2513" s="26">
        <f t="shared" si="129"/>
        <v>50</v>
      </c>
      <c r="H2513" s="27">
        <f t="shared" si="130"/>
        <v>50</v>
      </c>
      <c r="I2513" s="66">
        <f t="shared" si="128"/>
        <v>0</v>
      </c>
      <c r="J2513" s="7" t="str">
        <f t="shared" si="131"/>
        <v>PAGADO</v>
      </c>
      <c r="K2513" s="60" t="s">
        <v>693</v>
      </c>
    </row>
    <row r="2514" spans="1:11" x14ac:dyDescent="0.25">
      <c r="A2514">
        <v>2025</v>
      </c>
      <c r="C2514" t="s">
        <v>2453</v>
      </c>
      <c r="D2514" s="9" t="s">
        <v>2278</v>
      </c>
      <c r="F2514" s="26">
        <v>50</v>
      </c>
      <c r="G2514" s="26">
        <f t="shared" si="129"/>
        <v>50</v>
      </c>
      <c r="H2514" s="27">
        <f t="shared" si="130"/>
        <v>50</v>
      </c>
      <c r="I2514" s="66">
        <f t="shared" ref="I2514:I2577" si="132">F2514-H2514</f>
        <v>0</v>
      </c>
      <c r="J2514" s="7" t="str">
        <f t="shared" si="131"/>
        <v>PAGADO</v>
      </c>
      <c r="K2514" s="60" t="s">
        <v>693</v>
      </c>
    </row>
    <row r="2515" spans="1:11" x14ac:dyDescent="0.25">
      <c r="A2515">
        <v>2025</v>
      </c>
      <c r="C2515" t="s">
        <v>2454</v>
      </c>
      <c r="D2515" s="9" t="s">
        <v>2360</v>
      </c>
      <c r="F2515" s="65">
        <v>40</v>
      </c>
      <c r="G2515" s="6">
        <f t="shared" si="129"/>
        <v>40</v>
      </c>
      <c r="H2515" s="27">
        <v>40</v>
      </c>
      <c r="I2515" s="26">
        <f t="shared" si="132"/>
        <v>0</v>
      </c>
      <c r="J2515" s="7" t="str">
        <f t="shared" si="131"/>
        <v>PAGADO</v>
      </c>
      <c r="K2515" s="59" t="s">
        <v>570</v>
      </c>
    </row>
    <row r="2516" spans="1:11" x14ac:dyDescent="0.25">
      <c r="A2516">
        <v>2025</v>
      </c>
      <c r="C2516" t="s">
        <v>2455</v>
      </c>
      <c r="D2516" s="9" t="s">
        <v>1504</v>
      </c>
      <c r="F2516" s="6">
        <v>160</v>
      </c>
      <c r="G2516" s="6">
        <f t="shared" si="129"/>
        <v>160</v>
      </c>
      <c r="H2516" s="6">
        <v>160</v>
      </c>
      <c r="I2516" s="26">
        <f t="shared" si="132"/>
        <v>0</v>
      </c>
      <c r="J2516" s="7" t="str">
        <f t="shared" si="131"/>
        <v>PAGADO</v>
      </c>
      <c r="K2516" s="33" t="s">
        <v>693</v>
      </c>
    </row>
    <row r="2517" spans="1:11" x14ac:dyDescent="0.25">
      <c r="A2517">
        <v>2025</v>
      </c>
      <c r="C2517" t="s">
        <v>2456</v>
      </c>
      <c r="D2517" s="9" t="s">
        <v>2360</v>
      </c>
      <c r="F2517" s="6">
        <v>130</v>
      </c>
      <c r="G2517" s="6">
        <f t="shared" si="129"/>
        <v>130</v>
      </c>
      <c r="H2517" s="27">
        <v>130</v>
      </c>
      <c r="I2517" s="26">
        <f t="shared" si="132"/>
        <v>0</v>
      </c>
      <c r="J2517" s="7" t="str">
        <f t="shared" si="131"/>
        <v>PAGADO</v>
      </c>
      <c r="K2517" s="59" t="s">
        <v>570</v>
      </c>
    </row>
    <row r="2518" spans="1:11" x14ac:dyDescent="0.25">
      <c r="A2518">
        <v>2025</v>
      </c>
      <c r="C2518" s="9" t="s">
        <v>2457</v>
      </c>
      <c r="D2518" s="9" t="s">
        <v>1679</v>
      </c>
      <c r="F2518" s="6">
        <v>150</v>
      </c>
      <c r="G2518" s="6">
        <f t="shared" si="129"/>
        <v>150</v>
      </c>
      <c r="H2518" s="6">
        <v>150</v>
      </c>
      <c r="I2518" s="26">
        <f t="shared" si="132"/>
        <v>0</v>
      </c>
      <c r="J2518" s="7" t="str">
        <f t="shared" si="131"/>
        <v>PAGADO</v>
      </c>
      <c r="K2518" s="9"/>
    </row>
    <row r="2519" spans="1:11" x14ac:dyDescent="0.25">
      <c r="A2519">
        <v>2025</v>
      </c>
      <c r="C2519" s="9" t="s">
        <v>2458</v>
      </c>
      <c r="D2519" s="9" t="s">
        <v>1476</v>
      </c>
      <c r="F2519" s="6">
        <v>100</v>
      </c>
      <c r="G2519" s="6">
        <f t="shared" si="129"/>
        <v>100</v>
      </c>
      <c r="H2519" s="6">
        <v>100</v>
      </c>
      <c r="I2519" s="26">
        <f t="shared" si="132"/>
        <v>0</v>
      </c>
      <c r="J2519" s="7" t="str">
        <f t="shared" si="131"/>
        <v>PAGADO</v>
      </c>
    </row>
    <row r="2520" spans="1:11" x14ac:dyDescent="0.25">
      <c r="A2520">
        <v>2025</v>
      </c>
      <c r="C2520" s="9" t="s">
        <v>2459</v>
      </c>
      <c r="D2520" s="9" t="s">
        <v>1476</v>
      </c>
      <c r="F2520" s="6">
        <v>120</v>
      </c>
      <c r="G2520" s="6">
        <f t="shared" si="129"/>
        <v>120</v>
      </c>
      <c r="H2520" s="6">
        <v>120</v>
      </c>
      <c r="I2520" s="26">
        <f t="shared" si="132"/>
        <v>0</v>
      </c>
      <c r="J2520" s="7" t="str">
        <f t="shared" si="131"/>
        <v>PAGADO</v>
      </c>
    </row>
    <row r="2521" spans="1:11" x14ac:dyDescent="0.25">
      <c r="A2521">
        <v>2025</v>
      </c>
      <c r="C2521" s="9" t="s">
        <v>2460</v>
      </c>
      <c r="D2521" s="9" t="s">
        <v>2461</v>
      </c>
      <c r="F2521" s="6">
        <v>75</v>
      </c>
      <c r="G2521" s="6">
        <f t="shared" si="129"/>
        <v>75</v>
      </c>
      <c r="H2521" s="6">
        <v>75</v>
      </c>
      <c r="I2521" s="26">
        <f t="shared" si="132"/>
        <v>0</v>
      </c>
      <c r="J2521" s="7" t="str">
        <f t="shared" si="131"/>
        <v>PAGADO</v>
      </c>
    </row>
    <row r="2522" spans="1:11" x14ac:dyDescent="0.25">
      <c r="A2522">
        <v>2025</v>
      </c>
      <c r="C2522" s="9" t="s">
        <v>1077</v>
      </c>
      <c r="D2522" s="9" t="s">
        <v>1078</v>
      </c>
      <c r="F2522" s="6">
        <v>30</v>
      </c>
      <c r="G2522" s="6">
        <f t="shared" si="129"/>
        <v>30</v>
      </c>
      <c r="H2522" s="6">
        <v>30</v>
      </c>
      <c r="I2522" s="6">
        <f t="shared" si="132"/>
        <v>0</v>
      </c>
      <c r="J2522" s="7" t="str">
        <f t="shared" si="131"/>
        <v>PAGADO</v>
      </c>
    </row>
    <row r="2523" spans="1:11" x14ac:dyDescent="0.25">
      <c r="A2523">
        <v>2025</v>
      </c>
      <c r="C2523" s="9" t="s">
        <v>2462</v>
      </c>
      <c r="D2523" s="9" t="s">
        <v>1078</v>
      </c>
      <c r="F2523" s="6">
        <v>20</v>
      </c>
      <c r="G2523" s="6">
        <f t="shared" si="129"/>
        <v>20</v>
      </c>
      <c r="H2523" s="6">
        <v>20</v>
      </c>
      <c r="I2523" s="6">
        <f t="shared" si="132"/>
        <v>0</v>
      </c>
      <c r="J2523" s="7" t="str">
        <f t="shared" si="131"/>
        <v>PAGADO</v>
      </c>
    </row>
    <row r="2524" spans="1:11" x14ac:dyDescent="0.25">
      <c r="A2524">
        <v>2025</v>
      </c>
      <c r="C2524" s="9" t="s">
        <v>2334</v>
      </c>
      <c r="D2524" s="9" t="s">
        <v>1078</v>
      </c>
      <c r="F2524" s="6">
        <v>21</v>
      </c>
      <c r="G2524" s="6">
        <f t="shared" si="129"/>
        <v>21</v>
      </c>
      <c r="H2524" s="6">
        <v>21</v>
      </c>
      <c r="I2524" s="26">
        <f t="shared" si="132"/>
        <v>0</v>
      </c>
      <c r="J2524" s="7" t="str">
        <f t="shared" si="131"/>
        <v>PAGADO</v>
      </c>
      <c r="K2524" s="9"/>
    </row>
    <row r="2525" spans="1:11" x14ac:dyDescent="0.25">
      <c r="A2525">
        <v>2025</v>
      </c>
      <c r="C2525" s="9" t="s">
        <v>2463</v>
      </c>
      <c r="D2525" s="9" t="s">
        <v>1078</v>
      </c>
      <c r="F2525" s="6">
        <v>40</v>
      </c>
      <c r="G2525" s="6">
        <f t="shared" si="129"/>
        <v>40</v>
      </c>
      <c r="H2525" s="6">
        <v>40</v>
      </c>
      <c r="I2525" s="26">
        <f t="shared" si="132"/>
        <v>0</v>
      </c>
      <c r="J2525" s="7" t="str">
        <f t="shared" si="131"/>
        <v>PAGADO</v>
      </c>
    </row>
    <row r="2526" spans="1:11" x14ac:dyDescent="0.25">
      <c r="A2526">
        <v>2025</v>
      </c>
      <c r="C2526" s="9" t="s">
        <v>2464</v>
      </c>
      <c r="D2526" s="9" t="s">
        <v>700</v>
      </c>
      <c r="F2526" s="6">
        <v>40</v>
      </c>
      <c r="G2526" s="6">
        <f t="shared" si="129"/>
        <v>40</v>
      </c>
      <c r="H2526" s="6">
        <v>40</v>
      </c>
      <c r="I2526" s="26">
        <f t="shared" si="132"/>
        <v>0</v>
      </c>
      <c r="J2526" s="7" t="str">
        <f t="shared" si="131"/>
        <v>PAGADO</v>
      </c>
    </row>
    <row r="2527" spans="1:11" x14ac:dyDescent="0.25">
      <c r="A2527">
        <v>2025</v>
      </c>
      <c r="C2527" s="9" t="s">
        <v>2465</v>
      </c>
      <c r="D2527" s="9" t="s">
        <v>700</v>
      </c>
      <c r="F2527" s="6">
        <v>30</v>
      </c>
      <c r="G2527" s="6">
        <f t="shared" si="129"/>
        <v>30</v>
      </c>
      <c r="H2527" s="6">
        <v>30</v>
      </c>
      <c r="I2527" s="26">
        <f t="shared" si="132"/>
        <v>0</v>
      </c>
      <c r="J2527" s="7" t="str">
        <f t="shared" si="131"/>
        <v>PAGADO</v>
      </c>
    </row>
    <row r="2528" spans="1:11" x14ac:dyDescent="0.25">
      <c r="A2528">
        <v>2025</v>
      </c>
      <c r="C2528" t="s">
        <v>2466</v>
      </c>
      <c r="D2528" s="9" t="s">
        <v>2058</v>
      </c>
      <c r="F2528" s="6">
        <v>220</v>
      </c>
      <c r="G2528" s="6">
        <f t="shared" si="129"/>
        <v>220</v>
      </c>
      <c r="H2528" s="6">
        <f>100+120</f>
        <v>220</v>
      </c>
      <c r="I2528" s="26">
        <f t="shared" si="132"/>
        <v>0</v>
      </c>
      <c r="J2528" s="7" t="str">
        <f t="shared" si="131"/>
        <v>PAGADO</v>
      </c>
      <c r="K2528" s="33" t="s">
        <v>2258</v>
      </c>
    </row>
    <row r="2529" spans="1:11" x14ac:dyDescent="0.25">
      <c r="A2529">
        <v>2025</v>
      </c>
      <c r="C2529" s="9" t="s">
        <v>2467</v>
      </c>
      <c r="D2529" s="9" t="s">
        <v>2468</v>
      </c>
      <c r="F2529" s="6">
        <v>50</v>
      </c>
      <c r="G2529" s="6">
        <f t="shared" si="129"/>
        <v>50</v>
      </c>
      <c r="H2529" s="6">
        <v>50</v>
      </c>
      <c r="I2529" s="26">
        <f t="shared" si="132"/>
        <v>0</v>
      </c>
      <c r="J2529" s="7" t="str">
        <f t="shared" si="131"/>
        <v>PAGADO</v>
      </c>
    </row>
    <row r="2530" spans="1:11" x14ac:dyDescent="0.25">
      <c r="A2530">
        <v>2025</v>
      </c>
      <c r="C2530" s="9" t="s">
        <v>2469</v>
      </c>
      <c r="D2530" s="9" t="s">
        <v>1309</v>
      </c>
      <c r="F2530" s="6">
        <v>60</v>
      </c>
      <c r="G2530" s="6">
        <f t="shared" si="129"/>
        <v>60</v>
      </c>
      <c r="H2530" s="6">
        <f>50+10</f>
        <v>60</v>
      </c>
      <c r="I2530" s="26">
        <f t="shared" si="132"/>
        <v>0</v>
      </c>
      <c r="J2530" s="7" t="str">
        <f t="shared" si="131"/>
        <v>PAGADO</v>
      </c>
    </row>
    <row r="2531" spans="1:11" x14ac:dyDescent="0.25">
      <c r="A2531">
        <v>2025</v>
      </c>
      <c r="C2531" s="9" t="s">
        <v>2470</v>
      </c>
      <c r="D2531" s="9" t="s">
        <v>2407</v>
      </c>
      <c r="F2531" s="6">
        <v>70</v>
      </c>
      <c r="G2531" s="6">
        <f t="shared" si="129"/>
        <v>70</v>
      </c>
      <c r="H2531" s="6">
        <f>35+35</f>
        <v>70</v>
      </c>
      <c r="I2531" s="26">
        <f t="shared" si="132"/>
        <v>0</v>
      </c>
      <c r="J2531" s="7" t="str">
        <f t="shared" si="131"/>
        <v>PAGADO</v>
      </c>
      <c r="K2531" s="59" t="s">
        <v>1823</v>
      </c>
    </row>
    <row r="2532" spans="1:11" x14ac:dyDescent="0.25">
      <c r="A2532">
        <v>2025</v>
      </c>
      <c r="C2532" s="9" t="s">
        <v>2471</v>
      </c>
      <c r="D2532" s="9" t="s">
        <v>2363</v>
      </c>
      <c r="F2532" s="6">
        <v>70</v>
      </c>
      <c r="G2532" s="6">
        <f t="shared" si="129"/>
        <v>70</v>
      </c>
      <c r="H2532" s="6">
        <f>35+35</f>
        <v>70</v>
      </c>
      <c r="I2532" s="26">
        <f t="shared" si="132"/>
        <v>0</v>
      </c>
      <c r="J2532" s="7" t="str">
        <f t="shared" si="131"/>
        <v>PAGADO</v>
      </c>
      <c r="K2532" s="33" t="s">
        <v>693</v>
      </c>
    </row>
    <row r="2533" spans="1:11" x14ac:dyDescent="0.25">
      <c r="A2533">
        <v>2025</v>
      </c>
      <c r="C2533" s="9" t="s">
        <v>1041</v>
      </c>
      <c r="D2533" s="9" t="s">
        <v>2363</v>
      </c>
      <c r="F2533" s="6">
        <v>350</v>
      </c>
      <c r="G2533" s="6">
        <f t="shared" si="129"/>
        <v>350</v>
      </c>
      <c r="H2533" s="6">
        <v>350</v>
      </c>
      <c r="I2533" s="26">
        <f t="shared" si="132"/>
        <v>0</v>
      </c>
      <c r="J2533" s="7" t="str">
        <f t="shared" si="131"/>
        <v>PAGADO</v>
      </c>
      <c r="K2533" s="33" t="s">
        <v>693</v>
      </c>
    </row>
    <row r="2534" spans="1:11" x14ac:dyDescent="0.25">
      <c r="A2534">
        <v>2025</v>
      </c>
      <c r="C2534" s="9" t="s">
        <v>2472</v>
      </c>
      <c r="D2534" s="9" t="s">
        <v>2473</v>
      </c>
      <c r="F2534" s="6">
        <v>40</v>
      </c>
      <c r="G2534" s="6">
        <f t="shared" si="129"/>
        <v>40</v>
      </c>
      <c r="H2534" s="6">
        <v>40</v>
      </c>
      <c r="I2534" s="26">
        <f t="shared" si="132"/>
        <v>0</v>
      </c>
      <c r="J2534" s="7" t="str">
        <f t="shared" si="131"/>
        <v>PAGADO</v>
      </c>
    </row>
    <row r="2535" spans="1:11" x14ac:dyDescent="0.25">
      <c r="A2535">
        <v>2025</v>
      </c>
      <c r="C2535" t="s">
        <v>2474</v>
      </c>
      <c r="D2535" s="9" t="s">
        <v>1849</v>
      </c>
      <c r="F2535" s="6">
        <f>55*3</f>
        <v>165</v>
      </c>
      <c r="G2535" s="6">
        <f t="shared" si="129"/>
        <v>165</v>
      </c>
      <c r="H2535" s="6">
        <v>165</v>
      </c>
      <c r="I2535" s="62">
        <f t="shared" si="132"/>
        <v>0</v>
      </c>
      <c r="J2535" s="7" t="str">
        <f t="shared" si="131"/>
        <v>PAGADO</v>
      </c>
    </row>
    <row r="2536" spans="1:11" x14ac:dyDescent="0.25">
      <c r="A2536">
        <v>2025</v>
      </c>
      <c r="C2536" t="s">
        <v>2475</v>
      </c>
      <c r="D2536" s="9" t="s">
        <v>2278</v>
      </c>
      <c r="F2536" s="26">
        <v>50</v>
      </c>
      <c r="G2536" s="26">
        <f t="shared" si="129"/>
        <v>50</v>
      </c>
      <c r="H2536" s="62">
        <f>25+25</f>
        <v>50</v>
      </c>
      <c r="I2536" s="62">
        <f t="shared" si="132"/>
        <v>0</v>
      </c>
      <c r="J2536" s="7" t="str">
        <f t="shared" si="131"/>
        <v>PAGADO</v>
      </c>
      <c r="K2536" s="60" t="s">
        <v>693</v>
      </c>
    </row>
    <row r="2537" spans="1:11" x14ac:dyDescent="0.25">
      <c r="A2537">
        <v>2025</v>
      </c>
      <c r="C2537" t="s">
        <v>2476</v>
      </c>
      <c r="D2537" s="9" t="s">
        <v>2278</v>
      </c>
      <c r="F2537" s="26">
        <v>50</v>
      </c>
      <c r="G2537" s="26">
        <f t="shared" si="129"/>
        <v>50</v>
      </c>
      <c r="H2537" s="62">
        <f>25+25</f>
        <v>50</v>
      </c>
      <c r="I2537" s="62">
        <f t="shared" si="132"/>
        <v>0</v>
      </c>
      <c r="J2537" s="7" t="str">
        <f t="shared" si="131"/>
        <v>PAGADO</v>
      </c>
      <c r="K2537" s="60" t="s">
        <v>693</v>
      </c>
    </row>
    <row r="2538" spans="1:11" x14ac:dyDescent="0.25">
      <c r="A2538">
        <v>2025</v>
      </c>
      <c r="C2538" t="s">
        <v>2477</v>
      </c>
      <c r="D2538" s="9" t="s">
        <v>2360</v>
      </c>
      <c r="F2538" s="6">
        <v>100</v>
      </c>
      <c r="G2538" s="6">
        <f t="shared" si="129"/>
        <v>100</v>
      </c>
      <c r="H2538" s="27">
        <v>100</v>
      </c>
      <c r="I2538" s="26">
        <f t="shared" si="132"/>
        <v>0</v>
      </c>
      <c r="J2538" s="7" t="str">
        <f t="shared" si="131"/>
        <v>PAGADO</v>
      </c>
      <c r="K2538" s="59" t="s">
        <v>570</v>
      </c>
    </row>
    <row r="2539" spans="1:11" x14ac:dyDescent="0.25">
      <c r="A2539">
        <v>2025</v>
      </c>
      <c r="C2539" t="s">
        <v>2478</v>
      </c>
      <c r="D2539" s="9" t="s">
        <v>2360</v>
      </c>
      <c r="F2539" s="6">
        <v>35</v>
      </c>
      <c r="G2539" s="6">
        <f t="shared" si="129"/>
        <v>35</v>
      </c>
      <c r="H2539" s="27">
        <v>35</v>
      </c>
      <c r="I2539" s="26">
        <f t="shared" si="132"/>
        <v>0</v>
      </c>
      <c r="J2539" s="7" t="str">
        <f t="shared" si="131"/>
        <v>PAGADO</v>
      </c>
      <c r="K2539" s="33" t="s">
        <v>2479</v>
      </c>
    </row>
    <row r="2540" spans="1:11" x14ac:dyDescent="0.25">
      <c r="A2540">
        <v>2025</v>
      </c>
      <c r="C2540" t="s">
        <v>2480</v>
      </c>
      <c r="D2540" s="9" t="s">
        <v>2360</v>
      </c>
      <c r="F2540" s="6">
        <v>35</v>
      </c>
      <c r="G2540" s="6">
        <f t="shared" si="129"/>
        <v>35</v>
      </c>
      <c r="H2540" s="27">
        <v>35</v>
      </c>
      <c r="I2540" s="26">
        <f t="shared" si="132"/>
        <v>0</v>
      </c>
      <c r="J2540" s="7" t="str">
        <f t="shared" si="131"/>
        <v>PAGADO</v>
      </c>
      <c r="K2540" s="33" t="s">
        <v>2479</v>
      </c>
    </row>
    <row r="2541" spans="1:11" x14ac:dyDescent="0.25">
      <c r="A2541">
        <v>2025</v>
      </c>
      <c r="C2541" s="9" t="s">
        <v>2481</v>
      </c>
      <c r="D2541" s="9" t="s">
        <v>2363</v>
      </c>
      <c r="F2541" s="6">
        <v>35</v>
      </c>
      <c r="G2541" s="6">
        <f t="shared" si="129"/>
        <v>35</v>
      </c>
      <c r="H2541" s="6">
        <v>35</v>
      </c>
      <c r="I2541" s="26">
        <f t="shared" si="132"/>
        <v>0</v>
      </c>
      <c r="J2541" s="7" t="str">
        <f t="shared" si="131"/>
        <v>PAGADO</v>
      </c>
      <c r="K2541" s="33" t="s">
        <v>693</v>
      </c>
    </row>
    <row r="2542" spans="1:11" x14ac:dyDescent="0.25">
      <c r="A2542">
        <v>2025</v>
      </c>
      <c r="C2542" s="9" t="s">
        <v>2482</v>
      </c>
      <c r="D2542" s="9" t="s">
        <v>1290</v>
      </c>
      <c r="F2542" s="6">
        <v>75</v>
      </c>
      <c r="G2542" s="6">
        <f t="shared" si="129"/>
        <v>75</v>
      </c>
      <c r="H2542" s="6">
        <v>75</v>
      </c>
      <c r="I2542" s="55">
        <f t="shared" si="132"/>
        <v>0</v>
      </c>
      <c r="J2542" s="7" t="str">
        <f t="shared" si="131"/>
        <v>PAGADO</v>
      </c>
      <c r="K2542" s="9" t="s">
        <v>1823</v>
      </c>
    </row>
    <row r="2543" spans="1:11" x14ac:dyDescent="0.25">
      <c r="A2543">
        <v>2025</v>
      </c>
      <c r="C2543" s="9" t="s">
        <v>2483</v>
      </c>
      <c r="D2543" s="9" t="s">
        <v>1309</v>
      </c>
      <c r="F2543" s="6">
        <v>80</v>
      </c>
      <c r="G2543" s="6">
        <f t="shared" si="129"/>
        <v>80</v>
      </c>
      <c r="H2543" s="6">
        <f>40+40</f>
        <v>80</v>
      </c>
      <c r="I2543" s="26">
        <f t="shared" si="132"/>
        <v>0</v>
      </c>
      <c r="J2543" s="7" t="str">
        <f t="shared" si="131"/>
        <v>PAGADO</v>
      </c>
      <c r="K2543" s="59" t="s">
        <v>2484</v>
      </c>
    </row>
    <row r="2544" spans="1:11" x14ac:dyDescent="0.25">
      <c r="A2544">
        <v>2025</v>
      </c>
      <c r="C2544" s="9" t="s">
        <v>2485</v>
      </c>
      <c r="D2544" s="9" t="s">
        <v>816</v>
      </c>
      <c r="F2544" s="6">
        <v>70</v>
      </c>
      <c r="G2544" s="6">
        <f t="shared" si="129"/>
        <v>70</v>
      </c>
      <c r="H2544" s="6">
        <v>70</v>
      </c>
      <c r="I2544" s="26">
        <f t="shared" si="132"/>
        <v>0</v>
      </c>
      <c r="J2544" s="7" t="str">
        <f t="shared" si="131"/>
        <v>PAGADO</v>
      </c>
      <c r="K2544" s="59" t="s">
        <v>1823</v>
      </c>
    </row>
    <row r="2545" spans="1:11" x14ac:dyDescent="0.25">
      <c r="A2545">
        <v>2025</v>
      </c>
      <c r="C2545" s="9" t="s">
        <v>2486</v>
      </c>
      <c r="D2545" t="s">
        <v>1399</v>
      </c>
      <c r="F2545" s="6">
        <v>35</v>
      </c>
      <c r="G2545" s="6">
        <f t="shared" si="129"/>
        <v>35</v>
      </c>
      <c r="H2545" s="6">
        <v>35</v>
      </c>
      <c r="I2545" s="26">
        <f t="shared" si="132"/>
        <v>0</v>
      </c>
      <c r="J2545" s="7" t="str">
        <f t="shared" si="131"/>
        <v>PAGADO</v>
      </c>
      <c r="K2545" s="33" t="s">
        <v>2479</v>
      </c>
    </row>
    <row r="2546" spans="1:11" x14ac:dyDescent="0.25">
      <c r="A2546">
        <v>2025</v>
      </c>
      <c r="C2546" s="9" t="s">
        <v>2487</v>
      </c>
      <c r="D2546" t="s">
        <v>816</v>
      </c>
      <c r="F2546" s="6">
        <f>35*6</f>
        <v>210</v>
      </c>
      <c r="G2546" s="6">
        <f t="shared" si="129"/>
        <v>210</v>
      </c>
      <c r="H2546" s="6">
        <v>210</v>
      </c>
      <c r="I2546" s="26">
        <f t="shared" si="132"/>
        <v>0</v>
      </c>
      <c r="J2546" s="7" t="str">
        <f t="shared" si="131"/>
        <v>PAGADO</v>
      </c>
      <c r="K2546" s="33" t="s">
        <v>2479</v>
      </c>
    </row>
    <row r="2547" spans="1:11" x14ac:dyDescent="0.25">
      <c r="A2547">
        <v>2025</v>
      </c>
      <c r="C2547" t="s">
        <v>2488</v>
      </c>
      <c r="D2547" s="9" t="s">
        <v>2278</v>
      </c>
      <c r="F2547" s="26">
        <v>100</v>
      </c>
      <c r="G2547" s="26">
        <f t="shared" si="129"/>
        <v>100</v>
      </c>
      <c r="H2547" s="27">
        <f>50+50</f>
        <v>100</v>
      </c>
      <c r="I2547" s="67">
        <f t="shared" si="132"/>
        <v>0</v>
      </c>
      <c r="J2547" s="7" t="str">
        <f t="shared" si="131"/>
        <v>PAGADO</v>
      </c>
      <c r="K2547" s="60" t="s">
        <v>693</v>
      </c>
    </row>
    <row r="2548" spans="1:11" x14ac:dyDescent="0.25">
      <c r="A2548">
        <v>2025</v>
      </c>
      <c r="C2548" t="s">
        <v>2489</v>
      </c>
      <c r="D2548" s="9" t="s">
        <v>2360</v>
      </c>
      <c r="F2548" s="6">
        <v>140</v>
      </c>
      <c r="G2548" s="6">
        <f t="shared" si="129"/>
        <v>140</v>
      </c>
      <c r="H2548" s="27">
        <v>140</v>
      </c>
      <c r="I2548" s="26">
        <f t="shared" si="132"/>
        <v>0</v>
      </c>
      <c r="J2548" s="7" t="str">
        <f t="shared" si="131"/>
        <v>PAGADO</v>
      </c>
      <c r="K2548" s="33" t="s">
        <v>2258</v>
      </c>
    </row>
    <row r="2549" spans="1:11" x14ac:dyDescent="0.25">
      <c r="A2549">
        <v>2025</v>
      </c>
      <c r="C2549" s="68" t="s">
        <v>2490</v>
      </c>
      <c r="D2549" s="52" t="s">
        <v>2360</v>
      </c>
      <c r="E2549" s="69"/>
      <c r="F2549" s="55">
        <v>50</v>
      </c>
      <c r="G2549" s="55">
        <f t="shared" si="129"/>
        <v>50</v>
      </c>
      <c r="H2549" s="55">
        <v>50</v>
      </c>
      <c r="I2549" s="55">
        <f t="shared" si="132"/>
        <v>0</v>
      </c>
      <c r="J2549" s="70" t="str">
        <f t="shared" si="131"/>
        <v>PAGADO</v>
      </c>
      <c r="K2549" s="52" t="s">
        <v>2491</v>
      </c>
    </row>
    <row r="2550" spans="1:11" x14ac:dyDescent="0.25">
      <c r="A2550">
        <v>2025</v>
      </c>
      <c r="C2550" t="s">
        <v>2492</v>
      </c>
      <c r="D2550" s="9" t="s">
        <v>1736</v>
      </c>
      <c r="F2550" s="26">
        <v>210</v>
      </c>
      <c r="G2550" s="26">
        <f t="shared" si="129"/>
        <v>210</v>
      </c>
      <c r="H2550" s="26">
        <f>105+105</f>
        <v>210</v>
      </c>
      <c r="I2550" s="26">
        <f t="shared" si="132"/>
        <v>0</v>
      </c>
      <c r="J2550" s="7" t="str">
        <f t="shared" si="131"/>
        <v>PAGADO</v>
      </c>
      <c r="K2550" s="9" t="s">
        <v>570</v>
      </c>
    </row>
    <row r="2551" spans="1:11" x14ac:dyDescent="0.25">
      <c r="A2551">
        <v>2025</v>
      </c>
      <c r="C2551" t="s">
        <v>2493</v>
      </c>
      <c r="D2551" s="9" t="s">
        <v>1736</v>
      </c>
      <c r="F2551" s="26">
        <v>10</v>
      </c>
      <c r="G2551" s="26">
        <f t="shared" si="129"/>
        <v>10</v>
      </c>
      <c r="H2551" s="26">
        <v>10</v>
      </c>
      <c r="I2551" s="26">
        <f t="shared" si="132"/>
        <v>0</v>
      </c>
      <c r="J2551" s="7" t="str">
        <f t="shared" si="131"/>
        <v>PAGADO</v>
      </c>
      <c r="K2551" s="9" t="s">
        <v>570</v>
      </c>
    </row>
    <row r="2552" spans="1:11" x14ac:dyDescent="0.25">
      <c r="A2552">
        <v>2025</v>
      </c>
      <c r="C2552" t="s">
        <v>2494</v>
      </c>
      <c r="D2552" s="9" t="s">
        <v>2278</v>
      </c>
      <c r="F2552" s="26">
        <v>40</v>
      </c>
      <c r="G2552" s="26">
        <f t="shared" si="129"/>
        <v>40</v>
      </c>
      <c r="H2552" s="27">
        <f>20+20</f>
        <v>40</v>
      </c>
      <c r="I2552" s="57">
        <f t="shared" si="132"/>
        <v>0</v>
      </c>
      <c r="J2552" s="7" t="str">
        <f t="shared" si="131"/>
        <v>PAGADO</v>
      </c>
      <c r="K2552" s="60" t="s">
        <v>693</v>
      </c>
    </row>
    <row r="2553" spans="1:11" x14ac:dyDescent="0.25">
      <c r="A2553">
        <v>2025</v>
      </c>
      <c r="C2553" t="s">
        <v>2495</v>
      </c>
      <c r="D2553" s="9" t="s">
        <v>2278</v>
      </c>
      <c r="F2553" s="26">
        <v>15</v>
      </c>
      <c r="G2553" s="26">
        <f t="shared" si="129"/>
        <v>15</v>
      </c>
      <c r="H2553" s="27">
        <f>7.5+7.5</f>
        <v>15</v>
      </c>
      <c r="I2553" s="57">
        <f t="shared" si="132"/>
        <v>0</v>
      </c>
      <c r="J2553" s="7" t="str">
        <f t="shared" si="131"/>
        <v>PAGADO</v>
      </c>
      <c r="K2553" s="60" t="s">
        <v>693</v>
      </c>
    </row>
    <row r="2554" spans="1:11" x14ac:dyDescent="0.25">
      <c r="A2554">
        <v>2025</v>
      </c>
      <c r="C2554" s="9" t="s">
        <v>2496</v>
      </c>
      <c r="D2554" s="9" t="s">
        <v>2366</v>
      </c>
      <c r="F2554" s="6">
        <v>65</v>
      </c>
      <c r="G2554" s="6">
        <f t="shared" si="129"/>
        <v>65</v>
      </c>
      <c r="H2554" s="6">
        <f>20+45</f>
        <v>65</v>
      </c>
      <c r="I2554" s="26">
        <f t="shared" si="132"/>
        <v>0</v>
      </c>
      <c r="J2554" s="7" t="str">
        <f t="shared" si="131"/>
        <v>PAGADO</v>
      </c>
    </row>
    <row r="2555" spans="1:11" x14ac:dyDescent="0.25">
      <c r="A2555">
        <v>2025</v>
      </c>
      <c r="C2555" s="9" t="s">
        <v>2497</v>
      </c>
      <c r="D2555" s="9" t="s">
        <v>2498</v>
      </c>
      <c r="F2555" s="6">
        <v>70</v>
      </c>
      <c r="G2555" s="6">
        <f t="shared" si="129"/>
        <v>70</v>
      </c>
      <c r="H2555" s="6">
        <v>70</v>
      </c>
      <c r="I2555" s="26">
        <f t="shared" si="132"/>
        <v>0</v>
      </c>
      <c r="J2555" s="7" t="str">
        <f t="shared" si="131"/>
        <v>PAGADO</v>
      </c>
    </row>
    <row r="2556" spans="1:11" x14ac:dyDescent="0.25">
      <c r="A2556">
        <v>2025</v>
      </c>
      <c r="C2556" s="9" t="s">
        <v>2499</v>
      </c>
      <c r="D2556" s="9" t="s">
        <v>2360</v>
      </c>
      <c r="F2556" s="6">
        <v>40</v>
      </c>
      <c r="G2556" s="6">
        <f t="shared" si="129"/>
        <v>40</v>
      </c>
      <c r="H2556" s="27">
        <v>40</v>
      </c>
      <c r="I2556" s="26">
        <f t="shared" si="132"/>
        <v>0</v>
      </c>
      <c r="J2556" s="7" t="str">
        <f t="shared" si="131"/>
        <v>PAGADO</v>
      </c>
      <c r="K2556" s="59" t="s">
        <v>570</v>
      </c>
    </row>
    <row r="2557" spans="1:11" x14ac:dyDescent="0.25">
      <c r="A2557">
        <v>2025</v>
      </c>
      <c r="C2557" s="9" t="s">
        <v>2500</v>
      </c>
      <c r="D2557" s="9" t="s">
        <v>2278</v>
      </c>
      <c r="F2557" s="26">
        <v>150</v>
      </c>
      <c r="G2557" s="26">
        <f t="shared" si="129"/>
        <v>150</v>
      </c>
      <c r="H2557" s="26">
        <v>150</v>
      </c>
      <c r="I2557" s="26">
        <f t="shared" si="132"/>
        <v>0</v>
      </c>
      <c r="J2557" s="7" t="str">
        <f t="shared" si="131"/>
        <v>PAGADO</v>
      </c>
      <c r="K2557" s="60" t="s">
        <v>693</v>
      </c>
    </row>
    <row r="2558" spans="1:11" x14ac:dyDescent="0.25">
      <c r="A2558">
        <v>2025</v>
      </c>
      <c r="C2558" s="9" t="s">
        <v>2501</v>
      </c>
      <c r="D2558" s="9" t="s">
        <v>2502</v>
      </c>
      <c r="F2558" s="6">
        <v>90</v>
      </c>
      <c r="G2558" s="6">
        <f t="shared" ref="G2558:G2621" si="133">F2558-E2558</f>
        <v>90</v>
      </c>
      <c r="H2558" s="6">
        <v>90</v>
      </c>
      <c r="I2558" s="26">
        <f t="shared" si="132"/>
        <v>0</v>
      </c>
      <c r="J2558" s="7" t="str">
        <f t="shared" si="131"/>
        <v>PAGADO</v>
      </c>
    </row>
    <row r="2559" spans="1:11" x14ac:dyDescent="0.25">
      <c r="A2559">
        <v>2025</v>
      </c>
      <c r="C2559" s="9" t="s">
        <v>2503</v>
      </c>
      <c r="D2559" s="9" t="s">
        <v>597</v>
      </c>
      <c r="F2559" s="6">
        <v>60</v>
      </c>
      <c r="G2559" s="6">
        <f t="shared" si="133"/>
        <v>60</v>
      </c>
      <c r="H2559" s="6">
        <f>30+30</f>
        <v>60</v>
      </c>
      <c r="I2559" s="6">
        <f t="shared" si="132"/>
        <v>0</v>
      </c>
      <c r="J2559" s="7" t="str">
        <f t="shared" si="131"/>
        <v>PAGADO</v>
      </c>
    </row>
    <row r="2560" spans="1:11" x14ac:dyDescent="0.25">
      <c r="A2560">
        <v>2025</v>
      </c>
      <c r="C2560" s="9" t="s">
        <v>2504</v>
      </c>
      <c r="D2560" s="9" t="s">
        <v>597</v>
      </c>
      <c r="F2560" s="6">
        <v>30</v>
      </c>
      <c r="G2560" s="6">
        <f t="shared" si="133"/>
        <v>30</v>
      </c>
      <c r="H2560" s="6">
        <v>30</v>
      </c>
      <c r="I2560" s="6">
        <f t="shared" si="132"/>
        <v>0</v>
      </c>
      <c r="J2560" s="7" t="str">
        <f t="shared" si="131"/>
        <v>PAGADO</v>
      </c>
    </row>
    <row r="2561" spans="1:11" x14ac:dyDescent="0.25">
      <c r="A2561">
        <v>2025</v>
      </c>
      <c r="C2561" s="9" t="s">
        <v>2505</v>
      </c>
      <c r="D2561" s="9" t="s">
        <v>597</v>
      </c>
      <c r="F2561" s="6">
        <v>40</v>
      </c>
      <c r="G2561" s="6">
        <f t="shared" si="133"/>
        <v>40</v>
      </c>
      <c r="H2561" s="6">
        <v>40</v>
      </c>
      <c r="I2561" s="6">
        <f t="shared" si="132"/>
        <v>0</v>
      </c>
      <c r="J2561" s="7" t="str">
        <f t="shared" si="131"/>
        <v>PAGADO</v>
      </c>
    </row>
    <row r="2562" spans="1:11" x14ac:dyDescent="0.25">
      <c r="A2562">
        <v>2025</v>
      </c>
      <c r="C2562" s="9" t="s">
        <v>2506</v>
      </c>
      <c r="D2562" s="9" t="s">
        <v>597</v>
      </c>
      <c r="F2562" s="6">
        <v>50</v>
      </c>
      <c r="G2562" s="6">
        <f t="shared" si="133"/>
        <v>50</v>
      </c>
      <c r="H2562" s="6">
        <v>50</v>
      </c>
      <c r="I2562" s="6">
        <f t="shared" si="132"/>
        <v>0</v>
      </c>
      <c r="J2562" s="7" t="str">
        <f t="shared" si="131"/>
        <v>PAGADO</v>
      </c>
    </row>
    <row r="2563" spans="1:11" x14ac:dyDescent="0.25">
      <c r="A2563">
        <v>2025</v>
      </c>
      <c r="C2563" s="9" t="s">
        <v>2507</v>
      </c>
      <c r="D2563" s="9" t="s">
        <v>597</v>
      </c>
      <c r="F2563" s="6">
        <v>40</v>
      </c>
      <c r="G2563" s="6">
        <f t="shared" si="133"/>
        <v>40</v>
      </c>
      <c r="H2563" s="6">
        <v>40</v>
      </c>
      <c r="I2563" s="6">
        <f t="shared" si="132"/>
        <v>0</v>
      </c>
      <c r="J2563" s="7" t="str">
        <f t="shared" si="131"/>
        <v>PAGADO</v>
      </c>
    </row>
    <row r="2564" spans="1:11" x14ac:dyDescent="0.25">
      <c r="A2564">
        <v>2025</v>
      </c>
      <c r="C2564" s="9" t="s">
        <v>1628</v>
      </c>
      <c r="D2564" s="9" t="s">
        <v>597</v>
      </c>
      <c r="F2564" s="6">
        <v>10</v>
      </c>
      <c r="G2564" s="6">
        <f t="shared" si="133"/>
        <v>10</v>
      </c>
      <c r="H2564" s="6">
        <v>10</v>
      </c>
      <c r="I2564" s="26">
        <f t="shared" si="132"/>
        <v>0</v>
      </c>
      <c r="J2564" s="34" t="s">
        <v>2508</v>
      </c>
    </row>
    <row r="2565" spans="1:11" x14ac:dyDescent="0.25">
      <c r="A2565">
        <v>2025</v>
      </c>
      <c r="C2565" s="9" t="s">
        <v>2509</v>
      </c>
      <c r="D2565" s="9" t="s">
        <v>1078</v>
      </c>
      <c r="F2565" s="6">
        <v>80</v>
      </c>
      <c r="G2565" s="6">
        <f t="shared" si="133"/>
        <v>80</v>
      </c>
      <c r="H2565" s="6">
        <v>80</v>
      </c>
      <c r="I2565" s="26">
        <f t="shared" si="132"/>
        <v>0</v>
      </c>
      <c r="J2565" s="7" t="str">
        <f t="shared" ref="J2565:J2614" si="134">IF(I2565&gt;0,"DEBE","PAGADO")</f>
        <v>PAGADO</v>
      </c>
    </row>
    <row r="2566" spans="1:11" x14ac:dyDescent="0.25">
      <c r="A2566">
        <v>2025</v>
      </c>
      <c r="C2566" s="9" t="s">
        <v>2510</v>
      </c>
      <c r="D2566" s="9" t="s">
        <v>680</v>
      </c>
      <c r="F2566" s="6">
        <v>45</v>
      </c>
      <c r="G2566" s="6">
        <f t="shared" si="133"/>
        <v>45</v>
      </c>
      <c r="H2566" s="6">
        <v>45</v>
      </c>
      <c r="I2566" s="6">
        <f t="shared" si="132"/>
        <v>0</v>
      </c>
      <c r="J2566" s="7" t="str">
        <f t="shared" si="134"/>
        <v>PAGADO</v>
      </c>
    </row>
    <row r="2567" spans="1:11" x14ac:dyDescent="0.25">
      <c r="A2567">
        <v>2025</v>
      </c>
      <c r="C2567" s="9" t="s">
        <v>2511</v>
      </c>
      <c r="D2567" s="9" t="s">
        <v>2058</v>
      </c>
      <c r="F2567" s="6">
        <v>600</v>
      </c>
      <c r="G2567" s="6">
        <f t="shared" si="133"/>
        <v>600</v>
      </c>
      <c r="H2567" s="6">
        <v>600</v>
      </c>
      <c r="I2567" s="26">
        <f t="shared" si="132"/>
        <v>0</v>
      </c>
      <c r="J2567" s="7" t="str">
        <f t="shared" si="134"/>
        <v>PAGADO</v>
      </c>
      <c r="K2567" s="9"/>
    </row>
    <row r="2568" spans="1:11" x14ac:dyDescent="0.25">
      <c r="A2568">
        <v>2025</v>
      </c>
      <c r="C2568" s="9" t="s">
        <v>2512</v>
      </c>
      <c r="D2568" s="9" t="s">
        <v>2058</v>
      </c>
      <c r="F2568" s="6">
        <v>60</v>
      </c>
      <c r="G2568" s="6">
        <f t="shared" si="133"/>
        <v>60</v>
      </c>
      <c r="H2568" s="6">
        <v>60</v>
      </c>
      <c r="I2568" s="26">
        <f t="shared" si="132"/>
        <v>0</v>
      </c>
      <c r="J2568" s="7" t="str">
        <f t="shared" si="134"/>
        <v>PAGADO</v>
      </c>
      <c r="K2568" s="9"/>
    </row>
    <row r="2569" spans="1:11" x14ac:dyDescent="0.25">
      <c r="A2569">
        <v>2025</v>
      </c>
      <c r="C2569" s="9" t="s">
        <v>2513</v>
      </c>
      <c r="D2569" s="9" t="s">
        <v>2058</v>
      </c>
      <c r="F2569" s="6">
        <v>45</v>
      </c>
      <c r="G2569" s="6">
        <f t="shared" si="133"/>
        <v>45</v>
      </c>
      <c r="H2569" s="6">
        <v>45</v>
      </c>
      <c r="I2569" s="26">
        <f t="shared" si="132"/>
        <v>0</v>
      </c>
      <c r="J2569" s="7" t="str">
        <f t="shared" si="134"/>
        <v>PAGADO</v>
      </c>
    </row>
    <row r="2570" spans="1:11" x14ac:dyDescent="0.25">
      <c r="A2570">
        <v>2025</v>
      </c>
      <c r="C2570" s="9" t="s">
        <v>535</v>
      </c>
      <c r="D2570" s="9" t="s">
        <v>1476</v>
      </c>
      <c r="F2570" s="6">
        <v>90</v>
      </c>
      <c r="G2570" s="6">
        <f t="shared" si="133"/>
        <v>90</v>
      </c>
      <c r="H2570" s="6">
        <v>90</v>
      </c>
      <c r="I2570" s="26">
        <f t="shared" si="132"/>
        <v>0</v>
      </c>
      <c r="J2570" s="7" t="str">
        <f t="shared" si="134"/>
        <v>PAGADO</v>
      </c>
    </row>
    <row r="2571" spans="1:11" x14ac:dyDescent="0.25">
      <c r="A2571">
        <v>2025</v>
      </c>
      <c r="C2571" s="9" t="s">
        <v>2514</v>
      </c>
      <c r="D2571" s="9" t="s">
        <v>1476</v>
      </c>
      <c r="F2571" s="6">
        <v>75</v>
      </c>
      <c r="G2571" s="6">
        <f t="shared" si="133"/>
        <v>75</v>
      </c>
      <c r="H2571" s="6">
        <v>75</v>
      </c>
      <c r="I2571" s="26">
        <f t="shared" si="132"/>
        <v>0</v>
      </c>
      <c r="J2571" s="7" t="str">
        <f t="shared" si="134"/>
        <v>PAGADO</v>
      </c>
    </row>
    <row r="2572" spans="1:11" x14ac:dyDescent="0.25">
      <c r="A2572">
        <v>2025</v>
      </c>
      <c r="C2572" s="9" t="s">
        <v>2515</v>
      </c>
      <c r="D2572" s="9" t="s">
        <v>1476</v>
      </c>
      <c r="F2572" s="6">
        <v>75</v>
      </c>
      <c r="G2572" s="6">
        <f t="shared" si="133"/>
        <v>75</v>
      </c>
      <c r="H2572" s="6">
        <v>75</v>
      </c>
      <c r="I2572" s="26">
        <f t="shared" si="132"/>
        <v>0</v>
      </c>
      <c r="J2572" s="7" t="str">
        <f t="shared" si="134"/>
        <v>PAGADO</v>
      </c>
    </row>
    <row r="2573" spans="1:11" x14ac:dyDescent="0.25">
      <c r="A2573">
        <v>2025</v>
      </c>
      <c r="C2573" s="9" t="s">
        <v>2516</v>
      </c>
      <c r="D2573" t="s">
        <v>1388</v>
      </c>
      <c r="F2573" s="6">
        <v>100</v>
      </c>
      <c r="G2573" s="6">
        <f t="shared" si="133"/>
        <v>100</v>
      </c>
      <c r="H2573" s="6">
        <v>100</v>
      </c>
      <c r="I2573" s="26">
        <f t="shared" si="132"/>
        <v>0</v>
      </c>
      <c r="J2573" s="7" t="str">
        <f t="shared" si="134"/>
        <v>PAGADO</v>
      </c>
    </row>
    <row r="2574" spans="1:11" x14ac:dyDescent="0.25">
      <c r="A2574">
        <v>2025</v>
      </c>
      <c r="C2574" s="9" t="s">
        <v>2517</v>
      </c>
      <c r="D2574" s="9" t="s">
        <v>941</v>
      </c>
      <c r="F2574" s="6">
        <v>40</v>
      </c>
      <c r="G2574" s="6">
        <f t="shared" si="133"/>
        <v>40</v>
      </c>
      <c r="H2574" s="6">
        <f>20+20</f>
        <v>40</v>
      </c>
      <c r="I2574" s="26">
        <f t="shared" si="132"/>
        <v>0</v>
      </c>
      <c r="J2574" s="7" t="str">
        <f t="shared" si="134"/>
        <v>PAGADO</v>
      </c>
      <c r="K2574" s="33" t="s">
        <v>2258</v>
      </c>
    </row>
    <row r="2575" spans="1:11" x14ac:dyDescent="0.25">
      <c r="A2575">
        <v>2025</v>
      </c>
      <c r="C2575" s="9" t="s">
        <v>2518</v>
      </c>
      <c r="D2575" s="9" t="s">
        <v>2278</v>
      </c>
      <c r="F2575" s="6">
        <v>65</v>
      </c>
      <c r="G2575" s="6">
        <f t="shared" si="133"/>
        <v>65</v>
      </c>
      <c r="H2575" s="27">
        <f>32.5+32.5</f>
        <v>65</v>
      </c>
      <c r="I2575" s="57">
        <f t="shared" si="132"/>
        <v>0</v>
      </c>
      <c r="J2575" s="7" t="str">
        <f t="shared" si="134"/>
        <v>PAGADO</v>
      </c>
      <c r="K2575" s="60" t="s">
        <v>693</v>
      </c>
    </row>
    <row r="2576" spans="1:11" x14ac:dyDescent="0.25">
      <c r="A2576">
        <v>2025</v>
      </c>
      <c r="C2576" s="9" t="s">
        <v>2519</v>
      </c>
      <c r="D2576" s="9" t="s">
        <v>2502</v>
      </c>
      <c r="F2576" s="6">
        <v>140</v>
      </c>
      <c r="G2576" s="6">
        <f t="shared" si="133"/>
        <v>140</v>
      </c>
      <c r="H2576" s="6">
        <f>40+100</f>
        <v>140</v>
      </c>
      <c r="I2576" s="26">
        <f t="shared" si="132"/>
        <v>0</v>
      </c>
      <c r="J2576" s="7" t="str">
        <f t="shared" si="134"/>
        <v>PAGADO</v>
      </c>
      <c r="K2576" s="9" t="s">
        <v>1823</v>
      </c>
    </row>
    <row r="2577" spans="1:11" x14ac:dyDescent="0.25">
      <c r="A2577">
        <v>2025</v>
      </c>
      <c r="C2577" s="9" t="s">
        <v>1952</v>
      </c>
      <c r="D2577" s="9" t="s">
        <v>597</v>
      </c>
      <c r="F2577" s="6">
        <v>150</v>
      </c>
      <c r="G2577" s="6">
        <f t="shared" si="133"/>
        <v>150</v>
      </c>
      <c r="H2577" s="6">
        <f>100+50</f>
        <v>150</v>
      </c>
      <c r="I2577" s="26">
        <f t="shared" si="132"/>
        <v>0</v>
      </c>
      <c r="J2577" s="7" t="str">
        <f t="shared" si="134"/>
        <v>PAGADO</v>
      </c>
    </row>
    <row r="2578" spans="1:11" x14ac:dyDescent="0.25">
      <c r="A2578">
        <v>2025</v>
      </c>
      <c r="C2578" s="9" t="s">
        <v>2520</v>
      </c>
      <c r="D2578" s="9" t="s">
        <v>597</v>
      </c>
      <c r="F2578" s="6">
        <v>60</v>
      </c>
      <c r="G2578" s="6">
        <f t="shared" si="133"/>
        <v>60</v>
      </c>
      <c r="H2578" s="6">
        <v>60</v>
      </c>
      <c r="I2578" s="26">
        <f t="shared" ref="I2578:I2641" si="135">F2578-H2578</f>
        <v>0</v>
      </c>
      <c r="J2578" s="7" t="str">
        <f t="shared" si="134"/>
        <v>PAGADO</v>
      </c>
    </row>
    <row r="2579" spans="1:11" x14ac:dyDescent="0.25">
      <c r="A2579">
        <v>2025</v>
      </c>
      <c r="C2579" s="9" t="s">
        <v>2521</v>
      </c>
      <c r="D2579" s="9" t="s">
        <v>2326</v>
      </c>
      <c r="F2579" s="6">
        <v>7</v>
      </c>
      <c r="G2579" s="6">
        <f t="shared" si="133"/>
        <v>7</v>
      </c>
      <c r="H2579" s="6">
        <v>7</v>
      </c>
      <c r="I2579" s="26">
        <f t="shared" si="135"/>
        <v>0</v>
      </c>
      <c r="J2579" s="7" t="str">
        <f t="shared" si="134"/>
        <v>PAGADO</v>
      </c>
    </row>
    <row r="2580" spans="1:11" x14ac:dyDescent="0.25">
      <c r="A2580">
        <v>2025</v>
      </c>
      <c r="C2580" s="9" t="s">
        <v>2522</v>
      </c>
      <c r="D2580" s="9" t="s">
        <v>2018</v>
      </c>
      <c r="F2580" s="6">
        <v>80</v>
      </c>
      <c r="G2580" s="6">
        <f t="shared" si="133"/>
        <v>80</v>
      </c>
      <c r="H2580" s="6">
        <f>40+40</f>
        <v>80</v>
      </c>
      <c r="I2580" s="26">
        <f t="shared" si="135"/>
        <v>0</v>
      </c>
      <c r="J2580" s="7" t="str">
        <f t="shared" si="134"/>
        <v>PAGADO</v>
      </c>
      <c r="K2580" s="33" t="s">
        <v>2258</v>
      </c>
    </row>
    <row r="2581" spans="1:11" x14ac:dyDescent="0.25">
      <c r="A2581">
        <v>2025</v>
      </c>
      <c r="C2581" s="9" t="s">
        <v>2523</v>
      </c>
      <c r="D2581" s="9" t="s">
        <v>2524</v>
      </c>
      <c r="F2581" s="6">
        <v>38</v>
      </c>
      <c r="G2581" s="6">
        <f t="shared" si="133"/>
        <v>38</v>
      </c>
      <c r="H2581" s="6">
        <v>38</v>
      </c>
      <c r="I2581" s="26">
        <f t="shared" si="135"/>
        <v>0</v>
      </c>
      <c r="J2581" s="7" t="str">
        <f t="shared" si="134"/>
        <v>PAGADO</v>
      </c>
    </row>
    <row r="2582" spans="1:11" x14ac:dyDescent="0.25">
      <c r="A2582">
        <v>2025</v>
      </c>
      <c r="C2582" s="9" t="s">
        <v>2525</v>
      </c>
      <c r="D2582" s="9" t="s">
        <v>2526</v>
      </c>
      <c r="F2582" s="6">
        <v>14</v>
      </c>
      <c r="G2582" s="6">
        <f t="shared" si="133"/>
        <v>14</v>
      </c>
      <c r="H2582" s="6">
        <v>14</v>
      </c>
      <c r="I2582" s="26">
        <f t="shared" si="135"/>
        <v>0</v>
      </c>
      <c r="J2582" s="7" t="str">
        <f t="shared" si="134"/>
        <v>PAGADO</v>
      </c>
    </row>
    <row r="2583" spans="1:11" x14ac:dyDescent="0.25">
      <c r="A2583">
        <v>2025</v>
      </c>
      <c r="C2583" s="9" t="s">
        <v>2527</v>
      </c>
      <c r="D2583" s="9" t="s">
        <v>2528</v>
      </c>
      <c r="F2583" s="6">
        <v>68</v>
      </c>
      <c r="G2583" s="6">
        <f t="shared" si="133"/>
        <v>68</v>
      </c>
      <c r="H2583" s="6">
        <v>68</v>
      </c>
      <c r="I2583" s="26">
        <f t="shared" si="135"/>
        <v>0</v>
      </c>
      <c r="J2583" s="7" t="str">
        <f t="shared" si="134"/>
        <v>PAGADO</v>
      </c>
    </row>
    <row r="2584" spans="1:11" x14ac:dyDescent="0.25">
      <c r="A2584">
        <v>2025</v>
      </c>
      <c r="C2584" s="9" t="s">
        <v>2529</v>
      </c>
      <c r="D2584" s="9" t="s">
        <v>2530</v>
      </c>
      <c r="F2584" s="6">
        <v>150</v>
      </c>
      <c r="G2584" s="6">
        <f t="shared" si="133"/>
        <v>150</v>
      </c>
      <c r="H2584" s="6">
        <v>150</v>
      </c>
      <c r="I2584" s="26">
        <f t="shared" si="135"/>
        <v>0</v>
      </c>
      <c r="J2584" s="7" t="str">
        <f t="shared" si="134"/>
        <v>PAGADO</v>
      </c>
      <c r="K2584" s="33" t="s">
        <v>693</v>
      </c>
    </row>
    <row r="2585" spans="1:11" x14ac:dyDescent="0.25">
      <c r="A2585">
        <v>2025</v>
      </c>
      <c r="C2585" s="9" t="s">
        <v>2531</v>
      </c>
      <c r="D2585" s="9" t="s">
        <v>2530</v>
      </c>
      <c r="F2585" s="6">
        <v>270</v>
      </c>
      <c r="G2585" s="6">
        <f t="shared" si="133"/>
        <v>270</v>
      </c>
      <c r="H2585" s="6">
        <v>270</v>
      </c>
      <c r="I2585" s="26">
        <f t="shared" si="135"/>
        <v>0</v>
      </c>
      <c r="J2585" s="7" t="str">
        <f t="shared" si="134"/>
        <v>PAGADO</v>
      </c>
      <c r="K2585" s="33" t="s">
        <v>693</v>
      </c>
    </row>
    <row r="2586" spans="1:11" x14ac:dyDescent="0.25">
      <c r="A2586">
        <v>2025</v>
      </c>
      <c r="C2586" s="9" t="s">
        <v>2532</v>
      </c>
      <c r="D2586" s="9" t="s">
        <v>2530</v>
      </c>
      <c r="F2586" s="6">
        <v>60</v>
      </c>
      <c r="G2586" s="6">
        <f t="shared" si="133"/>
        <v>60</v>
      </c>
      <c r="H2586" s="6">
        <v>60</v>
      </c>
      <c r="I2586" s="26">
        <f t="shared" si="135"/>
        <v>0</v>
      </c>
      <c r="J2586" s="7" t="str">
        <f t="shared" si="134"/>
        <v>PAGADO</v>
      </c>
      <c r="K2586" s="33" t="s">
        <v>693</v>
      </c>
    </row>
    <row r="2587" spans="1:11" x14ac:dyDescent="0.25">
      <c r="A2587">
        <v>2025</v>
      </c>
      <c r="C2587" s="9" t="s">
        <v>2533</v>
      </c>
      <c r="D2587" s="9" t="s">
        <v>2530</v>
      </c>
      <c r="F2587" s="6">
        <v>60</v>
      </c>
      <c r="G2587" s="6">
        <f t="shared" si="133"/>
        <v>60</v>
      </c>
      <c r="H2587" s="6">
        <v>60</v>
      </c>
      <c r="I2587" s="26">
        <f t="shared" si="135"/>
        <v>0</v>
      </c>
      <c r="J2587" s="7" t="str">
        <f t="shared" si="134"/>
        <v>PAGADO</v>
      </c>
      <c r="K2587" s="33" t="s">
        <v>693</v>
      </c>
    </row>
    <row r="2588" spans="1:11" x14ac:dyDescent="0.25">
      <c r="A2588">
        <v>2025</v>
      </c>
      <c r="C2588" s="9" t="s">
        <v>2534</v>
      </c>
      <c r="D2588" s="9" t="s">
        <v>2530</v>
      </c>
      <c r="F2588" s="6">
        <v>70</v>
      </c>
      <c r="G2588" s="6">
        <f t="shared" si="133"/>
        <v>70</v>
      </c>
      <c r="H2588" s="6">
        <v>70</v>
      </c>
      <c r="I2588" s="26">
        <f t="shared" si="135"/>
        <v>0</v>
      </c>
      <c r="J2588" s="7" t="str">
        <f t="shared" si="134"/>
        <v>PAGADO</v>
      </c>
      <c r="K2588" s="33" t="s">
        <v>693</v>
      </c>
    </row>
    <row r="2589" spans="1:11" x14ac:dyDescent="0.25">
      <c r="A2589">
        <v>2025</v>
      </c>
      <c r="C2589" s="9" t="s">
        <v>2535</v>
      </c>
      <c r="D2589" s="9" t="s">
        <v>2530</v>
      </c>
      <c r="F2589" s="6">
        <v>70</v>
      </c>
      <c r="G2589" s="6">
        <f t="shared" si="133"/>
        <v>70</v>
      </c>
      <c r="H2589" s="6">
        <v>70</v>
      </c>
      <c r="I2589" s="26">
        <f t="shared" si="135"/>
        <v>0</v>
      </c>
      <c r="J2589" s="7" t="str">
        <f t="shared" si="134"/>
        <v>PAGADO</v>
      </c>
      <c r="K2589" s="33" t="s">
        <v>693</v>
      </c>
    </row>
    <row r="2590" spans="1:11" x14ac:dyDescent="0.25">
      <c r="A2590">
        <v>2025</v>
      </c>
      <c r="C2590" s="9" t="s">
        <v>2536</v>
      </c>
      <c r="D2590" s="9" t="s">
        <v>2530</v>
      </c>
      <c r="F2590" s="6">
        <v>70</v>
      </c>
      <c r="G2590" s="6">
        <f t="shared" si="133"/>
        <v>70</v>
      </c>
      <c r="H2590" s="6">
        <v>70</v>
      </c>
      <c r="I2590" s="26">
        <f t="shared" si="135"/>
        <v>0</v>
      </c>
      <c r="J2590" s="7" t="str">
        <f t="shared" si="134"/>
        <v>PAGADO</v>
      </c>
      <c r="K2590" s="33" t="s">
        <v>693</v>
      </c>
    </row>
    <row r="2591" spans="1:11" x14ac:dyDescent="0.25">
      <c r="A2591">
        <v>2025</v>
      </c>
      <c r="C2591" s="9" t="s">
        <v>2537</v>
      </c>
      <c r="D2591" s="9" t="s">
        <v>2530</v>
      </c>
      <c r="F2591" s="6">
        <v>60</v>
      </c>
      <c r="G2591" s="6">
        <f t="shared" si="133"/>
        <v>60</v>
      </c>
      <c r="H2591" s="6">
        <v>60</v>
      </c>
      <c r="I2591" s="26">
        <f t="shared" si="135"/>
        <v>0</v>
      </c>
      <c r="J2591" s="7" t="str">
        <f t="shared" si="134"/>
        <v>PAGADO</v>
      </c>
      <c r="K2591" s="33" t="s">
        <v>693</v>
      </c>
    </row>
    <row r="2592" spans="1:11" x14ac:dyDescent="0.25">
      <c r="A2592">
        <v>2025</v>
      </c>
      <c r="C2592" s="9" t="s">
        <v>2538</v>
      </c>
      <c r="D2592" s="9" t="s">
        <v>2530</v>
      </c>
      <c r="F2592" s="6">
        <v>60</v>
      </c>
      <c r="G2592" s="6">
        <f t="shared" si="133"/>
        <v>60</v>
      </c>
      <c r="H2592" s="6">
        <v>60</v>
      </c>
      <c r="I2592" s="26">
        <f t="shared" si="135"/>
        <v>0</v>
      </c>
      <c r="J2592" s="7" t="str">
        <f t="shared" si="134"/>
        <v>PAGADO</v>
      </c>
      <c r="K2592" s="33" t="s">
        <v>693</v>
      </c>
    </row>
    <row r="2593" spans="1:11" x14ac:dyDescent="0.25">
      <c r="A2593">
        <v>2025</v>
      </c>
      <c r="C2593" s="9" t="s">
        <v>2539</v>
      </c>
      <c r="D2593" s="9" t="s">
        <v>2530</v>
      </c>
      <c r="F2593" s="6">
        <v>120</v>
      </c>
      <c r="G2593" s="6">
        <f t="shared" si="133"/>
        <v>120</v>
      </c>
      <c r="H2593" s="6">
        <v>120</v>
      </c>
      <c r="I2593" s="26">
        <f t="shared" si="135"/>
        <v>0</v>
      </c>
      <c r="J2593" s="7" t="str">
        <f t="shared" si="134"/>
        <v>PAGADO</v>
      </c>
      <c r="K2593" s="33" t="s">
        <v>693</v>
      </c>
    </row>
    <row r="2594" spans="1:11" x14ac:dyDescent="0.25">
      <c r="A2594">
        <v>2025</v>
      </c>
      <c r="C2594" s="9" t="s">
        <v>2540</v>
      </c>
      <c r="D2594" s="9" t="s">
        <v>2026</v>
      </c>
      <c r="F2594" s="6">
        <v>20</v>
      </c>
      <c r="G2594" s="6">
        <f t="shared" si="133"/>
        <v>20</v>
      </c>
      <c r="H2594" s="6">
        <v>20</v>
      </c>
      <c r="I2594" s="26">
        <f t="shared" si="135"/>
        <v>0</v>
      </c>
      <c r="J2594" s="7" t="str">
        <f t="shared" si="134"/>
        <v>PAGADO</v>
      </c>
    </row>
    <row r="2595" spans="1:11" x14ac:dyDescent="0.25">
      <c r="A2595">
        <v>2025</v>
      </c>
      <c r="C2595" s="9" t="s">
        <v>2541</v>
      </c>
      <c r="D2595" s="9" t="s">
        <v>1486</v>
      </c>
      <c r="F2595" s="6">
        <v>170</v>
      </c>
      <c r="G2595" s="6">
        <f t="shared" si="133"/>
        <v>170</v>
      </c>
      <c r="H2595" s="6">
        <v>170</v>
      </c>
      <c r="I2595" s="26">
        <f t="shared" si="135"/>
        <v>0</v>
      </c>
      <c r="J2595" s="7" t="str">
        <f t="shared" si="134"/>
        <v>PAGADO</v>
      </c>
      <c r="K2595" s="9"/>
    </row>
    <row r="2596" spans="1:11" x14ac:dyDescent="0.25">
      <c r="A2596">
        <v>2025</v>
      </c>
      <c r="C2596" s="9" t="s">
        <v>2542</v>
      </c>
      <c r="D2596" s="9" t="s">
        <v>1360</v>
      </c>
      <c r="F2596" s="6">
        <v>75</v>
      </c>
      <c r="G2596" s="6">
        <f t="shared" si="133"/>
        <v>75</v>
      </c>
      <c r="H2596" s="6">
        <v>75</v>
      </c>
      <c r="I2596" s="26">
        <f t="shared" si="135"/>
        <v>0</v>
      </c>
      <c r="J2596" s="7" t="str">
        <f t="shared" si="134"/>
        <v>PAGADO</v>
      </c>
    </row>
    <row r="2597" spans="1:11" x14ac:dyDescent="0.25">
      <c r="A2597">
        <v>2025</v>
      </c>
      <c r="C2597" s="9" t="s">
        <v>2543</v>
      </c>
      <c r="D2597" s="9" t="s">
        <v>2544</v>
      </c>
      <c r="F2597" s="6">
        <v>70</v>
      </c>
      <c r="G2597" s="6">
        <f t="shared" si="133"/>
        <v>70</v>
      </c>
      <c r="H2597" s="6">
        <v>70</v>
      </c>
      <c r="I2597" s="26">
        <f t="shared" si="135"/>
        <v>0</v>
      </c>
      <c r="J2597" s="7" t="str">
        <f t="shared" si="134"/>
        <v>PAGADO</v>
      </c>
    </row>
    <row r="2598" spans="1:11" x14ac:dyDescent="0.25">
      <c r="A2598">
        <v>2025</v>
      </c>
      <c r="C2598" s="9" t="s">
        <v>2533</v>
      </c>
      <c r="D2598" s="9" t="s">
        <v>2544</v>
      </c>
      <c r="F2598" s="6">
        <v>70</v>
      </c>
      <c r="G2598" s="6">
        <f t="shared" si="133"/>
        <v>70</v>
      </c>
      <c r="H2598" s="6">
        <v>70</v>
      </c>
      <c r="I2598" s="26">
        <f t="shared" si="135"/>
        <v>0</v>
      </c>
      <c r="J2598" s="7" t="str">
        <f t="shared" si="134"/>
        <v>PAGADO</v>
      </c>
      <c r="K2598" s="9"/>
    </row>
    <row r="2599" spans="1:11" x14ac:dyDescent="0.25">
      <c r="A2599">
        <v>2025</v>
      </c>
      <c r="C2599" s="9" t="s">
        <v>2545</v>
      </c>
      <c r="D2599" s="9" t="s">
        <v>1425</v>
      </c>
      <c r="F2599" s="6">
        <v>55</v>
      </c>
      <c r="G2599" s="6">
        <f t="shared" si="133"/>
        <v>55</v>
      </c>
      <c r="H2599" s="6">
        <v>55</v>
      </c>
      <c r="I2599" s="26">
        <f t="shared" si="135"/>
        <v>0</v>
      </c>
      <c r="J2599" s="7" t="str">
        <f t="shared" si="134"/>
        <v>PAGADO</v>
      </c>
    </row>
    <row r="2600" spans="1:11" x14ac:dyDescent="0.25">
      <c r="A2600">
        <v>2025</v>
      </c>
      <c r="C2600" s="9" t="s">
        <v>1391</v>
      </c>
      <c r="D2600" s="9" t="s">
        <v>2062</v>
      </c>
      <c r="F2600" s="6">
        <v>70</v>
      </c>
      <c r="G2600" s="6">
        <f t="shared" si="133"/>
        <v>70</v>
      </c>
      <c r="H2600" s="6">
        <v>70</v>
      </c>
      <c r="I2600" s="26">
        <f t="shared" si="135"/>
        <v>0</v>
      </c>
      <c r="J2600" s="7" t="str">
        <f t="shared" si="134"/>
        <v>PAGADO</v>
      </c>
    </row>
    <row r="2601" spans="1:11" x14ac:dyDescent="0.25">
      <c r="A2601">
        <v>2025</v>
      </c>
      <c r="C2601" s="9" t="s">
        <v>2546</v>
      </c>
      <c r="D2601" s="9" t="s">
        <v>2062</v>
      </c>
      <c r="F2601" s="6">
        <v>70</v>
      </c>
      <c r="G2601" s="6">
        <f t="shared" si="133"/>
        <v>70</v>
      </c>
      <c r="H2601" s="6">
        <v>70</v>
      </c>
      <c r="I2601" s="26">
        <f t="shared" si="135"/>
        <v>0</v>
      </c>
      <c r="J2601" s="7" t="str">
        <f t="shared" si="134"/>
        <v>PAGADO</v>
      </c>
    </row>
    <row r="2602" spans="1:11" x14ac:dyDescent="0.25">
      <c r="A2602">
        <v>2025</v>
      </c>
      <c r="C2602" s="9" t="s">
        <v>2547</v>
      </c>
      <c r="D2602" s="9" t="s">
        <v>2548</v>
      </c>
      <c r="F2602" s="6">
        <v>130</v>
      </c>
      <c r="G2602" s="6">
        <f t="shared" si="133"/>
        <v>130</v>
      </c>
      <c r="H2602" s="6">
        <v>130</v>
      </c>
      <c r="I2602" s="26">
        <f t="shared" si="135"/>
        <v>0</v>
      </c>
      <c r="J2602" s="7" t="str">
        <f t="shared" si="134"/>
        <v>PAGADO</v>
      </c>
    </row>
    <row r="2603" spans="1:11" x14ac:dyDescent="0.25">
      <c r="A2603">
        <v>2025</v>
      </c>
      <c r="C2603" s="9" t="s">
        <v>2549</v>
      </c>
      <c r="D2603" s="9" t="s">
        <v>2548</v>
      </c>
      <c r="F2603" s="6">
        <v>130</v>
      </c>
      <c r="G2603" s="6">
        <f t="shared" si="133"/>
        <v>130</v>
      </c>
      <c r="H2603" s="6">
        <v>130</v>
      </c>
      <c r="I2603" s="26">
        <f t="shared" si="135"/>
        <v>0</v>
      </c>
      <c r="J2603" s="7" t="str">
        <f t="shared" si="134"/>
        <v>PAGADO</v>
      </c>
    </row>
    <row r="2604" spans="1:11" x14ac:dyDescent="0.25">
      <c r="A2604">
        <v>2025</v>
      </c>
      <c r="C2604" s="9" t="s">
        <v>2550</v>
      </c>
      <c r="D2604" s="9" t="s">
        <v>2548</v>
      </c>
      <c r="F2604" s="6">
        <v>130</v>
      </c>
      <c r="G2604" s="6">
        <f t="shared" si="133"/>
        <v>130</v>
      </c>
      <c r="H2604" s="6">
        <v>130</v>
      </c>
      <c r="I2604" s="26">
        <f t="shared" si="135"/>
        <v>0</v>
      </c>
      <c r="J2604" s="7" t="str">
        <f t="shared" si="134"/>
        <v>PAGADO</v>
      </c>
    </row>
    <row r="2605" spans="1:11" x14ac:dyDescent="0.25">
      <c r="A2605">
        <v>2025</v>
      </c>
      <c r="C2605" s="9" t="s">
        <v>2539</v>
      </c>
      <c r="D2605" s="9" t="s">
        <v>2548</v>
      </c>
      <c r="F2605" s="6">
        <v>110</v>
      </c>
      <c r="G2605" s="6">
        <f t="shared" si="133"/>
        <v>110</v>
      </c>
      <c r="H2605" s="6">
        <v>110</v>
      </c>
      <c r="I2605" s="26">
        <f t="shared" si="135"/>
        <v>0</v>
      </c>
      <c r="J2605" s="7" t="str">
        <f t="shared" si="134"/>
        <v>PAGADO</v>
      </c>
    </row>
    <row r="2606" spans="1:11" x14ac:dyDescent="0.25">
      <c r="A2606">
        <v>2025</v>
      </c>
      <c r="C2606" s="9" t="s">
        <v>2551</v>
      </c>
      <c r="D2606" t="s">
        <v>816</v>
      </c>
      <c r="F2606" s="6">
        <f>45*3</f>
        <v>135</v>
      </c>
      <c r="G2606" s="6">
        <f t="shared" si="133"/>
        <v>135</v>
      </c>
      <c r="H2606" s="6">
        <v>135</v>
      </c>
      <c r="I2606" s="26">
        <f t="shared" si="135"/>
        <v>0</v>
      </c>
      <c r="J2606" s="7" t="str">
        <f t="shared" si="134"/>
        <v>PAGADO</v>
      </c>
    </row>
    <row r="2607" spans="1:11" x14ac:dyDescent="0.25">
      <c r="A2607">
        <v>2025</v>
      </c>
      <c r="C2607" s="9" t="s">
        <v>2552</v>
      </c>
      <c r="D2607" t="s">
        <v>816</v>
      </c>
      <c r="F2607" s="6">
        <f>23*7</f>
        <v>161</v>
      </c>
      <c r="G2607" s="6">
        <f t="shared" si="133"/>
        <v>161</v>
      </c>
      <c r="H2607" s="6">
        <v>161</v>
      </c>
      <c r="I2607" s="26">
        <f t="shared" si="135"/>
        <v>0</v>
      </c>
      <c r="J2607" s="7" t="str">
        <f t="shared" si="134"/>
        <v>PAGADO</v>
      </c>
    </row>
    <row r="2608" spans="1:11" x14ac:dyDescent="0.25">
      <c r="A2608">
        <v>2025</v>
      </c>
      <c r="C2608" s="9" t="s">
        <v>2553</v>
      </c>
      <c r="D2608" s="9" t="s">
        <v>680</v>
      </c>
      <c r="F2608" s="6">
        <v>60</v>
      </c>
      <c r="G2608" s="6">
        <f t="shared" si="133"/>
        <v>60</v>
      </c>
      <c r="H2608" s="6">
        <v>60</v>
      </c>
      <c r="I2608" s="6">
        <f t="shared" si="135"/>
        <v>0</v>
      </c>
      <c r="J2608" s="7" t="str">
        <f t="shared" si="134"/>
        <v>PAGADO</v>
      </c>
    </row>
    <row r="2609" spans="1:11" x14ac:dyDescent="0.25">
      <c r="A2609">
        <v>2025</v>
      </c>
      <c r="C2609" s="9" t="s">
        <v>2554</v>
      </c>
      <c r="D2609" s="9" t="s">
        <v>2147</v>
      </c>
      <c r="F2609" s="6">
        <v>75</v>
      </c>
      <c r="G2609" s="6">
        <f t="shared" si="133"/>
        <v>75</v>
      </c>
      <c r="H2609" s="6">
        <v>75</v>
      </c>
      <c r="I2609" s="26">
        <f t="shared" si="135"/>
        <v>0</v>
      </c>
      <c r="J2609" s="7" t="str">
        <f t="shared" si="134"/>
        <v>PAGADO</v>
      </c>
    </row>
    <row r="2610" spans="1:11" x14ac:dyDescent="0.25">
      <c r="A2610">
        <v>2025</v>
      </c>
      <c r="C2610" s="9" t="s">
        <v>2555</v>
      </c>
      <c r="D2610" s="9" t="s">
        <v>1535</v>
      </c>
      <c r="F2610" s="6">
        <v>70</v>
      </c>
      <c r="G2610" s="6">
        <f t="shared" si="133"/>
        <v>70</v>
      </c>
      <c r="H2610" s="6">
        <v>70</v>
      </c>
      <c r="I2610" s="26">
        <f t="shared" si="135"/>
        <v>0</v>
      </c>
      <c r="J2610" s="7" t="str">
        <f t="shared" si="134"/>
        <v>PAGADO</v>
      </c>
    </row>
    <row r="2611" spans="1:11" x14ac:dyDescent="0.25">
      <c r="A2611">
        <v>2025</v>
      </c>
      <c r="C2611" s="9" t="s">
        <v>2556</v>
      </c>
      <c r="D2611" s="9" t="s">
        <v>2368</v>
      </c>
      <c r="F2611" s="6">
        <v>75</v>
      </c>
      <c r="G2611" s="6">
        <f t="shared" si="133"/>
        <v>75</v>
      </c>
      <c r="H2611" s="6">
        <f>50+25</f>
        <v>75</v>
      </c>
      <c r="I2611" s="26">
        <f t="shared" si="135"/>
        <v>0</v>
      </c>
      <c r="J2611" s="7" t="str">
        <f t="shared" si="134"/>
        <v>PAGADO</v>
      </c>
    </row>
    <row r="2612" spans="1:11" x14ac:dyDescent="0.25">
      <c r="A2612">
        <v>2025</v>
      </c>
      <c r="C2612" s="9" t="s">
        <v>2557</v>
      </c>
      <c r="D2612" s="9" t="s">
        <v>1466</v>
      </c>
      <c r="F2612" s="6">
        <v>15</v>
      </c>
      <c r="G2612" s="6">
        <f t="shared" si="133"/>
        <v>15</v>
      </c>
      <c r="H2612" s="6">
        <v>15</v>
      </c>
      <c r="I2612" s="26">
        <f t="shared" si="135"/>
        <v>0</v>
      </c>
      <c r="J2612" s="7" t="str">
        <f t="shared" si="134"/>
        <v>PAGADO</v>
      </c>
    </row>
    <row r="2613" spans="1:11" x14ac:dyDescent="0.25">
      <c r="A2613">
        <v>2025</v>
      </c>
      <c r="C2613" s="9" t="s">
        <v>2558</v>
      </c>
      <c r="D2613" s="9" t="s">
        <v>941</v>
      </c>
      <c r="F2613" s="6">
        <v>15</v>
      </c>
      <c r="G2613" s="6">
        <f t="shared" si="133"/>
        <v>15</v>
      </c>
      <c r="H2613" s="6">
        <v>15</v>
      </c>
      <c r="I2613" s="26">
        <f t="shared" si="135"/>
        <v>0</v>
      </c>
      <c r="J2613" s="7" t="str">
        <f t="shared" si="134"/>
        <v>PAGADO</v>
      </c>
    </row>
    <row r="2614" spans="1:11" x14ac:dyDescent="0.25">
      <c r="A2614">
        <v>2025</v>
      </c>
      <c r="C2614" s="9" t="s">
        <v>2559</v>
      </c>
      <c r="D2614" s="9" t="s">
        <v>597</v>
      </c>
      <c r="F2614" s="6">
        <v>105</v>
      </c>
      <c r="G2614" s="6">
        <f t="shared" si="133"/>
        <v>105</v>
      </c>
      <c r="H2614" s="6">
        <f>40+65</f>
        <v>105</v>
      </c>
      <c r="I2614" s="26">
        <f t="shared" si="135"/>
        <v>0</v>
      </c>
      <c r="J2614" s="7" t="str">
        <f t="shared" si="134"/>
        <v>PAGADO</v>
      </c>
    </row>
    <row r="2615" spans="1:11" x14ac:dyDescent="0.25">
      <c r="A2615">
        <v>2025</v>
      </c>
      <c r="C2615" s="9" t="s">
        <v>2560</v>
      </c>
      <c r="D2615" s="9" t="s">
        <v>1736</v>
      </c>
      <c r="F2615" s="26">
        <v>40</v>
      </c>
      <c r="G2615" s="26">
        <f t="shared" si="133"/>
        <v>40</v>
      </c>
      <c r="H2615" s="26">
        <v>40</v>
      </c>
      <c r="I2615" s="26">
        <f t="shared" si="135"/>
        <v>0</v>
      </c>
    </row>
    <row r="2616" spans="1:11" x14ac:dyDescent="0.25">
      <c r="A2616">
        <v>2025</v>
      </c>
      <c r="C2616" s="9" t="s">
        <v>2561</v>
      </c>
      <c r="D2616" s="9" t="s">
        <v>1677</v>
      </c>
      <c r="F2616" s="6">
        <v>70</v>
      </c>
      <c r="G2616" s="6">
        <f t="shared" si="133"/>
        <v>70</v>
      </c>
      <c r="H2616" s="6">
        <v>70</v>
      </c>
      <c r="I2616" s="6">
        <f t="shared" si="135"/>
        <v>0</v>
      </c>
      <c r="J2616" s="7" t="str">
        <f t="shared" ref="J2616:J2679" si="136">IF(I2616&gt;0,"DEBE","PAGADO")</f>
        <v>PAGADO</v>
      </c>
      <c r="K2616" t="s">
        <v>693</v>
      </c>
    </row>
    <row r="2617" spans="1:11" x14ac:dyDescent="0.25">
      <c r="A2617">
        <v>2025</v>
      </c>
      <c r="C2617" s="9" t="s">
        <v>2562</v>
      </c>
      <c r="D2617" s="9" t="s">
        <v>1504</v>
      </c>
      <c r="F2617" s="6">
        <v>150</v>
      </c>
      <c r="G2617" s="6">
        <f t="shared" si="133"/>
        <v>150</v>
      </c>
      <c r="H2617" s="6">
        <v>150</v>
      </c>
      <c r="I2617" s="27">
        <f t="shared" si="135"/>
        <v>0</v>
      </c>
      <c r="J2617" s="7" t="str">
        <f t="shared" si="136"/>
        <v>PAGADO</v>
      </c>
      <c r="K2617" t="s">
        <v>693</v>
      </c>
    </row>
    <row r="2618" spans="1:11" x14ac:dyDescent="0.25">
      <c r="A2618">
        <v>2025</v>
      </c>
      <c r="C2618" s="9" t="s">
        <v>2563</v>
      </c>
      <c r="D2618" s="9" t="s">
        <v>1504</v>
      </c>
      <c r="F2618" s="6">
        <v>150</v>
      </c>
      <c r="G2618" s="6">
        <f t="shared" si="133"/>
        <v>150</v>
      </c>
      <c r="H2618" s="6">
        <v>150</v>
      </c>
      <c r="I2618" s="27">
        <f t="shared" si="135"/>
        <v>0</v>
      </c>
      <c r="J2618" s="7" t="str">
        <f t="shared" si="136"/>
        <v>PAGADO</v>
      </c>
      <c r="K2618" t="s">
        <v>693</v>
      </c>
    </row>
    <row r="2619" spans="1:11" x14ac:dyDescent="0.25">
      <c r="A2619">
        <v>2025</v>
      </c>
      <c r="C2619" s="9" t="s">
        <v>2564</v>
      </c>
      <c r="D2619" s="9" t="s">
        <v>1425</v>
      </c>
      <c r="F2619" s="6">
        <v>300</v>
      </c>
      <c r="G2619" s="6">
        <f t="shared" si="133"/>
        <v>300</v>
      </c>
      <c r="H2619" s="6">
        <v>300</v>
      </c>
      <c r="I2619" s="26">
        <f t="shared" si="135"/>
        <v>0</v>
      </c>
      <c r="J2619" s="7" t="str">
        <f t="shared" si="136"/>
        <v>PAGADO</v>
      </c>
      <c r="K2619" s="33" t="s">
        <v>2258</v>
      </c>
    </row>
    <row r="2620" spans="1:11" x14ac:dyDescent="0.25">
      <c r="A2620">
        <v>2025</v>
      </c>
      <c r="C2620" s="9" t="s">
        <v>2565</v>
      </c>
      <c r="D2620" s="9" t="s">
        <v>1476</v>
      </c>
      <c r="F2620" s="6">
        <v>60</v>
      </c>
      <c r="G2620" s="6">
        <f t="shared" si="133"/>
        <v>60</v>
      </c>
      <c r="H2620" s="6">
        <v>60</v>
      </c>
      <c r="I2620" s="26">
        <f t="shared" si="135"/>
        <v>0</v>
      </c>
      <c r="J2620" s="7" t="str">
        <f t="shared" si="136"/>
        <v>PAGADO</v>
      </c>
      <c r="K2620" s="33" t="s">
        <v>2479</v>
      </c>
    </row>
    <row r="2621" spans="1:11" x14ac:dyDescent="0.25">
      <c r="A2621">
        <v>2025</v>
      </c>
      <c r="C2621" s="9" t="s">
        <v>2566</v>
      </c>
      <c r="D2621" s="9" t="s">
        <v>1476</v>
      </c>
      <c r="F2621" s="6">
        <v>65</v>
      </c>
      <c r="G2621" s="6">
        <f t="shared" si="133"/>
        <v>65</v>
      </c>
      <c r="H2621" s="6">
        <v>65</v>
      </c>
      <c r="I2621" s="26">
        <f t="shared" si="135"/>
        <v>0</v>
      </c>
      <c r="J2621" s="7" t="str">
        <f t="shared" si="136"/>
        <v>PAGADO</v>
      </c>
      <c r="K2621" s="33" t="s">
        <v>2479</v>
      </c>
    </row>
    <row r="2622" spans="1:11" x14ac:dyDescent="0.25">
      <c r="A2622">
        <v>2025</v>
      </c>
      <c r="C2622" s="9" t="s">
        <v>2567</v>
      </c>
      <c r="D2622" s="9" t="s">
        <v>1476</v>
      </c>
      <c r="F2622" s="6">
        <v>65</v>
      </c>
      <c r="G2622" s="6">
        <f t="shared" ref="G2622:G2685" si="137">F2622-E2622</f>
        <v>65</v>
      </c>
      <c r="H2622" s="6">
        <v>65</v>
      </c>
      <c r="I2622" s="26">
        <f t="shared" si="135"/>
        <v>0</v>
      </c>
      <c r="J2622" s="7" t="str">
        <f t="shared" si="136"/>
        <v>PAGADO</v>
      </c>
      <c r="K2622" s="33" t="s">
        <v>2479</v>
      </c>
    </row>
    <row r="2623" spans="1:11" x14ac:dyDescent="0.25">
      <c r="A2623">
        <v>2025</v>
      </c>
      <c r="C2623" s="9" t="s">
        <v>2568</v>
      </c>
      <c r="D2623" s="9" t="s">
        <v>1476</v>
      </c>
      <c r="F2623" s="6">
        <v>65</v>
      </c>
      <c r="G2623" s="6">
        <f t="shared" si="137"/>
        <v>65</v>
      </c>
      <c r="H2623" s="6">
        <v>65</v>
      </c>
      <c r="I2623" s="26">
        <f t="shared" si="135"/>
        <v>0</v>
      </c>
      <c r="J2623" s="7" t="str">
        <f t="shared" si="136"/>
        <v>PAGADO</v>
      </c>
      <c r="K2623" s="33" t="s">
        <v>2479</v>
      </c>
    </row>
    <row r="2624" spans="1:11" x14ac:dyDescent="0.25">
      <c r="A2624">
        <v>2025</v>
      </c>
      <c r="C2624" s="9" t="s">
        <v>2569</v>
      </c>
      <c r="D2624" s="9" t="s">
        <v>1476</v>
      </c>
      <c r="F2624" s="6">
        <v>60</v>
      </c>
      <c r="G2624" s="6">
        <f t="shared" si="137"/>
        <v>60</v>
      </c>
      <c r="H2624" s="6">
        <v>60</v>
      </c>
      <c r="I2624" s="26">
        <f t="shared" si="135"/>
        <v>0</v>
      </c>
      <c r="J2624" s="7" t="str">
        <f t="shared" si="136"/>
        <v>PAGADO</v>
      </c>
      <c r="K2624" s="33" t="s">
        <v>2479</v>
      </c>
    </row>
    <row r="2625" spans="1:11" x14ac:dyDescent="0.25">
      <c r="A2625">
        <v>2025</v>
      </c>
      <c r="C2625" s="9" t="s">
        <v>2570</v>
      </c>
      <c r="D2625" s="9" t="s">
        <v>1606</v>
      </c>
      <c r="F2625" s="6">
        <v>65</v>
      </c>
      <c r="G2625" s="6">
        <f t="shared" si="137"/>
        <v>65</v>
      </c>
      <c r="H2625" s="6">
        <v>65</v>
      </c>
      <c r="I2625" s="31">
        <f t="shared" si="135"/>
        <v>0</v>
      </c>
      <c r="J2625" s="7" t="str">
        <f t="shared" si="136"/>
        <v>PAGADO</v>
      </c>
      <c r="K2625" s="33" t="s">
        <v>2258</v>
      </c>
    </row>
    <row r="2626" spans="1:11" x14ac:dyDescent="0.25">
      <c r="A2626">
        <v>2025</v>
      </c>
      <c r="C2626" s="9" t="s">
        <v>2571</v>
      </c>
      <c r="D2626" s="9" t="s">
        <v>1510</v>
      </c>
      <c r="F2626" s="6">
        <v>75</v>
      </c>
      <c r="G2626" s="6">
        <f t="shared" si="137"/>
        <v>75</v>
      </c>
      <c r="H2626" s="6">
        <v>75</v>
      </c>
      <c r="I2626" s="26">
        <f t="shared" si="135"/>
        <v>0</v>
      </c>
      <c r="J2626" s="7" t="str">
        <f t="shared" si="136"/>
        <v>PAGADO</v>
      </c>
      <c r="K2626" s="33" t="s">
        <v>2479</v>
      </c>
    </row>
    <row r="2627" spans="1:11" x14ac:dyDescent="0.25">
      <c r="A2627">
        <v>2025</v>
      </c>
      <c r="C2627" s="9" t="s">
        <v>2572</v>
      </c>
      <c r="D2627" s="9" t="s">
        <v>2363</v>
      </c>
      <c r="F2627" s="6">
        <v>70</v>
      </c>
      <c r="G2627" s="6">
        <f t="shared" si="137"/>
        <v>70</v>
      </c>
      <c r="H2627" s="6">
        <v>70</v>
      </c>
      <c r="I2627" s="26">
        <f t="shared" si="135"/>
        <v>0</v>
      </c>
      <c r="J2627" s="7" t="str">
        <f t="shared" si="136"/>
        <v>PAGADO</v>
      </c>
      <c r="K2627" s="33" t="s">
        <v>693</v>
      </c>
    </row>
    <row r="2628" spans="1:11" x14ac:dyDescent="0.25">
      <c r="A2628">
        <v>2025</v>
      </c>
      <c r="C2628" s="9" t="s">
        <v>2573</v>
      </c>
      <c r="D2628" s="9" t="s">
        <v>2278</v>
      </c>
      <c r="F2628" s="6">
        <v>80</v>
      </c>
      <c r="G2628" s="6">
        <f t="shared" si="137"/>
        <v>80</v>
      </c>
      <c r="H2628" s="27">
        <v>80</v>
      </c>
      <c r="I2628" s="26">
        <f t="shared" si="135"/>
        <v>0</v>
      </c>
      <c r="J2628" s="7" t="str">
        <f t="shared" si="136"/>
        <v>PAGADO</v>
      </c>
      <c r="K2628" s="33" t="s">
        <v>2479</v>
      </c>
    </row>
    <row r="2629" spans="1:11" x14ac:dyDescent="0.25">
      <c r="A2629">
        <v>2025</v>
      </c>
      <c r="C2629" s="9" t="s">
        <v>2574</v>
      </c>
      <c r="D2629" s="9" t="s">
        <v>2278</v>
      </c>
      <c r="F2629" s="6">
        <v>80</v>
      </c>
      <c r="G2629" s="6">
        <f t="shared" si="137"/>
        <v>80</v>
      </c>
      <c r="H2629" s="27">
        <v>80</v>
      </c>
      <c r="I2629" s="26">
        <f t="shared" si="135"/>
        <v>0</v>
      </c>
      <c r="J2629" s="7" t="str">
        <f t="shared" si="136"/>
        <v>PAGADO</v>
      </c>
      <c r="K2629" s="33" t="s">
        <v>2479</v>
      </c>
    </row>
    <row r="2630" spans="1:11" x14ac:dyDescent="0.25">
      <c r="A2630">
        <v>2025</v>
      </c>
      <c r="C2630" s="9" t="s">
        <v>2575</v>
      </c>
      <c r="D2630" s="9" t="s">
        <v>2278</v>
      </c>
      <c r="F2630" s="6">
        <v>65</v>
      </c>
      <c r="G2630" s="6">
        <f t="shared" si="137"/>
        <v>65</v>
      </c>
      <c r="H2630" s="27">
        <v>65</v>
      </c>
      <c r="I2630" s="26">
        <f t="shared" si="135"/>
        <v>0</v>
      </c>
      <c r="J2630" s="7" t="str">
        <f t="shared" si="136"/>
        <v>PAGADO</v>
      </c>
      <c r="K2630" s="33" t="s">
        <v>2479</v>
      </c>
    </row>
    <row r="2631" spans="1:11" x14ac:dyDescent="0.25">
      <c r="A2631">
        <v>2025</v>
      </c>
      <c r="C2631" s="9" t="s">
        <v>2576</v>
      </c>
      <c r="D2631" s="9" t="s">
        <v>2278</v>
      </c>
      <c r="F2631" s="6">
        <v>65</v>
      </c>
      <c r="G2631" s="6">
        <f t="shared" si="137"/>
        <v>65</v>
      </c>
      <c r="H2631" s="27">
        <v>65</v>
      </c>
      <c r="I2631" s="26">
        <f t="shared" si="135"/>
        <v>0</v>
      </c>
      <c r="J2631" s="7" t="str">
        <f t="shared" si="136"/>
        <v>PAGADO</v>
      </c>
      <c r="K2631" s="33" t="s">
        <v>2479</v>
      </c>
    </row>
    <row r="2632" spans="1:11" x14ac:dyDescent="0.25">
      <c r="A2632">
        <v>2025</v>
      </c>
      <c r="C2632" s="9" t="s">
        <v>2577</v>
      </c>
      <c r="D2632" s="9" t="s">
        <v>2278</v>
      </c>
      <c r="F2632" s="6">
        <v>65</v>
      </c>
      <c r="G2632" s="6">
        <f t="shared" si="137"/>
        <v>65</v>
      </c>
      <c r="H2632" s="27">
        <v>65</v>
      </c>
      <c r="I2632" s="26">
        <f t="shared" si="135"/>
        <v>0</v>
      </c>
      <c r="J2632" s="7" t="str">
        <f t="shared" si="136"/>
        <v>PAGADO</v>
      </c>
      <c r="K2632" s="33" t="s">
        <v>2479</v>
      </c>
    </row>
    <row r="2633" spans="1:11" x14ac:dyDescent="0.25">
      <c r="A2633">
        <v>2025</v>
      </c>
      <c r="C2633" s="9" t="s">
        <v>2578</v>
      </c>
      <c r="D2633" s="9" t="s">
        <v>2278</v>
      </c>
      <c r="F2633" s="6">
        <v>65</v>
      </c>
      <c r="G2633" s="6">
        <f t="shared" si="137"/>
        <v>65</v>
      </c>
      <c r="H2633" s="27">
        <v>65</v>
      </c>
      <c r="I2633" s="26">
        <f t="shared" si="135"/>
        <v>0</v>
      </c>
      <c r="J2633" s="7" t="str">
        <f t="shared" si="136"/>
        <v>PAGADO</v>
      </c>
      <c r="K2633" s="33" t="s">
        <v>2479</v>
      </c>
    </row>
    <row r="2634" spans="1:11" x14ac:dyDescent="0.25">
      <c r="A2634">
        <v>2025</v>
      </c>
      <c r="C2634" s="9" t="s">
        <v>2579</v>
      </c>
      <c r="D2634" s="9" t="s">
        <v>1510</v>
      </c>
      <c r="F2634" s="6">
        <v>60</v>
      </c>
      <c r="G2634" s="6">
        <f t="shared" si="137"/>
        <v>60</v>
      </c>
      <c r="H2634" s="6">
        <v>60</v>
      </c>
      <c r="I2634" s="26">
        <f t="shared" si="135"/>
        <v>0</v>
      </c>
      <c r="J2634" s="7" t="str">
        <f t="shared" si="136"/>
        <v>PAGADO</v>
      </c>
      <c r="K2634" s="33" t="s">
        <v>2479</v>
      </c>
    </row>
    <row r="2635" spans="1:11" x14ac:dyDescent="0.25">
      <c r="A2635">
        <v>2025</v>
      </c>
      <c r="C2635" s="9" t="s">
        <v>2579</v>
      </c>
      <c r="D2635" s="9" t="s">
        <v>1501</v>
      </c>
      <c r="F2635" s="6">
        <v>60</v>
      </c>
      <c r="G2635" s="6">
        <f t="shared" si="137"/>
        <v>60</v>
      </c>
      <c r="H2635" s="6">
        <v>60</v>
      </c>
      <c r="I2635" s="26">
        <f t="shared" si="135"/>
        <v>0</v>
      </c>
      <c r="J2635" s="7" t="str">
        <f t="shared" si="136"/>
        <v>PAGADO</v>
      </c>
      <c r="K2635" s="33" t="s">
        <v>2479</v>
      </c>
    </row>
    <row r="2636" spans="1:11" x14ac:dyDescent="0.25">
      <c r="A2636">
        <v>2025</v>
      </c>
      <c r="C2636" s="9" t="s">
        <v>2580</v>
      </c>
      <c r="D2636" s="9" t="s">
        <v>2392</v>
      </c>
      <c r="F2636" s="6">
        <v>65</v>
      </c>
      <c r="G2636" s="6">
        <f t="shared" si="137"/>
        <v>65</v>
      </c>
      <c r="H2636" s="6">
        <f>32.5+32.5</f>
        <v>65</v>
      </c>
      <c r="I2636" s="26">
        <f t="shared" si="135"/>
        <v>0</v>
      </c>
      <c r="J2636" s="7" t="str">
        <f t="shared" si="136"/>
        <v>PAGADO</v>
      </c>
      <c r="K2636" s="33" t="s">
        <v>2258</v>
      </c>
    </row>
    <row r="2637" spans="1:11" x14ac:dyDescent="0.25">
      <c r="A2637">
        <v>2025</v>
      </c>
      <c r="C2637" s="9" t="s">
        <v>2580</v>
      </c>
      <c r="D2637" s="9" t="s">
        <v>1309</v>
      </c>
      <c r="F2637" s="6">
        <v>65</v>
      </c>
      <c r="G2637" s="6">
        <f t="shared" si="137"/>
        <v>65</v>
      </c>
      <c r="H2637" s="6">
        <f>45+20</f>
        <v>65</v>
      </c>
      <c r="I2637" s="26">
        <f t="shared" si="135"/>
        <v>0</v>
      </c>
      <c r="J2637" s="7" t="str">
        <f t="shared" si="136"/>
        <v>PAGADO</v>
      </c>
      <c r="K2637" s="33" t="s">
        <v>2258</v>
      </c>
    </row>
    <row r="2638" spans="1:11" x14ac:dyDescent="0.25">
      <c r="A2638">
        <v>2025</v>
      </c>
      <c r="C2638" s="9" t="s">
        <v>2419</v>
      </c>
      <c r="D2638" s="9" t="s">
        <v>2363</v>
      </c>
      <c r="F2638" s="6">
        <v>140</v>
      </c>
      <c r="G2638" s="6">
        <f t="shared" si="137"/>
        <v>140</v>
      </c>
      <c r="H2638" s="6">
        <f>70+70</f>
        <v>140</v>
      </c>
      <c r="I2638" s="26">
        <f t="shared" si="135"/>
        <v>0</v>
      </c>
      <c r="J2638" s="7" t="str">
        <f t="shared" si="136"/>
        <v>PAGADO</v>
      </c>
      <c r="K2638" s="33" t="s">
        <v>693</v>
      </c>
    </row>
    <row r="2639" spans="1:11" x14ac:dyDescent="0.25">
      <c r="A2639">
        <v>2025</v>
      </c>
      <c r="C2639" s="9" t="s">
        <v>2581</v>
      </c>
      <c r="D2639" s="9" t="s">
        <v>2548</v>
      </c>
      <c r="F2639" s="6">
        <v>90</v>
      </c>
      <c r="G2639" s="6">
        <f t="shared" si="137"/>
        <v>90</v>
      </c>
      <c r="H2639" s="6">
        <f>45+45</f>
        <v>90</v>
      </c>
      <c r="I2639" s="26">
        <f t="shared" si="135"/>
        <v>0</v>
      </c>
      <c r="J2639" s="7" t="str">
        <f t="shared" si="136"/>
        <v>PAGADO</v>
      </c>
      <c r="K2639" s="33" t="s">
        <v>2258</v>
      </c>
    </row>
    <row r="2640" spans="1:11" x14ac:dyDescent="0.25">
      <c r="A2640">
        <v>2025</v>
      </c>
      <c r="C2640" s="9" t="s">
        <v>1905</v>
      </c>
      <c r="D2640" s="9" t="s">
        <v>2548</v>
      </c>
      <c r="F2640" s="6">
        <v>80</v>
      </c>
      <c r="G2640" s="6">
        <f t="shared" si="137"/>
        <v>80</v>
      </c>
      <c r="H2640" s="6">
        <f>40+40</f>
        <v>80</v>
      </c>
      <c r="I2640" s="26">
        <f t="shared" si="135"/>
        <v>0</v>
      </c>
      <c r="J2640" s="7" t="str">
        <f t="shared" si="136"/>
        <v>PAGADO</v>
      </c>
      <c r="K2640" s="33" t="s">
        <v>2258</v>
      </c>
    </row>
    <row r="2641" spans="1:11" x14ac:dyDescent="0.25">
      <c r="A2641">
        <v>2025</v>
      </c>
      <c r="C2641" s="9" t="s">
        <v>2141</v>
      </c>
      <c r="D2641" s="9" t="s">
        <v>2548</v>
      </c>
      <c r="F2641" s="6">
        <v>70</v>
      </c>
      <c r="G2641" s="6">
        <f t="shared" si="137"/>
        <v>70</v>
      </c>
      <c r="H2641" s="6">
        <f>35+35</f>
        <v>70</v>
      </c>
      <c r="I2641" s="26">
        <f t="shared" si="135"/>
        <v>0</v>
      </c>
      <c r="J2641" s="7" t="str">
        <f t="shared" si="136"/>
        <v>PAGADO</v>
      </c>
      <c r="K2641" s="9"/>
    </row>
    <row r="2642" spans="1:11" x14ac:dyDescent="0.25">
      <c r="A2642">
        <v>2025</v>
      </c>
      <c r="C2642" s="9" t="s">
        <v>2422</v>
      </c>
      <c r="D2642" s="9" t="s">
        <v>2548</v>
      </c>
      <c r="F2642" s="6">
        <v>80</v>
      </c>
      <c r="G2642" s="6">
        <f t="shared" si="137"/>
        <v>80</v>
      </c>
      <c r="H2642" s="6">
        <v>80</v>
      </c>
      <c r="I2642" s="26">
        <f t="shared" ref="I2642:I2705" si="138">F2642-H2642</f>
        <v>0</v>
      </c>
      <c r="J2642" s="7" t="str">
        <f t="shared" si="136"/>
        <v>PAGADO</v>
      </c>
      <c r="K2642" s="14"/>
    </row>
    <row r="2643" spans="1:11" x14ac:dyDescent="0.25">
      <c r="A2643">
        <v>2025</v>
      </c>
      <c r="C2643" s="9" t="s">
        <v>2582</v>
      </c>
      <c r="D2643" s="9" t="s">
        <v>2548</v>
      </c>
      <c r="F2643" s="6">
        <v>280</v>
      </c>
      <c r="G2643" s="6">
        <f t="shared" si="137"/>
        <v>280</v>
      </c>
      <c r="H2643" s="6">
        <v>280</v>
      </c>
      <c r="I2643" s="26">
        <f t="shared" si="138"/>
        <v>0</v>
      </c>
      <c r="J2643" s="7" t="str">
        <f t="shared" si="136"/>
        <v>PAGADO</v>
      </c>
      <c r="K2643" s="33" t="s">
        <v>2479</v>
      </c>
    </row>
    <row r="2644" spans="1:11" x14ac:dyDescent="0.25">
      <c r="A2644">
        <v>2025</v>
      </c>
      <c r="C2644" s="9" t="s">
        <v>2583</v>
      </c>
      <c r="D2644" s="9" t="s">
        <v>2153</v>
      </c>
      <c r="F2644" s="6">
        <v>110</v>
      </c>
      <c r="G2644" s="6">
        <f t="shared" si="137"/>
        <v>110</v>
      </c>
      <c r="H2644" s="6">
        <f>55+55</f>
        <v>110</v>
      </c>
      <c r="I2644" s="26">
        <f t="shared" si="138"/>
        <v>0</v>
      </c>
      <c r="J2644" s="7" t="str">
        <f t="shared" si="136"/>
        <v>PAGADO</v>
      </c>
      <c r="K2644" s="33" t="s">
        <v>2258</v>
      </c>
    </row>
    <row r="2645" spans="1:11" x14ac:dyDescent="0.25">
      <c r="A2645">
        <v>2025</v>
      </c>
      <c r="C2645" s="9" t="s">
        <v>2584</v>
      </c>
      <c r="D2645" s="9" t="s">
        <v>2530</v>
      </c>
      <c r="F2645" s="6">
        <v>70</v>
      </c>
      <c r="G2645" s="6">
        <f t="shared" si="137"/>
        <v>70</v>
      </c>
      <c r="H2645" s="26">
        <f>35+35</f>
        <v>70</v>
      </c>
      <c r="I2645" s="26">
        <f t="shared" si="138"/>
        <v>0</v>
      </c>
      <c r="J2645" s="7" t="str">
        <f t="shared" si="136"/>
        <v>PAGADO</v>
      </c>
      <c r="K2645" s="33" t="s">
        <v>2258</v>
      </c>
    </row>
    <row r="2646" spans="1:11" x14ac:dyDescent="0.25">
      <c r="A2646">
        <v>2025</v>
      </c>
      <c r="C2646" s="9" t="s">
        <v>2419</v>
      </c>
      <c r="D2646" s="9" t="s">
        <v>2530</v>
      </c>
      <c r="F2646" s="6">
        <v>140</v>
      </c>
      <c r="G2646" s="6">
        <f t="shared" si="137"/>
        <v>140</v>
      </c>
      <c r="H2646" s="26">
        <f>70+70</f>
        <v>140</v>
      </c>
      <c r="I2646" s="26">
        <f t="shared" si="138"/>
        <v>0</v>
      </c>
      <c r="J2646" s="7" t="str">
        <f t="shared" si="136"/>
        <v>PAGADO</v>
      </c>
      <c r="K2646" s="33" t="s">
        <v>693</v>
      </c>
    </row>
    <row r="2647" spans="1:11" x14ac:dyDescent="0.25">
      <c r="A2647">
        <v>2025</v>
      </c>
      <c r="C2647" s="9" t="s">
        <v>2585</v>
      </c>
      <c r="D2647" s="9" t="s">
        <v>2275</v>
      </c>
      <c r="F2647" s="6">
        <v>70</v>
      </c>
      <c r="G2647" s="6">
        <f t="shared" si="137"/>
        <v>70</v>
      </c>
      <c r="H2647" s="24">
        <f>35+35</f>
        <v>70</v>
      </c>
      <c r="I2647" s="26">
        <f t="shared" si="138"/>
        <v>0</v>
      </c>
      <c r="J2647" s="7" t="str">
        <f t="shared" si="136"/>
        <v>PAGADO</v>
      </c>
      <c r="K2647" s="9" t="s">
        <v>693</v>
      </c>
    </row>
    <row r="2648" spans="1:11" x14ac:dyDescent="0.25">
      <c r="A2648">
        <v>2025</v>
      </c>
      <c r="C2648" s="9" t="s">
        <v>2586</v>
      </c>
      <c r="D2648" s="9" t="s">
        <v>2407</v>
      </c>
      <c r="F2648" s="6">
        <v>60</v>
      </c>
      <c r="G2648" s="6">
        <f t="shared" si="137"/>
        <v>60</v>
      </c>
      <c r="H2648" s="6">
        <f>30+30</f>
        <v>60</v>
      </c>
      <c r="I2648" s="26">
        <f t="shared" si="138"/>
        <v>0</v>
      </c>
      <c r="J2648" s="7" t="str">
        <f t="shared" si="136"/>
        <v>PAGADO</v>
      </c>
      <c r="K2648" s="33" t="s">
        <v>2479</v>
      </c>
    </row>
    <row r="2649" spans="1:11" x14ac:dyDescent="0.25">
      <c r="A2649">
        <v>2025</v>
      </c>
      <c r="C2649" s="9" t="s">
        <v>2587</v>
      </c>
      <c r="D2649" s="9" t="s">
        <v>1055</v>
      </c>
      <c r="F2649" s="6">
        <v>75</v>
      </c>
      <c r="G2649" s="6">
        <f t="shared" si="137"/>
        <v>75</v>
      </c>
      <c r="H2649" s="6">
        <v>75</v>
      </c>
      <c r="I2649" s="26">
        <f t="shared" si="138"/>
        <v>0</v>
      </c>
      <c r="J2649" s="7" t="str">
        <f t="shared" si="136"/>
        <v>PAGADO</v>
      </c>
      <c r="K2649" s="33" t="s">
        <v>1823</v>
      </c>
    </row>
    <row r="2650" spans="1:11" x14ac:dyDescent="0.25">
      <c r="A2650">
        <v>2025</v>
      </c>
      <c r="C2650" s="9" t="s">
        <v>2522</v>
      </c>
      <c r="D2650" s="9" t="s">
        <v>1504</v>
      </c>
      <c r="F2650" s="6">
        <v>80</v>
      </c>
      <c r="G2650" s="6">
        <f t="shared" si="137"/>
        <v>80</v>
      </c>
      <c r="H2650" s="6">
        <f>30+50</f>
        <v>80</v>
      </c>
      <c r="I2650" s="26">
        <f t="shared" si="138"/>
        <v>0</v>
      </c>
      <c r="J2650" s="7" t="str">
        <f t="shared" si="136"/>
        <v>PAGADO</v>
      </c>
      <c r="K2650" s="33" t="s">
        <v>693</v>
      </c>
    </row>
    <row r="2651" spans="1:11" x14ac:dyDescent="0.25">
      <c r="A2651">
        <v>2025</v>
      </c>
      <c r="C2651" s="9" t="s">
        <v>2585</v>
      </c>
      <c r="D2651" s="9" t="s">
        <v>1504</v>
      </c>
      <c r="F2651" s="6">
        <v>75</v>
      </c>
      <c r="G2651" s="6">
        <f t="shared" si="137"/>
        <v>75</v>
      </c>
      <c r="H2651" s="6">
        <v>75</v>
      </c>
      <c r="I2651" s="26">
        <f t="shared" si="138"/>
        <v>0</v>
      </c>
      <c r="J2651" s="7" t="str">
        <f t="shared" si="136"/>
        <v>PAGADO</v>
      </c>
      <c r="K2651" s="33" t="s">
        <v>693</v>
      </c>
    </row>
    <row r="2652" spans="1:11" x14ac:dyDescent="0.25">
      <c r="A2652">
        <v>2025</v>
      </c>
      <c r="C2652" s="9" t="s">
        <v>2588</v>
      </c>
      <c r="D2652" s="9" t="s">
        <v>1510</v>
      </c>
      <c r="F2652" s="6">
        <v>65</v>
      </c>
      <c r="G2652" s="6">
        <f t="shared" si="137"/>
        <v>65</v>
      </c>
      <c r="H2652" s="6">
        <v>65</v>
      </c>
      <c r="I2652" s="26">
        <f t="shared" si="138"/>
        <v>0</v>
      </c>
      <c r="J2652" s="7" t="str">
        <f t="shared" si="136"/>
        <v>PAGADO</v>
      </c>
      <c r="K2652" s="33" t="s">
        <v>2479</v>
      </c>
    </row>
    <row r="2653" spans="1:11" x14ac:dyDescent="0.25">
      <c r="A2653">
        <v>2025</v>
      </c>
      <c r="C2653" s="9" t="s">
        <v>2589</v>
      </c>
      <c r="D2653" s="9" t="s">
        <v>1510</v>
      </c>
      <c r="F2653" s="6">
        <v>70</v>
      </c>
      <c r="G2653" s="6">
        <f t="shared" si="137"/>
        <v>70</v>
      </c>
      <c r="H2653" s="6">
        <v>70</v>
      </c>
      <c r="I2653" s="26">
        <f t="shared" si="138"/>
        <v>0</v>
      </c>
      <c r="J2653" s="7" t="str">
        <f t="shared" si="136"/>
        <v>PAGADO</v>
      </c>
      <c r="K2653" s="33" t="s">
        <v>2479</v>
      </c>
    </row>
    <row r="2654" spans="1:11" x14ac:dyDescent="0.25">
      <c r="A2654">
        <v>2025</v>
      </c>
      <c r="C2654" s="9" t="s">
        <v>1944</v>
      </c>
      <c r="D2654" s="9" t="s">
        <v>2530</v>
      </c>
      <c r="F2654" s="6">
        <v>60</v>
      </c>
      <c r="G2654" s="6">
        <f t="shared" si="137"/>
        <v>60</v>
      </c>
      <c r="H2654" s="26">
        <f t="shared" ref="H2654:H2659" si="139">30+30</f>
        <v>60</v>
      </c>
      <c r="I2654" s="26">
        <f t="shared" si="138"/>
        <v>0</v>
      </c>
      <c r="J2654" s="7" t="str">
        <f t="shared" si="136"/>
        <v>PAGADO</v>
      </c>
      <c r="K2654" s="33" t="s">
        <v>2258</v>
      </c>
    </row>
    <row r="2655" spans="1:11" x14ac:dyDescent="0.25">
      <c r="A2655">
        <v>2025</v>
      </c>
      <c r="C2655" s="9" t="s">
        <v>2590</v>
      </c>
      <c r="D2655" s="9" t="s">
        <v>2530</v>
      </c>
      <c r="F2655" s="6">
        <v>60</v>
      </c>
      <c r="G2655" s="6">
        <f t="shared" si="137"/>
        <v>60</v>
      </c>
      <c r="H2655" s="26">
        <f t="shared" si="139"/>
        <v>60</v>
      </c>
      <c r="I2655" s="26">
        <f t="shared" si="138"/>
        <v>0</v>
      </c>
      <c r="J2655" s="7" t="str">
        <f t="shared" si="136"/>
        <v>PAGADO</v>
      </c>
      <c r="K2655" s="33" t="s">
        <v>2258</v>
      </c>
    </row>
    <row r="2656" spans="1:11" x14ac:dyDescent="0.25">
      <c r="A2656">
        <v>2025</v>
      </c>
      <c r="C2656" s="9" t="s">
        <v>2591</v>
      </c>
      <c r="D2656" s="9" t="s">
        <v>2530</v>
      </c>
      <c r="F2656" s="6">
        <v>60</v>
      </c>
      <c r="G2656" s="6">
        <f t="shared" si="137"/>
        <v>60</v>
      </c>
      <c r="H2656" s="26">
        <f t="shared" si="139"/>
        <v>60</v>
      </c>
      <c r="I2656" s="26">
        <f t="shared" si="138"/>
        <v>0</v>
      </c>
      <c r="J2656" s="7" t="str">
        <f t="shared" si="136"/>
        <v>PAGADO</v>
      </c>
      <c r="K2656" s="33" t="s">
        <v>2258</v>
      </c>
    </row>
    <row r="2657" spans="1:11" x14ac:dyDescent="0.25">
      <c r="A2657">
        <v>2025</v>
      </c>
      <c r="C2657" s="9" t="s">
        <v>2592</v>
      </c>
      <c r="D2657" s="9" t="s">
        <v>2530</v>
      </c>
      <c r="F2657" s="6">
        <v>60</v>
      </c>
      <c r="G2657" s="6">
        <f t="shared" si="137"/>
        <v>60</v>
      </c>
      <c r="H2657" s="26">
        <f t="shared" si="139"/>
        <v>60</v>
      </c>
      <c r="I2657" s="26">
        <f t="shared" si="138"/>
        <v>0</v>
      </c>
      <c r="J2657" s="7" t="str">
        <f t="shared" si="136"/>
        <v>PAGADO</v>
      </c>
      <c r="K2657" s="33" t="s">
        <v>2258</v>
      </c>
    </row>
    <row r="2658" spans="1:11" x14ac:dyDescent="0.25">
      <c r="A2658">
        <v>2025</v>
      </c>
      <c r="C2658" s="9" t="s">
        <v>1976</v>
      </c>
      <c r="D2658" s="9" t="s">
        <v>2530</v>
      </c>
      <c r="F2658" s="6">
        <v>60</v>
      </c>
      <c r="G2658" s="6">
        <f t="shared" si="137"/>
        <v>60</v>
      </c>
      <c r="H2658" s="26">
        <f t="shared" si="139"/>
        <v>60</v>
      </c>
      <c r="I2658" s="26">
        <f t="shared" si="138"/>
        <v>0</v>
      </c>
      <c r="J2658" s="7" t="str">
        <f t="shared" si="136"/>
        <v>PAGADO</v>
      </c>
      <c r="K2658" s="33" t="s">
        <v>2258</v>
      </c>
    </row>
    <row r="2659" spans="1:11" x14ac:dyDescent="0.25">
      <c r="A2659">
        <v>2025</v>
      </c>
      <c r="C2659" s="9" t="s">
        <v>2593</v>
      </c>
      <c r="D2659" s="9" t="s">
        <v>2530</v>
      </c>
      <c r="F2659" s="6">
        <v>60</v>
      </c>
      <c r="G2659" s="6">
        <f t="shared" si="137"/>
        <v>60</v>
      </c>
      <c r="H2659" s="26">
        <f t="shared" si="139"/>
        <v>60</v>
      </c>
      <c r="I2659" s="26">
        <f t="shared" si="138"/>
        <v>0</v>
      </c>
      <c r="J2659" s="7" t="str">
        <f t="shared" si="136"/>
        <v>PAGADO</v>
      </c>
      <c r="K2659" s="33" t="s">
        <v>2258</v>
      </c>
    </row>
    <row r="2660" spans="1:11" x14ac:dyDescent="0.25">
      <c r="A2660">
        <v>2025</v>
      </c>
      <c r="C2660" s="9" t="s">
        <v>2594</v>
      </c>
      <c r="D2660" s="9" t="s">
        <v>2530</v>
      </c>
      <c r="F2660" s="6">
        <v>340</v>
      </c>
      <c r="G2660" s="6">
        <f t="shared" si="137"/>
        <v>340</v>
      </c>
      <c r="H2660" s="26">
        <v>340</v>
      </c>
      <c r="I2660" s="26">
        <f t="shared" si="138"/>
        <v>0</v>
      </c>
      <c r="J2660" s="7" t="str">
        <f t="shared" si="136"/>
        <v>PAGADO</v>
      </c>
      <c r="K2660" s="33" t="s">
        <v>2479</v>
      </c>
    </row>
    <row r="2661" spans="1:11" x14ac:dyDescent="0.25">
      <c r="A2661">
        <v>2025</v>
      </c>
      <c r="C2661" s="9" t="s">
        <v>1603</v>
      </c>
      <c r="D2661" s="9" t="s">
        <v>2530</v>
      </c>
      <c r="F2661" s="6">
        <v>60</v>
      </c>
      <c r="G2661" s="6">
        <f t="shared" si="137"/>
        <v>60</v>
      </c>
      <c r="H2661" s="26">
        <v>60</v>
      </c>
      <c r="I2661" s="26">
        <f t="shared" si="138"/>
        <v>0</v>
      </c>
      <c r="J2661" s="7" t="str">
        <f t="shared" si="136"/>
        <v>PAGADO</v>
      </c>
      <c r="K2661" s="33" t="s">
        <v>2479</v>
      </c>
    </row>
    <row r="2662" spans="1:11" x14ac:dyDescent="0.25">
      <c r="A2662">
        <v>2025</v>
      </c>
      <c r="C2662" s="9" t="s">
        <v>2595</v>
      </c>
      <c r="D2662" s="9" t="s">
        <v>2530</v>
      </c>
      <c r="F2662" s="6">
        <v>60</v>
      </c>
      <c r="G2662" s="6">
        <f t="shared" si="137"/>
        <v>60</v>
      </c>
      <c r="H2662" s="26">
        <v>60</v>
      </c>
      <c r="I2662" s="26">
        <f t="shared" si="138"/>
        <v>0</v>
      </c>
      <c r="J2662" s="7" t="str">
        <f t="shared" si="136"/>
        <v>PAGADO</v>
      </c>
      <c r="K2662" s="33" t="s">
        <v>2479</v>
      </c>
    </row>
    <row r="2663" spans="1:11" x14ac:dyDescent="0.25">
      <c r="A2663">
        <v>2025</v>
      </c>
      <c r="C2663" s="9" t="s">
        <v>2596</v>
      </c>
      <c r="D2663" s="9" t="s">
        <v>2530</v>
      </c>
      <c r="F2663" s="6">
        <v>55</v>
      </c>
      <c r="G2663" s="6">
        <f t="shared" si="137"/>
        <v>55</v>
      </c>
      <c r="H2663" s="26">
        <v>55</v>
      </c>
      <c r="I2663" s="26">
        <f t="shared" si="138"/>
        <v>0</v>
      </c>
      <c r="J2663" s="7" t="str">
        <f t="shared" si="136"/>
        <v>PAGADO</v>
      </c>
      <c r="K2663" s="33" t="s">
        <v>2479</v>
      </c>
    </row>
    <row r="2664" spans="1:11" x14ac:dyDescent="0.25">
      <c r="A2664">
        <v>2025</v>
      </c>
      <c r="C2664" s="9" t="s">
        <v>1639</v>
      </c>
      <c r="D2664" s="9" t="s">
        <v>2530</v>
      </c>
      <c r="F2664" s="6">
        <v>55</v>
      </c>
      <c r="G2664" s="6">
        <f t="shared" si="137"/>
        <v>55</v>
      </c>
      <c r="H2664" s="26">
        <v>55</v>
      </c>
      <c r="I2664" s="26">
        <f t="shared" si="138"/>
        <v>0</v>
      </c>
      <c r="J2664" s="7" t="str">
        <f t="shared" si="136"/>
        <v>PAGADO</v>
      </c>
      <c r="K2664" s="33" t="s">
        <v>2479</v>
      </c>
    </row>
    <row r="2665" spans="1:11" x14ac:dyDescent="0.25">
      <c r="A2665">
        <v>2025</v>
      </c>
      <c r="C2665" s="14" t="s">
        <v>2141</v>
      </c>
      <c r="D2665" s="14" t="s">
        <v>2530</v>
      </c>
      <c r="E2665" s="15"/>
      <c r="F2665" s="16">
        <v>70</v>
      </c>
      <c r="G2665" s="16">
        <f t="shared" si="137"/>
        <v>70</v>
      </c>
      <c r="H2665" s="16">
        <f>15+20+35</f>
        <v>70</v>
      </c>
      <c r="I2665" s="16">
        <f t="shared" si="138"/>
        <v>0</v>
      </c>
      <c r="J2665" s="17" t="str">
        <f t="shared" si="136"/>
        <v>PAGADO</v>
      </c>
      <c r="K2665" s="33" t="s">
        <v>693</v>
      </c>
    </row>
    <row r="2666" spans="1:11" x14ac:dyDescent="0.25">
      <c r="A2666">
        <v>2025</v>
      </c>
      <c r="C2666" s="9" t="s">
        <v>2597</v>
      </c>
      <c r="D2666" s="9" t="s">
        <v>2530</v>
      </c>
      <c r="F2666" s="6">
        <v>70</v>
      </c>
      <c r="G2666" s="6">
        <f t="shared" si="137"/>
        <v>70</v>
      </c>
      <c r="H2666" s="26">
        <f t="shared" ref="H2666:H2671" si="140">35+35</f>
        <v>70</v>
      </c>
      <c r="I2666" s="26">
        <f t="shared" si="138"/>
        <v>0</v>
      </c>
      <c r="J2666" s="7" t="str">
        <f t="shared" si="136"/>
        <v>PAGADO</v>
      </c>
      <c r="K2666" s="33" t="s">
        <v>2258</v>
      </c>
    </row>
    <row r="2667" spans="1:11" x14ac:dyDescent="0.25">
      <c r="A2667">
        <v>2025</v>
      </c>
      <c r="C2667" s="9" t="s">
        <v>1897</v>
      </c>
      <c r="D2667" s="9" t="s">
        <v>2530</v>
      </c>
      <c r="F2667" s="6">
        <v>70</v>
      </c>
      <c r="G2667" s="6">
        <f t="shared" si="137"/>
        <v>70</v>
      </c>
      <c r="H2667" s="26">
        <f t="shared" si="140"/>
        <v>70</v>
      </c>
      <c r="I2667" s="26">
        <f t="shared" si="138"/>
        <v>0</v>
      </c>
      <c r="J2667" s="7" t="str">
        <f t="shared" si="136"/>
        <v>PAGADO</v>
      </c>
      <c r="K2667" s="33" t="s">
        <v>2258</v>
      </c>
    </row>
    <row r="2668" spans="1:11" x14ac:dyDescent="0.25">
      <c r="A2668">
        <v>2025</v>
      </c>
      <c r="C2668" s="9" t="s">
        <v>2598</v>
      </c>
      <c r="D2668" s="9" t="s">
        <v>2530</v>
      </c>
      <c r="F2668" s="6">
        <v>70</v>
      </c>
      <c r="G2668" s="6">
        <f t="shared" si="137"/>
        <v>70</v>
      </c>
      <c r="H2668" s="26">
        <f t="shared" si="140"/>
        <v>70</v>
      </c>
      <c r="I2668" s="26">
        <f t="shared" si="138"/>
        <v>0</v>
      </c>
      <c r="J2668" s="7" t="str">
        <f t="shared" si="136"/>
        <v>PAGADO</v>
      </c>
      <c r="K2668" s="33" t="s">
        <v>2258</v>
      </c>
    </row>
    <row r="2669" spans="1:11" x14ac:dyDescent="0.25">
      <c r="A2669">
        <v>2025</v>
      </c>
      <c r="C2669" s="9" t="s">
        <v>2599</v>
      </c>
      <c r="D2669" s="9" t="s">
        <v>2530</v>
      </c>
      <c r="F2669" s="6">
        <v>70</v>
      </c>
      <c r="G2669" s="6">
        <f t="shared" si="137"/>
        <v>70</v>
      </c>
      <c r="H2669" s="26">
        <f t="shared" si="140"/>
        <v>70</v>
      </c>
      <c r="I2669" s="26">
        <f t="shared" si="138"/>
        <v>0</v>
      </c>
      <c r="J2669" s="7" t="str">
        <f t="shared" si="136"/>
        <v>PAGADO</v>
      </c>
      <c r="K2669" s="33" t="s">
        <v>2258</v>
      </c>
    </row>
    <row r="2670" spans="1:11" x14ac:dyDescent="0.25">
      <c r="A2670">
        <v>2025</v>
      </c>
      <c r="C2670" s="9" t="s">
        <v>2600</v>
      </c>
      <c r="D2670" s="9" t="s">
        <v>2530</v>
      </c>
      <c r="F2670" s="6">
        <v>70</v>
      </c>
      <c r="G2670" s="6">
        <f t="shared" si="137"/>
        <v>70</v>
      </c>
      <c r="H2670" s="26">
        <f t="shared" si="140"/>
        <v>70</v>
      </c>
      <c r="I2670" s="26">
        <f t="shared" si="138"/>
        <v>0</v>
      </c>
      <c r="J2670" s="7" t="str">
        <f t="shared" si="136"/>
        <v>PAGADO</v>
      </c>
      <c r="K2670" s="33" t="s">
        <v>2258</v>
      </c>
    </row>
    <row r="2671" spans="1:11" x14ac:dyDescent="0.25">
      <c r="A2671">
        <v>2025</v>
      </c>
      <c r="C2671" s="9" t="s">
        <v>2600</v>
      </c>
      <c r="D2671" s="9" t="s">
        <v>2275</v>
      </c>
      <c r="F2671" s="6">
        <v>70</v>
      </c>
      <c r="G2671" s="6">
        <f t="shared" si="137"/>
        <v>70</v>
      </c>
      <c r="H2671" s="24">
        <f t="shared" si="140"/>
        <v>70</v>
      </c>
      <c r="I2671" s="26">
        <f t="shared" si="138"/>
        <v>0</v>
      </c>
      <c r="J2671" s="7" t="str">
        <f t="shared" si="136"/>
        <v>PAGADO</v>
      </c>
      <c r="K2671" s="9" t="s">
        <v>693</v>
      </c>
    </row>
    <row r="2672" spans="1:11" x14ac:dyDescent="0.25">
      <c r="A2672">
        <v>2025</v>
      </c>
      <c r="C2672" s="9" t="s">
        <v>2584</v>
      </c>
      <c r="D2672" s="9" t="s">
        <v>2275</v>
      </c>
      <c r="F2672" s="6">
        <v>70</v>
      </c>
      <c r="G2672" s="6">
        <f t="shared" si="137"/>
        <v>70</v>
      </c>
      <c r="H2672" s="24">
        <f>10+60</f>
        <v>70</v>
      </c>
      <c r="I2672" s="26">
        <f t="shared" si="138"/>
        <v>0</v>
      </c>
      <c r="J2672" s="7" t="str">
        <f t="shared" si="136"/>
        <v>PAGADO</v>
      </c>
      <c r="K2672" s="9" t="s">
        <v>693</v>
      </c>
    </row>
    <row r="2673" spans="1:11" x14ac:dyDescent="0.25">
      <c r="A2673">
        <v>2025</v>
      </c>
      <c r="C2673" s="9" t="s">
        <v>2584</v>
      </c>
      <c r="D2673" s="9" t="s">
        <v>2363</v>
      </c>
      <c r="F2673" s="6">
        <v>70</v>
      </c>
      <c r="G2673" s="6">
        <f t="shared" si="137"/>
        <v>70</v>
      </c>
      <c r="H2673" s="6">
        <f>35+35</f>
        <v>70</v>
      </c>
      <c r="I2673" s="26">
        <f t="shared" si="138"/>
        <v>0</v>
      </c>
      <c r="J2673" s="7" t="str">
        <f t="shared" si="136"/>
        <v>PAGADO</v>
      </c>
      <c r="K2673" s="33" t="s">
        <v>693</v>
      </c>
    </row>
    <row r="2674" spans="1:11" x14ac:dyDescent="0.25">
      <c r="A2674">
        <v>2025</v>
      </c>
      <c r="C2674" s="9" t="s">
        <v>1943</v>
      </c>
      <c r="D2674" s="9" t="s">
        <v>2530</v>
      </c>
      <c r="F2674" s="6">
        <v>70</v>
      </c>
      <c r="G2674" s="6">
        <f t="shared" si="137"/>
        <v>70</v>
      </c>
      <c r="H2674" s="26">
        <f>35+35</f>
        <v>70</v>
      </c>
      <c r="I2674" s="62">
        <f t="shared" si="138"/>
        <v>0</v>
      </c>
      <c r="J2674" s="7" t="str">
        <f t="shared" si="136"/>
        <v>PAGADO</v>
      </c>
      <c r="K2674" s="33" t="s">
        <v>2258</v>
      </c>
    </row>
    <row r="2675" spans="1:11" x14ac:dyDescent="0.25">
      <c r="A2675">
        <v>2025</v>
      </c>
      <c r="C2675" s="9" t="s">
        <v>2601</v>
      </c>
      <c r="D2675" s="9" t="s">
        <v>2530</v>
      </c>
      <c r="F2675" s="6">
        <v>70</v>
      </c>
      <c r="G2675" s="6">
        <f t="shared" si="137"/>
        <v>70</v>
      </c>
      <c r="H2675" s="26">
        <f>35+35</f>
        <v>70</v>
      </c>
      <c r="I2675" s="62">
        <f t="shared" si="138"/>
        <v>0</v>
      </c>
      <c r="J2675" s="7" t="str">
        <f t="shared" si="136"/>
        <v>PAGADO</v>
      </c>
      <c r="K2675" s="33" t="s">
        <v>2258</v>
      </c>
    </row>
    <row r="2676" spans="1:11" x14ac:dyDescent="0.25">
      <c r="A2676">
        <v>2025</v>
      </c>
      <c r="C2676" s="9" t="s">
        <v>2602</v>
      </c>
      <c r="D2676" s="9" t="s">
        <v>2530</v>
      </c>
      <c r="F2676" s="6">
        <v>260</v>
      </c>
      <c r="G2676" s="6">
        <f t="shared" si="137"/>
        <v>260</v>
      </c>
      <c r="H2676" s="26">
        <f>130+130</f>
        <v>260</v>
      </c>
      <c r="I2676" s="62">
        <f t="shared" si="138"/>
        <v>0</v>
      </c>
      <c r="J2676" s="7" t="str">
        <f t="shared" si="136"/>
        <v>PAGADO</v>
      </c>
      <c r="K2676" s="33" t="s">
        <v>693</v>
      </c>
    </row>
    <row r="2677" spans="1:11" x14ac:dyDescent="0.25">
      <c r="A2677">
        <v>2025</v>
      </c>
      <c r="C2677" s="9" t="s">
        <v>2603</v>
      </c>
      <c r="D2677" s="9" t="s">
        <v>2530</v>
      </c>
      <c r="F2677" s="6">
        <v>75</v>
      </c>
      <c r="G2677" s="6">
        <f t="shared" si="137"/>
        <v>75</v>
      </c>
      <c r="H2677" s="26">
        <f>37.5+37.5</f>
        <v>75</v>
      </c>
      <c r="I2677" s="62">
        <f t="shared" si="138"/>
        <v>0</v>
      </c>
      <c r="J2677" s="7" t="str">
        <f t="shared" si="136"/>
        <v>PAGADO</v>
      </c>
      <c r="K2677" s="33" t="s">
        <v>2258</v>
      </c>
    </row>
    <row r="2678" spans="1:11" x14ac:dyDescent="0.25">
      <c r="A2678">
        <v>2025</v>
      </c>
      <c r="C2678" s="9" t="s">
        <v>2604</v>
      </c>
      <c r="D2678" s="9" t="s">
        <v>2530</v>
      </c>
      <c r="F2678" s="6">
        <v>75</v>
      </c>
      <c r="G2678" s="6">
        <f t="shared" si="137"/>
        <v>75</v>
      </c>
      <c r="H2678" s="26">
        <f>37.5+37.5</f>
        <v>75</v>
      </c>
      <c r="I2678" s="62">
        <f t="shared" si="138"/>
        <v>0</v>
      </c>
      <c r="J2678" s="7" t="str">
        <f t="shared" si="136"/>
        <v>PAGADO</v>
      </c>
      <c r="K2678" s="33" t="s">
        <v>2258</v>
      </c>
    </row>
    <row r="2679" spans="1:11" x14ac:dyDescent="0.25">
      <c r="A2679">
        <v>2025</v>
      </c>
      <c r="C2679" s="9" t="s">
        <v>2605</v>
      </c>
      <c r="D2679" s="9" t="s">
        <v>2530</v>
      </c>
      <c r="F2679" s="6">
        <v>75</v>
      </c>
      <c r="G2679" s="6">
        <f t="shared" si="137"/>
        <v>75</v>
      </c>
      <c r="H2679" s="26">
        <f>37.5+37.5</f>
        <v>75</v>
      </c>
      <c r="I2679" s="62">
        <f t="shared" si="138"/>
        <v>0</v>
      </c>
      <c r="J2679" s="7" t="str">
        <f t="shared" si="136"/>
        <v>PAGADO</v>
      </c>
      <c r="K2679" s="33" t="s">
        <v>2258</v>
      </c>
    </row>
    <row r="2680" spans="1:11" x14ac:dyDescent="0.25">
      <c r="A2680">
        <v>2025</v>
      </c>
      <c r="C2680" s="9" t="s">
        <v>2606</v>
      </c>
      <c r="D2680" s="9" t="s">
        <v>2530</v>
      </c>
      <c r="F2680" s="6">
        <v>75</v>
      </c>
      <c r="G2680" s="6">
        <f t="shared" si="137"/>
        <v>75</v>
      </c>
      <c r="H2680" s="26">
        <f>37.5+37.5</f>
        <v>75</v>
      </c>
      <c r="I2680" s="62">
        <f t="shared" si="138"/>
        <v>0</v>
      </c>
      <c r="J2680" s="7" t="str">
        <f t="shared" ref="J2680:J2743" si="141">IF(I2680&gt;0,"DEBE","PAGADO")</f>
        <v>PAGADO</v>
      </c>
      <c r="K2680" s="33" t="s">
        <v>2258</v>
      </c>
    </row>
    <row r="2681" spans="1:11" x14ac:dyDescent="0.25">
      <c r="A2681">
        <v>2025</v>
      </c>
      <c r="C2681" s="9" t="s">
        <v>2421</v>
      </c>
      <c r="D2681" s="9" t="s">
        <v>2530</v>
      </c>
      <c r="F2681" s="6">
        <v>75</v>
      </c>
      <c r="G2681" s="6">
        <f t="shared" si="137"/>
        <v>75</v>
      </c>
      <c r="H2681" s="26">
        <f>37.5+37.5</f>
        <v>75</v>
      </c>
      <c r="I2681" s="62">
        <f t="shared" si="138"/>
        <v>0</v>
      </c>
      <c r="J2681" s="7" t="str">
        <f t="shared" si="141"/>
        <v>PAGADO</v>
      </c>
      <c r="K2681" s="33" t="s">
        <v>2258</v>
      </c>
    </row>
    <row r="2682" spans="1:11" x14ac:dyDescent="0.25">
      <c r="A2682">
        <v>2025</v>
      </c>
      <c r="C2682" s="9" t="s">
        <v>2419</v>
      </c>
      <c r="D2682" s="9" t="s">
        <v>2415</v>
      </c>
      <c r="F2682" s="6">
        <v>150</v>
      </c>
      <c r="G2682" s="6">
        <f t="shared" si="137"/>
        <v>150</v>
      </c>
      <c r="H2682" s="6">
        <f>70+80</f>
        <v>150</v>
      </c>
      <c r="I2682" s="26">
        <f t="shared" si="138"/>
        <v>0</v>
      </c>
      <c r="J2682" s="32" t="str">
        <f t="shared" si="141"/>
        <v>PAGADO</v>
      </c>
      <c r="K2682" s="59" t="s">
        <v>1823</v>
      </c>
    </row>
    <row r="2683" spans="1:11" x14ac:dyDescent="0.25">
      <c r="A2683">
        <v>2025</v>
      </c>
      <c r="C2683" s="9" t="s">
        <v>2607</v>
      </c>
      <c r="D2683" s="9" t="s">
        <v>2530</v>
      </c>
      <c r="F2683" s="26">
        <v>65</v>
      </c>
      <c r="G2683" s="26">
        <f t="shared" si="137"/>
        <v>65</v>
      </c>
      <c r="H2683" s="26">
        <v>65</v>
      </c>
      <c r="I2683" s="62">
        <f t="shared" si="138"/>
        <v>0</v>
      </c>
      <c r="J2683" s="7" t="str">
        <f t="shared" si="141"/>
        <v>PAGADO</v>
      </c>
      <c r="K2683" s="33" t="s">
        <v>2479</v>
      </c>
    </row>
    <row r="2684" spans="1:11" x14ac:dyDescent="0.25">
      <c r="A2684">
        <v>2025</v>
      </c>
      <c r="C2684" s="9" t="s">
        <v>2591</v>
      </c>
      <c r="D2684" s="9" t="s">
        <v>2275</v>
      </c>
      <c r="F2684" s="6">
        <v>75</v>
      </c>
      <c r="G2684" s="6">
        <f t="shared" si="137"/>
        <v>75</v>
      </c>
      <c r="H2684" s="26">
        <f>30+45</f>
        <v>75</v>
      </c>
      <c r="I2684" s="26">
        <f t="shared" si="138"/>
        <v>0</v>
      </c>
      <c r="J2684" s="7" t="str">
        <f t="shared" si="141"/>
        <v>PAGADO</v>
      </c>
      <c r="K2684" s="33" t="s">
        <v>2479</v>
      </c>
    </row>
    <row r="2685" spans="1:11" x14ac:dyDescent="0.25">
      <c r="A2685">
        <v>2025</v>
      </c>
      <c r="C2685" s="9" t="s">
        <v>2608</v>
      </c>
      <c r="D2685" s="9" t="s">
        <v>1504</v>
      </c>
      <c r="F2685" s="6">
        <v>25</v>
      </c>
      <c r="G2685" s="6">
        <f t="shared" si="137"/>
        <v>25</v>
      </c>
      <c r="H2685" s="6">
        <v>25</v>
      </c>
      <c r="I2685" s="26">
        <f t="shared" si="138"/>
        <v>0</v>
      </c>
      <c r="J2685" s="7" t="str">
        <f t="shared" si="141"/>
        <v>PAGADO</v>
      </c>
      <c r="K2685" s="33" t="s">
        <v>693</v>
      </c>
    </row>
    <row r="2686" spans="1:11" x14ac:dyDescent="0.25">
      <c r="A2686">
        <v>2025</v>
      </c>
      <c r="C2686" s="9" t="s">
        <v>2609</v>
      </c>
      <c r="D2686" s="9" t="s">
        <v>1504</v>
      </c>
      <c r="F2686" s="6">
        <v>25</v>
      </c>
      <c r="G2686" s="6">
        <f t="shared" ref="G2686:G2749" si="142">F2686-E2686</f>
        <v>25</v>
      </c>
      <c r="H2686" s="6">
        <v>25</v>
      </c>
      <c r="I2686" s="26">
        <f t="shared" si="138"/>
        <v>0</v>
      </c>
      <c r="J2686" s="7" t="str">
        <f t="shared" si="141"/>
        <v>PAGADO</v>
      </c>
      <c r="K2686" s="33" t="s">
        <v>693</v>
      </c>
    </row>
    <row r="2687" spans="1:11" x14ac:dyDescent="0.25">
      <c r="A2687">
        <v>2025</v>
      </c>
      <c r="C2687" s="9" t="s">
        <v>2610</v>
      </c>
      <c r="D2687" s="9" t="s">
        <v>2045</v>
      </c>
      <c r="F2687" s="6">
        <v>20</v>
      </c>
      <c r="G2687" s="6">
        <f t="shared" si="142"/>
        <v>20</v>
      </c>
      <c r="H2687" s="6">
        <f>10+10</f>
        <v>20</v>
      </c>
      <c r="I2687" s="26">
        <f t="shared" si="138"/>
        <v>0</v>
      </c>
      <c r="J2687" s="7" t="str">
        <f t="shared" si="141"/>
        <v>PAGADO</v>
      </c>
      <c r="K2687" s="9"/>
    </row>
    <row r="2688" spans="1:11" x14ac:dyDescent="0.25">
      <c r="A2688">
        <v>2025</v>
      </c>
      <c r="C2688" s="9" t="s">
        <v>2611</v>
      </c>
      <c r="D2688" s="9" t="s">
        <v>2045</v>
      </c>
      <c r="F2688" s="6">
        <v>25</v>
      </c>
      <c r="G2688" s="6">
        <f t="shared" si="142"/>
        <v>25</v>
      </c>
      <c r="H2688" s="6">
        <v>25</v>
      </c>
      <c r="I2688" s="26">
        <f t="shared" si="138"/>
        <v>0</v>
      </c>
      <c r="J2688" s="7" t="str">
        <f t="shared" si="141"/>
        <v>PAGADO</v>
      </c>
      <c r="K2688" s="9"/>
    </row>
    <row r="2689" spans="1:11" x14ac:dyDescent="0.25">
      <c r="A2689">
        <v>2025</v>
      </c>
      <c r="C2689" s="9" t="s">
        <v>2612</v>
      </c>
      <c r="D2689" s="9" t="s">
        <v>2278</v>
      </c>
      <c r="F2689" s="6">
        <v>20</v>
      </c>
      <c r="G2689" s="6">
        <f t="shared" si="142"/>
        <v>20</v>
      </c>
      <c r="H2689" s="62">
        <f>10+10</f>
        <v>20</v>
      </c>
      <c r="I2689" s="26">
        <f t="shared" si="138"/>
        <v>0</v>
      </c>
      <c r="J2689" s="7" t="str">
        <f t="shared" si="141"/>
        <v>PAGADO</v>
      </c>
      <c r="K2689" s="60" t="s">
        <v>693</v>
      </c>
    </row>
    <row r="2690" spans="1:11" x14ac:dyDescent="0.25">
      <c r="A2690">
        <v>2025</v>
      </c>
      <c r="C2690" s="9" t="s">
        <v>1943</v>
      </c>
      <c r="D2690" s="9" t="s">
        <v>2066</v>
      </c>
      <c r="F2690" s="6">
        <v>70</v>
      </c>
      <c r="G2690" s="6">
        <f t="shared" si="142"/>
        <v>70</v>
      </c>
      <c r="H2690" s="6">
        <v>70</v>
      </c>
      <c r="I2690" s="26">
        <f t="shared" si="138"/>
        <v>0</v>
      </c>
      <c r="J2690" s="7" t="str">
        <f t="shared" si="141"/>
        <v>PAGADO</v>
      </c>
      <c r="K2690" s="33" t="s">
        <v>2479</v>
      </c>
    </row>
    <row r="2691" spans="1:11" x14ac:dyDescent="0.25">
      <c r="A2691">
        <v>2025</v>
      </c>
      <c r="C2691" s="9" t="s">
        <v>2421</v>
      </c>
      <c r="D2691" s="9" t="s">
        <v>2066</v>
      </c>
      <c r="F2691" s="6">
        <v>80</v>
      </c>
      <c r="G2691" s="6">
        <f t="shared" si="142"/>
        <v>80</v>
      </c>
      <c r="H2691" s="6">
        <f>40+40</f>
        <v>80</v>
      </c>
      <c r="I2691" s="26">
        <f t="shared" si="138"/>
        <v>0</v>
      </c>
      <c r="J2691" s="7" t="str">
        <f t="shared" si="141"/>
        <v>PAGADO</v>
      </c>
      <c r="K2691" s="33" t="s">
        <v>2258</v>
      </c>
    </row>
    <row r="2692" spans="1:11" x14ac:dyDescent="0.25">
      <c r="A2692">
        <v>2025</v>
      </c>
      <c r="C2692" s="9" t="s">
        <v>2603</v>
      </c>
      <c r="D2692" s="9" t="s">
        <v>2407</v>
      </c>
      <c r="F2692" s="6">
        <v>80</v>
      </c>
      <c r="G2692" s="6">
        <f t="shared" si="142"/>
        <v>80</v>
      </c>
      <c r="H2692" s="6">
        <f>40+40</f>
        <v>80</v>
      </c>
      <c r="I2692" s="26">
        <f t="shared" si="138"/>
        <v>0</v>
      </c>
      <c r="J2692" s="7" t="str">
        <f t="shared" si="141"/>
        <v>PAGADO</v>
      </c>
      <c r="K2692" s="59" t="s">
        <v>2613</v>
      </c>
    </row>
    <row r="2693" spans="1:11" x14ac:dyDescent="0.25">
      <c r="A2693">
        <v>2025</v>
      </c>
      <c r="C2693" s="9" t="s">
        <v>1943</v>
      </c>
      <c r="D2693" s="9" t="s">
        <v>2275</v>
      </c>
      <c r="F2693" s="6">
        <v>75</v>
      </c>
      <c r="G2693" s="6">
        <f t="shared" si="142"/>
        <v>75</v>
      </c>
      <c r="H2693" s="26">
        <f>30+45</f>
        <v>75</v>
      </c>
      <c r="I2693" s="26">
        <f t="shared" si="138"/>
        <v>0</v>
      </c>
      <c r="J2693" s="7" t="str">
        <f t="shared" si="141"/>
        <v>PAGADO</v>
      </c>
      <c r="K2693" s="33" t="s">
        <v>2479</v>
      </c>
    </row>
    <row r="2694" spans="1:11" x14ac:dyDescent="0.25">
      <c r="A2694">
        <v>2025</v>
      </c>
      <c r="C2694" s="9" t="s">
        <v>2614</v>
      </c>
      <c r="D2694" s="9" t="s">
        <v>1504</v>
      </c>
      <c r="F2694" s="6">
        <v>80</v>
      </c>
      <c r="G2694" s="6">
        <f t="shared" si="142"/>
        <v>80</v>
      </c>
      <c r="H2694" s="6">
        <v>80</v>
      </c>
      <c r="I2694" s="26">
        <f t="shared" si="138"/>
        <v>0</v>
      </c>
      <c r="J2694" s="7" t="str">
        <f t="shared" si="141"/>
        <v>PAGADO</v>
      </c>
      <c r="K2694" s="28" t="s">
        <v>2479</v>
      </c>
    </row>
    <row r="2695" spans="1:11" x14ac:dyDescent="0.25">
      <c r="A2695">
        <v>2025</v>
      </c>
      <c r="C2695" s="9" t="s">
        <v>2615</v>
      </c>
      <c r="D2695" s="9" t="s">
        <v>1504</v>
      </c>
      <c r="F2695" s="6">
        <v>80</v>
      </c>
      <c r="G2695" s="6">
        <f t="shared" si="142"/>
        <v>80</v>
      </c>
      <c r="H2695" s="6">
        <v>80</v>
      </c>
      <c r="I2695" s="26">
        <f t="shared" si="138"/>
        <v>0</v>
      </c>
      <c r="J2695" s="7" t="str">
        <f t="shared" si="141"/>
        <v>PAGADO</v>
      </c>
      <c r="K2695" s="28" t="s">
        <v>2479</v>
      </c>
    </row>
    <row r="2696" spans="1:11" x14ac:dyDescent="0.25">
      <c r="A2696">
        <v>2025</v>
      </c>
      <c r="C2696" s="9" t="s">
        <v>2616</v>
      </c>
      <c r="D2696" s="9" t="s">
        <v>2275</v>
      </c>
      <c r="F2696" s="6">
        <v>80</v>
      </c>
      <c r="G2696" s="6">
        <f t="shared" si="142"/>
        <v>80</v>
      </c>
      <c r="H2696" s="26">
        <f>40+40</f>
        <v>80</v>
      </c>
      <c r="I2696" s="26">
        <f t="shared" si="138"/>
        <v>0</v>
      </c>
      <c r="J2696" s="7" t="str">
        <f t="shared" si="141"/>
        <v>PAGADO</v>
      </c>
      <c r="K2696" s="33" t="s">
        <v>2479</v>
      </c>
    </row>
    <row r="2697" spans="1:11" x14ac:dyDescent="0.25">
      <c r="A2697">
        <v>2025</v>
      </c>
      <c r="C2697" s="9" t="s">
        <v>2614</v>
      </c>
      <c r="D2697" s="9" t="s">
        <v>2275</v>
      </c>
      <c r="F2697" s="6">
        <v>80</v>
      </c>
      <c r="G2697" s="6">
        <f t="shared" si="142"/>
        <v>80</v>
      </c>
      <c r="H2697" s="26">
        <f>40+40</f>
        <v>80</v>
      </c>
      <c r="I2697" s="26">
        <f t="shared" si="138"/>
        <v>0</v>
      </c>
      <c r="J2697" s="7" t="str">
        <f t="shared" si="141"/>
        <v>PAGADO</v>
      </c>
      <c r="K2697" s="33" t="s">
        <v>2479</v>
      </c>
    </row>
    <row r="2698" spans="1:11" x14ac:dyDescent="0.25">
      <c r="A2698">
        <v>2025</v>
      </c>
      <c r="C2698" s="9" t="s">
        <v>2615</v>
      </c>
      <c r="D2698" s="9" t="s">
        <v>597</v>
      </c>
      <c r="F2698" s="6">
        <v>80</v>
      </c>
      <c r="G2698" s="6">
        <f t="shared" si="142"/>
        <v>80</v>
      </c>
      <c r="H2698" s="6">
        <v>80</v>
      </c>
      <c r="I2698" s="26">
        <f t="shared" si="138"/>
        <v>0</v>
      </c>
      <c r="J2698" s="7" t="str">
        <f t="shared" si="141"/>
        <v>PAGADO</v>
      </c>
      <c r="K2698" s="33" t="s">
        <v>2479</v>
      </c>
    </row>
    <row r="2699" spans="1:11" x14ac:dyDescent="0.25">
      <c r="A2699">
        <v>2025</v>
      </c>
      <c r="C2699" s="9" t="s">
        <v>2616</v>
      </c>
      <c r="D2699" s="9" t="s">
        <v>2066</v>
      </c>
      <c r="F2699" s="6">
        <v>80</v>
      </c>
      <c r="G2699" s="6">
        <f t="shared" si="142"/>
        <v>80</v>
      </c>
      <c r="H2699" s="6">
        <v>80</v>
      </c>
      <c r="I2699" s="26">
        <f t="shared" si="138"/>
        <v>0</v>
      </c>
      <c r="J2699" s="7" t="str">
        <f t="shared" si="141"/>
        <v>PAGADO</v>
      </c>
      <c r="K2699" s="33" t="s">
        <v>2479</v>
      </c>
    </row>
    <row r="2700" spans="1:11" x14ac:dyDescent="0.25">
      <c r="A2700">
        <v>2025</v>
      </c>
      <c r="C2700" s="9" t="s">
        <v>2617</v>
      </c>
      <c r="D2700" s="9" t="s">
        <v>2278</v>
      </c>
      <c r="F2700" s="6">
        <v>70</v>
      </c>
      <c r="G2700" s="6">
        <f t="shared" si="142"/>
        <v>70</v>
      </c>
      <c r="H2700" s="27">
        <f>35+35</f>
        <v>70</v>
      </c>
      <c r="I2700" s="26">
        <f t="shared" si="138"/>
        <v>0</v>
      </c>
      <c r="J2700" s="7" t="str">
        <f t="shared" si="141"/>
        <v>PAGADO</v>
      </c>
      <c r="K2700" s="33" t="s">
        <v>2258</v>
      </c>
    </row>
    <row r="2701" spans="1:11" x14ac:dyDescent="0.25">
      <c r="A2701">
        <v>2025</v>
      </c>
      <c r="C2701" s="9" t="s">
        <v>2618</v>
      </c>
      <c r="D2701" s="9" t="s">
        <v>2619</v>
      </c>
      <c r="F2701" s="6">
        <v>14</v>
      </c>
      <c r="G2701" s="6">
        <f t="shared" si="142"/>
        <v>14</v>
      </c>
      <c r="H2701" s="6">
        <v>14</v>
      </c>
      <c r="I2701" s="26">
        <f t="shared" si="138"/>
        <v>0</v>
      </c>
      <c r="J2701" s="7" t="str">
        <f t="shared" si="141"/>
        <v>PAGADO</v>
      </c>
    </row>
    <row r="2702" spans="1:11" x14ac:dyDescent="0.25">
      <c r="A2702">
        <v>2025</v>
      </c>
      <c r="C2702" s="9" t="s">
        <v>2620</v>
      </c>
      <c r="D2702" s="9" t="s">
        <v>2530</v>
      </c>
      <c r="F2702" s="6">
        <v>75</v>
      </c>
      <c r="G2702" s="6">
        <f t="shared" si="142"/>
        <v>75</v>
      </c>
      <c r="H2702" s="26">
        <v>75</v>
      </c>
      <c r="I2702" s="62">
        <f t="shared" si="138"/>
        <v>0</v>
      </c>
      <c r="J2702" s="7" t="str">
        <f t="shared" si="141"/>
        <v>PAGADO</v>
      </c>
      <c r="K2702" s="33" t="s">
        <v>693</v>
      </c>
    </row>
    <row r="2703" spans="1:11" x14ac:dyDescent="0.25">
      <c r="A2703">
        <v>2025</v>
      </c>
      <c r="C2703" s="9" t="s">
        <v>2621</v>
      </c>
      <c r="D2703" s="9" t="s">
        <v>2530</v>
      </c>
      <c r="F2703" s="6">
        <v>80</v>
      </c>
      <c r="G2703" s="6">
        <f t="shared" si="142"/>
        <v>80</v>
      </c>
      <c r="H2703" s="26">
        <v>80</v>
      </c>
      <c r="I2703" s="62">
        <f t="shared" si="138"/>
        <v>0</v>
      </c>
      <c r="J2703" s="7" t="str">
        <f t="shared" si="141"/>
        <v>PAGADO</v>
      </c>
      <c r="K2703" s="33" t="s">
        <v>693</v>
      </c>
    </row>
    <row r="2704" spans="1:11" x14ac:dyDescent="0.25">
      <c r="A2704">
        <v>2025</v>
      </c>
      <c r="C2704" s="9" t="s">
        <v>2622</v>
      </c>
      <c r="D2704" s="9" t="s">
        <v>2530</v>
      </c>
      <c r="F2704" s="6">
        <v>70</v>
      </c>
      <c r="G2704" s="6">
        <f t="shared" si="142"/>
        <v>70</v>
      </c>
      <c r="H2704" s="26">
        <v>70</v>
      </c>
      <c r="I2704" s="62">
        <f t="shared" si="138"/>
        <v>0</v>
      </c>
      <c r="J2704" s="7" t="str">
        <f t="shared" si="141"/>
        <v>PAGADO</v>
      </c>
      <c r="K2704" s="33" t="s">
        <v>693</v>
      </c>
    </row>
    <row r="2705" spans="1:11" x14ac:dyDescent="0.25">
      <c r="A2705">
        <v>2025</v>
      </c>
      <c r="C2705" s="9" t="s">
        <v>2623</v>
      </c>
      <c r="D2705" s="9" t="s">
        <v>2530</v>
      </c>
      <c r="F2705" s="6">
        <v>190</v>
      </c>
      <c r="G2705" s="6">
        <f t="shared" si="142"/>
        <v>190</v>
      </c>
      <c r="H2705" s="26">
        <v>190</v>
      </c>
      <c r="I2705" s="62">
        <f t="shared" si="138"/>
        <v>0</v>
      </c>
      <c r="J2705" s="7" t="str">
        <f t="shared" si="141"/>
        <v>PAGADO</v>
      </c>
      <c r="K2705" s="33" t="s">
        <v>693</v>
      </c>
    </row>
    <row r="2706" spans="1:11" x14ac:dyDescent="0.25">
      <c r="A2706">
        <v>2025</v>
      </c>
      <c r="C2706" s="9" t="s">
        <v>2624</v>
      </c>
      <c r="D2706" s="9" t="s">
        <v>2530</v>
      </c>
      <c r="F2706" s="6">
        <v>360</v>
      </c>
      <c r="G2706" s="6">
        <f t="shared" si="142"/>
        <v>360</v>
      </c>
      <c r="H2706" s="26">
        <f>180+180</f>
        <v>360</v>
      </c>
      <c r="I2706" s="62">
        <f t="shared" ref="I2706:I2769" si="143">F2706-H2706</f>
        <v>0</v>
      </c>
      <c r="J2706" s="7" t="str">
        <f t="shared" si="141"/>
        <v>PAGADO</v>
      </c>
      <c r="K2706" s="33" t="s">
        <v>693</v>
      </c>
    </row>
    <row r="2707" spans="1:11" x14ac:dyDescent="0.25">
      <c r="A2707">
        <v>2025</v>
      </c>
      <c r="C2707" s="9" t="s">
        <v>2266</v>
      </c>
      <c r="D2707" s="9" t="s">
        <v>2180</v>
      </c>
      <c r="F2707" s="6">
        <v>80</v>
      </c>
      <c r="G2707" s="6">
        <f t="shared" si="142"/>
        <v>80</v>
      </c>
      <c r="H2707" s="6">
        <f>40+40</f>
        <v>80</v>
      </c>
      <c r="I2707" s="26">
        <f t="shared" si="143"/>
        <v>0</v>
      </c>
      <c r="J2707" s="7" t="str">
        <f t="shared" si="141"/>
        <v>PAGADO</v>
      </c>
      <c r="K2707" s="59" t="s">
        <v>1823</v>
      </c>
    </row>
    <row r="2708" spans="1:11" x14ac:dyDescent="0.25">
      <c r="A2708">
        <v>2025</v>
      </c>
      <c r="C2708" s="9" t="s">
        <v>2625</v>
      </c>
      <c r="D2708" s="9" t="s">
        <v>2180</v>
      </c>
      <c r="F2708" s="6">
        <v>220</v>
      </c>
      <c r="G2708" s="6">
        <f t="shared" si="142"/>
        <v>220</v>
      </c>
      <c r="H2708" s="6">
        <v>220</v>
      </c>
      <c r="I2708" s="26">
        <f t="shared" si="143"/>
        <v>0</v>
      </c>
      <c r="J2708" s="7" t="str">
        <f t="shared" si="141"/>
        <v>PAGADO</v>
      </c>
      <c r="K2708" s="33" t="s">
        <v>2479</v>
      </c>
    </row>
    <row r="2709" spans="1:11" x14ac:dyDescent="0.25">
      <c r="A2709">
        <v>2025</v>
      </c>
      <c r="C2709" s="9" t="s">
        <v>2626</v>
      </c>
      <c r="D2709" s="9" t="s">
        <v>2360</v>
      </c>
      <c r="F2709" s="6">
        <v>40</v>
      </c>
      <c r="G2709" s="6">
        <f t="shared" si="142"/>
        <v>40</v>
      </c>
      <c r="H2709" s="6">
        <v>40</v>
      </c>
      <c r="I2709" s="26">
        <f t="shared" si="143"/>
        <v>0</v>
      </c>
      <c r="J2709" s="7" t="str">
        <f t="shared" si="141"/>
        <v>PAGADO</v>
      </c>
    </row>
    <row r="2710" spans="1:11" x14ac:dyDescent="0.25">
      <c r="A2710">
        <v>2025</v>
      </c>
      <c r="C2710" s="9" t="s">
        <v>2627</v>
      </c>
      <c r="D2710" s="9" t="s">
        <v>18</v>
      </c>
      <c r="F2710" s="6">
        <v>300</v>
      </c>
      <c r="G2710" s="6">
        <f t="shared" si="142"/>
        <v>300</v>
      </c>
      <c r="H2710" s="6">
        <f>100+50+50+50+50</f>
        <v>300</v>
      </c>
      <c r="I2710" s="26">
        <f t="shared" si="143"/>
        <v>0</v>
      </c>
      <c r="J2710" s="7" t="str">
        <f t="shared" si="141"/>
        <v>PAGADO</v>
      </c>
    </row>
    <row r="2711" spans="1:11" x14ac:dyDescent="0.25">
      <c r="A2711">
        <v>2025</v>
      </c>
      <c r="C2711" s="9" t="s">
        <v>2628</v>
      </c>
      <c r="D2711" s="9" t="s">
        <v>2278</v>
      </c>
      <c r="F2711" s="6">
        <v>230</v>
      </c>
      <c r="G2711" s="6">
        <f t="shared" si="142"/>
        <v>230</v>
      </c>
      <c r="H2711" s="27">
        <f>115+115</f>
        <v>230</v>
      </c>
      <c r="I2711" s="26">
        <f t="shared" si="143"/>
        <v>0</v>
      </c>
      <c r="J2711" s="7" t="str">
        <f t="shared" si="141"/>
        <v>PAGADO</v>
      </c>
      <c r="K2711" s="33" t="s">
        <v>2258</v>
      </c>
    </row>
    <row r="2712" spans="1:11" x14ac:dyDescent="0.25">
      <c r="A2712">
        <v>2025</v>
      </c>
      <c r="C2712" s="9" t="s">
        <v>2629</v>
      </c>
      <c r="D2712" s="9" t="s">
        <v>1309</v>
      </c>
      <c r="F2712" s="6">
        <v>140</v>
      </c>
      <c r="G2712" s="6">
        <f t="shared" si="142"/>
        <v>140</v>
      </c>
      <c r="H2712" s="6">
        <f>75+20+45</f>
        <v>140</v>
      </c>
      <c r="I2712" s="26">
        <f t="shared" si="143"/>
        <v>0</v>
      </c>
      <c r="J2712" s="7" t="str">
        <f t="shared" si="141"/>
        <v>PAGADO</v>
      </c>
      <c r="K2712" s="33" t="s">
        <v>2258</v>
      </c>
    </row>
    <row r="2713" spans="1:11" x14ac:dyDescent="0.25">
      <c r="A2713">
        <v>2025</v>
      </c>
      <c r="C2713" s="9" t="s">
        <v>2630</v>
      </c>
      <c r="D2713" s="9" t="s">
        <v>1736</v>
      </c>
      <c r="F2713" s="26">
        <v>15</v>
      </c>
      <c r="G2713" s="26">
        <f t="shared" si="142"/>
        <v>15</v>
      </c>
      <c r="H2713" s="26">
        <v>15</v>
      </c>
      <c r="I2713" s="26">
        <f t="shared" si="143"/>
        <v>0</v>
      </c>
      <c r="J2713" s="7" t="str">
        <f t="shared" si="141"/>
        <v>PAGADO</v>
      </c>
    </row>
    <row r="2714" spans="1:11" x14ac:dyDescent="0.25">
      <c r="A2714">
        <v>2025</v>
      </c>
      <c r="C2714" s="9" t="s">
        <v>2631</v>
      </c>
      <c r="D2714" s="9" t="s">
        <v>1736</v>
      </c>
      <c r="F2714" s="26">
        <v>14</v>
      </c>
      <c r="G2714" s="26">
        <f t="shared" si="142"/>
        <v>14</v>
      </c>
      <c r="H2714" s="26">
        <v>14</v>
      </c>
      <c r="I2714" s="26">
        <f t="shared" si="143"/>
        <v>0</v>
      </c>
      <c r="J2714" s="7" t="str">
        <f t="shared" si="141"/>
        <v>PAGADO</v>
      </c>
    </row>
    <row r="2715" spans="1:11" x14ac:dyDescent="0.25">
      <c r="A2715">
        <v>2025</v>
      </c>
      <c r="C2715" s="9" t="s">
        <v>2632</v>
      </c>
      <c r="D2715" s="9" t="s">
        <v>488</v>
      </c>
      <c r="F2715" s="6">
        <v>90</v>
      </c>
      <c r="G2715" s="6">
        <f t="shared" si="142"/>
        <v>90</v>
      </c>
      <c r="H2715" s="6">
        <v>90</v>
      </c>
      <c r="I2715" s="26">
        <f t="shared" si="143"/>
        <v>0</v>
      </c>
      <c r="J2715" s="7" t="str">
        <f t="shared" si="141"/>
        <v>PAGADO</v>
      </c>
    </row>
    <row r="2716" spans="1:11" x14ac:dyDescent="0.25">
      <c r="A2716">
        <v>2025</v>
      </c>
      <c r="C2716" s="9" t="s">
        <v>2496</v>
      </c>
      <c r="D2716" s="9" t="s">
        <v>2633</v>
      </c>
      <c r="F2716" s="6">
        <v>65</v>
      </c>
      <c r="G2716" s="6">
        <f t="shared" si="142"/>
        <v>65</v>
      </c>
      <c r="H2716" s="6">
        <v>65</v>
      </c>
      <c r="I2716" s="26">
        <f t="shared" si="143"/>
        <v>0</v>
      </c>
      <c r="J2716" s="7" t="str">
        <f t="shared" si="141"/>
        <v>PAGADO</v>
      </c>
    </row>
    <row r="2717" spans="1:11" x14ac:dyDescent="0.25">
      <c r="A2717">
        <v>2025</v>
      </c>
      <c r="C2717" s="9" t="s">
        <v>2634</v>
      </c>
      <c r="D2717" s="9" t="s">
        <v>1504</v>
      </c>
      <c r="F2717" s="6">
        <v>250</v>
      </c>
      <c r="G2717" s="6">
        <f t="shared" si="142"/>
        <v>250</v>
      </c>
      <c r="H2717" s="6">
        <v>250</v>
      </c>
      <c r="I2717" s="26">
        <f t="shared" si="143"/>
        <v>0</v>
      </c>
      <c r="J2717" s="7" t="str">
        <f t="shared" si="141"/>
        <v>PAGADO</v>
      </c>
      <c r="K2717" t="s">
        <v>693</v>
      </c>
    </row>
    <row r="2718" spans="1:11" x14ac:dyDescent="0.25">
      <c r="A2718">
        <v>2025</v>
      </c>
      <c r="C2718" s="9" t="s">
        <v>2635</v>
      </c>
      <c r="D2718" s="9" t="s">
        <v>2278</v>
      </c>
      <c r="F2718" s="6">
        <v>75</v>
      </c>
      <c r="G2718" s="6">
        <f t="shared" si="142"/>
        <v>75</v>
      </c>
      <c r="H2718" s="27">
        <v>75</v>
      </c>
      <c r="I2718" s="26">
        <f t="shared" si="143"/>
        <v>0</v>
      </c>
      <c r="J2718" s="7" t="str">
        <f t="shared" si="141"/>
        <v>PAGADO</v>
      </c>
      <c r="K2718" s="33" t="s">
        <v>2479</v>
      </c>
    </row>
    <row r="2719" spans="1:11" x14ac:dyDescent="0.25">
      <c r="A2719">
        <v>2025</v>
      </c>
      <c r="C2719" s="14" t="s">
        <v>2636</v>
      </c>
      <c r="D2719" s="14" t="s">
        <v>1736</v>
      </c>
      <c r="E2719" s="15"/>
      <c r="F2719" s="16">
        <v>80</v>
      </c>
      <c r="G2719" s="16">
        <f t="shared" si="142"/>
        <v>80</v>
      </c>
      <c r="H2719" s="16">
        <f>40+40</f>
        <v>80</v>
      </c>
      <c r="I2719" s="16">
        <f t="shared" si="143"/>
        <v>0</v>
      </c>
      <c r="J2719" s="17" t="str">
        <f t="shared" si="141"/>
        <v>PAGADO</v>
      </c>
      <c r="K2719" s="59" t="s">
        <v>2479</v>
      </c>
    </row>
    <row r="2720" spans="1:11" x14ac:dyDescent="0.25">
      <c r="A2720">
        <v>2025</v>
      </c>
      <c r="C2720" s="9" t="s">
        <v>2637</v>
      </c>
      <c r="D2720" s="9" t="s">
        <v>2363</v>
      </c>
      <c r="F2720" s="6">
        <v>90</v>
      </c>
      <c r="G2720" s="6">
        <f t="shared" si="142"/>
        <v>90</v>
      </c>
      <c r="H2720" s="6">
        <f>45+45</f>
        <v>90</v>
      </c>
      <c r="I2720" s="26">
        <f t="shared" si="143"/>
        <v>0</v>
      </c>
      <c r="J2720" s="7" t="str">
        <f t="shared" si="141"/>
        <v>PAGADO</v>
      </c>
      <c r="K2720" s="33" t="s">
        <v>693</v>
      </c>
    </row>
    <row r="2721" spans="1:12" x14ac:dyDescent="0.25">
      <c r="A2721">
        <v>2025</v>
      </c>
      <c r="C2721" s="9" t="s">
        <v>2637</v>
      </c>
      <c r="D2721" s="9" t="s">
        <v>2031</v>
      </c>
      <c r="F2721" s="6">
        <v>90</v>
      </c>
      <c r="G2721" s="6">
        <f t="shared" si="142"/>
        <v>90</v>
      </c>
      <c r="H2721" s="6">
        <f>45+45</f>
        <v>90</v>
      </c>
      <c r="I2721" s="26">
        <f t="shared" si="143"/>
        <v>0</v>
      </c>
      <c r="J2721" s="7" t="str">
        <f t="shared" si="141"/>
        <v>PAGADO</v>
      </c>
      <c r="K2721" s="59" t="s">
        <v>1823</v>
      </c>
    </row>
    <row r="2722" spans="1:12" x14ac:dyDescent="0.25">
      <c r="A2722">
        <v>2025</v>
      </c>
      <c r="C2722" s="9" t="s">
        <v>2637</v>
      </c>
      <c r="D2722" s="9" t="s">
        <v>2180</v>
      </c>
      <c r="F2722" s="6">
        <v>90</v>
      </c>
      <c r="G2722" s="6">
        <f t="shared" si="142"/>
        <v>90</v>
      </c>
      <c r="H2722" s="6">
        <f>45+45</f>
        <v>90</v>
      </c>
      <c r="I2722" s="26">
        <f t="shared" si="143"/>
        <v>0</v>
      </c>
      <c r="J2722" s="7" t="str">
        <f t="shared" si="141"/>
        <v>PAGADO</v>
      </c>
      <c r="K2722" s="59" t="s">
        <v>1823</v>
      </c>
    </row>
    <row r="2723" spans="1:12" x14ac:dyDescent="0.25">
      <c r="A2723">
        <v>2025</v>
      </c>
      <c r="C2723" s="9" t="s">
        <v>2638</v>
      </c>
      <c r="D2723" s="9" t="s">
        <v>597</v>
      </c>
      <c r="F2723" s="6">
        <v>75</v>
      </c>
      <c r="G2723" s="6">
        <f t="shared" si="142"/>
        <v>75</v>
      </c>
      <c r="H2723" s="6">
        <v>75</v>
      </c>
      <c r="I2723" s="26">
        <f t="shared" si="143"/>
        <v>0</v>
      </c>
      <c r="J2723" s="7" t="str">
        <f t="shared" si="141"/>
        <v>PAGADO</v>
      </c>
      <c r="K2723" s="33" t="s">
        <v>2639</v>
      </c>
      <c r="L2723" s="71"/>
    </row>
    <row r="2724" spans="1:12" x14ac:dyDescent="0.25">
      <c r="A2724">
        <v>2025</v>
      </c>
      <c r="C2724" s="9" t="s">
        <v>2636</v>
      </c>
      <c r="D2724" s="9" t="s">
        <v>597</v>
      </c>
      <c r="F2724" s="6">
        <v>80</v>
      </c>
      <c r="G2724" s="6">
        <f t="shared" si="142"/>
        <v>80</v>
      </c>
      <c r="H2724" s="6">
        <v>80</v>
      </c>
      <c r="I2724" s="26">
        <f t="shared" si="143"/>
        <v>0</v>
      </c>
      <c r="J2724" s="7" t="str">
        <f t="shared" si="141"/>
        <v>PAGADO</v>
      </c>
      <c r="K2724" s="33" t="s">
        <v>2640</v>
      </c>
    </row>
    <row r="2725" spans="1:12" x14ac:dyDescent="0.25">
      <c r="A2725">
        <v>2025</v>
      </c>
      <c r="C2725" s="9" t="s">
        <v>2637</v>
      </c>
      <c r="D2725" s="9" t="s">
        <v>1501</v>
      </c>
      <c r="F2725" s="6">
        <v>90</v>
      </c>
      <c r="G2725" s="6">
        <f t="shared" si="142"/>
        <v>90</v>
      </c>
      <c r="H2725" s="6">
        <v>90</v>
      </c>
      <c r="I2725" s="26">
        <f t="shared" si="143"/>
        <v>0</v>
      </c>
      <c r="J2725" s="7" t="str">
        <f t="shared" si="141"/>
        <v>PAGADO</v>
      </c>
      <c r="K2725" s="59" t="s">
        <v>1823</v>
      </c>
    </row>
    <row r="2726" spans="1:12" x14ac:dyDescent="0.25">
      <c r="A2726">
        <v>2025</v>
      </c>
      <c r="C2726" s="9" t="s">
        <v>2641</v>
      </c>
      <c r="D2726" s="9" t="s">
        <v>1501</v>
      </c>
      <c r="F2726" s="6">
        <v>80</v>
      </c>
      <c r="G2726" s="6">
        <f t="shared" si="142"/>
        <v>80</v>
      </c>
      <c r="H2726" s="6">
        <v>80</v>
      </c>
      <c r="I2726" s="26">
        <f t="shared" si="143"/>
        <v>0</v>
      </c>
      <c r="J2726" s="7" t="str">
        <f t="shared" si="141"/>
        <v>PAGADO</v>
      </c>
      <c r="K2726" s="59" t="s">
        <v>1823</v>
      </c>
    </row>
    <row r="2727" spans="1:12" x14ac:dyDescent="0.25">
      <c r="A2727">
        <v>2025</v>
      </c>
      <c r="C2727" s="9" t="s">
        <v>2642</v>
      </c>
      <c r="D2727" s="9" t="s">
        <v>1501</v>
      </c>
      <c r="F2727" s="6">
        <v>60</v>
      </c>
      <c r="G2727" s="6">
        <f t="shared" si="142"/>
        <v>60</v>
      </c>
      <c r="H2727" s="6">
        <v>60</v>
      </c>
      <c r="I2727" s="26">
        <f t="shared" si="143"/>
        <v>0</v>
      </c>
      <c r="J2727" s="7" t="str">
        <f t="shared" si="141"/>
        <v>PAGADO</v>
      </c>
      <c r="K2727" s="59" t="s">
        <v>1823</v>
      </c>
    </row>
    <row r="2728" spans="1:12" x14ac:dyDescent="0.25">
      <c r="A2728">
        <v>2025</v>
      </c>
      <c r="C2728" s="9" t="s">
        <v>2643</v>
      </c>
      <c r="D2728" s="9" t="s">
        <v>488</v>
      </c>
      <c r="F2728" s="6">
        <v>530</v>
      </c>
      <c r="G2728" s="6">
        <f t="shared" si="142"/>
        <v>530</v>
      </c>
      <c r="H2728" s="6">
        <v>530</v>
      </c>
      <c r="I2728" s="26">
        <f t="shared" si="143"/>
        <v>0</v>
      </c>
      <c r="J2728" s="7" t="str">
        <f t="shared" si="141"/>
        <v>PAGADO</v>
      </c>
      <c r="K2728" s="9"/>
    </row>
    <row r="2729" spans="1:12" x14ac:dyDescent="0.25">
      <c r="A2729">
        <v>2025</v>
      </c>
      <c r="C2729" s="9" t="s">
        <v>2644</v>
      </c>
      <c r="D2729" s="9" t="s">
        <v>2018</v>
      </c>
      <c r="F2729" s="6">
        <v>75</v>
      </c>
      <c r="G2729" s="6">
        <f t="shared" si="142"/>
        <v>75</v>
      </c>
      <c r="H2729" s="6">
        <v>75</v>
      </c>
      <c r="I2729" s="26">
        <f t="shared" si="143"/>
        <v>0</v>
      </c>
      <c r="J2729" s="7" t="str">
        <f t="shared" si="141"/>
        <v>PAGADO</v>
      </c>
    </row>
    <row r="2730" spans="1:12" x14ac:dyDescent="0.25">
      <c r="A2730">
        <v>2025</v>
      </c>
      <c r="C2730" s="9" t="s">
        <v>2645</v>
      </c>
      <c r="D2730" s="9" t="s">
        <v>2544</v>
      </c>
      <c r="F2730" s="6">
        <v>65</v>
      </c>
      <c r="G2730" s="6">
        <f t="shared" si="142"/>
        <v>65</v>
      </c>
      <c r="H2730" s="6">
        <v>65</v>
      </c>
      <c r="I2730" s="26">
        <f t="shared" si="143"/>
        <v>0</v>
      </c>
      <c r="J2730" s="7" t="str">
        <f t="shared" si="141"/>
        <v>PAGADO</v>
      </c>
    </row>
    <row r="2731" spans="1:12" x14ac:dyDescent="0.25">
      <c r="A2731">
        <v>2025</v>
      </c>
      <c r="C2731" s="9" t="s">
        <v>2646</v>
      </c>
      <c r="D2731" s="9" t="s">
        <v>2278</v>
      </c>
      <c r="F2731" s="6">
        <v>70</v>
      </c>
      <c r="G2731" s="6">
        <f t="shared" si="142"/>
        <v>70</v>
      </c>
      <c r="H2731" s="26">
        <v>70</v>
      </c>
      <c r="I2731" s="26">
        <f t="shared" si="143"/>
        <v>0</v>
      </c>
      <c r="J2731" s="7" t="str">
        <f t="shared" si="141"/>
        <v>PAGADO</v>
      </c>
      <c r="K2731" s="60" t="s">
        <v>693</v>
      </c>
    </row>
    <row r="2732" spans="1:12" x14ac:dyDescent="0.25">
      <c r="A2732">
        <v>2025</v>
      </c>
      <c r="C2732" s="9" t="s">
        <v>2647</v>
      </c>
      <c r="D2732" s="9" t="s">
        <v>2278</v>
      </c>
      <c r="F2732" s="6">
        <v>60</v>
      </c>
      <c r="G2732" s="6">
        <f t="shared" si="142"/>
        <v>60</v>
      </c>
      <c r="H2732" s="26">
        <v>60</v>
      </c>
      <c r="I2732" s="26">
        <f t="shared" si="143"/>
        <v>0</v>
      </c>
      <c r="J2732" s="7" t="str">
        <f t="shared" si="141"/>
        <v>PAGADO</v>
      </c>
      <c r="K2732" s="60" t="s">
        <v>693</v>
      </c>
    </row>
    <row r="2733" spans="1:12" x14ac:dyDescent="0.25">
      <c r="A2733">
        <v>2025</v>
      </c>
      <c r="C2733" s="9" t="s">
        <v>2648</v>
      </c>
      <c r="D2733" s="9" t="s">
        <v>1849</v>
      </c>
      <c r="F2733" s="6">
        <v>60</v>
      </c>
      <c r="G2733" s="6">
        <f t="shared" si="142"/>
        <v>60</v>
      </c>
      <c r="H2733" s="6">
        <v>60</v>
      </c>
      <c r="I2733" s="26">
        <f t="shared" si="143"/>
        <v>0</v>
      </c>
      <c r="J2733" s="7" t="str">
        <f t="shared" si="141"/>
        <v>PAGADO</v>
      </c>
    </row>
    <row r="2734" spans="1:12" x14ac:dyDescent="0.25">
      <c r="A2734">
        <v>2025</v>
      </c>
      <c r="C2734" s="9" t="s">
        <v>2644</v>
      </c>
      <c r="D2734" s="9" t="s">
        <v>2530</v>
      </c>
      <c r="F2734" s="6">
        <v>70</v>
      </c>
      <c r="G2734" s="6">
        <f t="shared" si="142"/>
        <v>70</v>
      </c>
      <c r="H2734" s="6">
        <v>70</v>
      </c>
      <c r="I2734" s="26">
        <f t="shared" si="143"/>
        <v>0</v>
      </c>
      <c r="J2734" s="7" t="str">
        <f t="shared" si="141"/>
        <v>PAGADO</v>
      </c>
      <c r="K2734" s="33" t="s">
        <v>693</v>
      </c>
    </row>
    <row r="2735" spans="1:12" x14ac:dyDescent="0.25">
      <c r="A2735">
        <v>2025</v>
      </c>
      <c r="C2735" s="9" t="s">
        <v>2649</v>
      </c>
      <c r="D2735" s="9" t="s">
        <v>2524</v>
      </c>
      <c r="F2735" s="6">
        <v>40</v>
      </c>
      <c r="G2735" s="6">
        <f t="shared" si="142"/>
        <v>40</v>
      </c>
      <c r="H2735" s="6">
        <v>40</v>
      </c>
      <c r="I2735" s="26">
        <f t="shared" si="143"/>
        <v>0</v>
      </c>
      <c r="J2735" s="7" t="str">
        <f t="shared" si="141"/>
        <v>PAGADO</v>
      </c>
    </row>
    <row r="2736" spans="1:12" x14ac:dyDescent="0.25">
      <c r="A2736">
        <v>2025</v>
      </c>
      <c r="C2736" s="9" t="s">
        <v>2650</v>
      </c>
      <c r="D2736" s="9" t="s">
        <v>2524</v>
      </c>
      <c r="F2736" s="6">
        <v>60</v>
      </c>
      <c r="G2736" s="6">
        <f t="shared" si="142"/>
        <v>60</v>
      </c>
      <c r="H2736" s="6">
        <v>60</v>
      </c>
      <c r="I2736" s="26">
        <f t="shared" si="143"/>
        <v>0</v>
      </c>
      <c r="J2736" s="7" t="str">
        <f t="shared" si="141"/>
        <v>PAGADO</v>
      </c>
      <c r="K2736" s="33" t="s">
        <v>2479</v>
      </c>
    </row>
    <row r="2737" spans="1:11" x14ac:dyDescent="0.25">
      <c r="A2737">
        <v>2025</v>
      </c>
      <c r="C2737" s="9" t="s">
        <v>2651</v>
      </c>
      <c r="D2737" s="9" t="s">
        <v>488</v>
      </c>
      <c r="F2737" s="6">
        <v>80</v>
      </c>
      <c r="G2737" s="6">
        <f t="shared" si="142"/>
        <v>80</v>
      </c>
      <c r="H2737" s="6">
        <v>80</v>
      </c>
      <c r="I2737" s="26">
        <f t="shared" si="143"/>
        <v>0</v>
      </c>
      <c r="J2737" s="7" t="str">
        <f t="shared" si="141"/>
        <v>PAGADO</v>
      </c>
      <c r="K2737" s="33" t="s">
        <v>2479</v>
      </c>
    </row>
    <row r="2738" spans="1:11" x14ac:dyDescent="0.25">
      <c r="A2738">
        <v>2025</v>
      </c>
      <c r="C2738" s="9" t="s">
        <v>2243</v>
      </c>
      <c r="D2738" s="9" t="s">
        <v>1309</v>
      </c>
      <c r="F2738" s="6">
        <v>100</v>
      </c>
      <c r="G2738" s="6">
        <f t="shared" si="142"/>
        <v>100</v>
      </c>
      <c r="H2738" s="6">
        <f>50+50</f>
        <v>100</v>
      </c>
      <c r="I2738" s="26">
        <f t="shared" si="143"/>
        <v>0</v>
      </c>
      <c r="J2738" s="7" t="str">
        <f t="shared" si="141"/>
        <v>PAGADO</v>
      </c>
    </row>
    <row r="2739" spans="1:11" x14ac:dyDescent="0.25">
      <c r="A2739">
        <v>2025</v>
      </c>
      <c r="C2739" s="9" t="s">
        <v>2652</v>
      </c>
      <c r="D2739" s="9" t="s">
        <v>1523</v>
      </c>
      <c r="F2739" s="6">
        <v>80</v>
      </c>
      <c r="G2739" s="6">
        <f t="shared" si="142"/>
        <v>80</v>
      </c>
      <c r="H2739" s="6">
        <v>80</v>
      </c>
      <c r="I2739" s="26">
        <f t="shared" si="143"/>
        <v>0</v>
      </c>
      <c r="J2739" s="7" t="str">
        <f t="shared" si="141"/>
        <v>PAGADO</v>
      </c>
      <c r="K2739" s="33" t="s">
        <v>2258</v>
      </c>
    </row>
    <row r="2740" spans="1:11" x14ac:dyDescent="0.25">
      <c r="A2740">
        <v>2025</v>
      </c>
      <c r="C2740" s="9" t="s">
        <v>2653</v>
      </c>
      <c r="D2740" s="9" t="s">
        <v>1523</v>
      </c>
      <c r="F2740" s="6">
        <v>75</v>
      </c>
      <c r="G2740" s="6">
        <f t="shared" si="142"/>
        <v>75</v>
      </c>
      <c r="H2740" s="6">
        <v>75</v>
      </c>
      <c r="I2740" s="26">
        <f t="shared" si="143"/>
        <v>0</v>
      </c>
      <c r="J2740" s="7" t="str">
        <f t="shared" si="141"/>
        <v>PAGADO</v>
      </c>
      <c r="K2740" s="33" t="s">
        <v>2258</v>
      </c>
    </row>
    <row r="2741" spans="1:11" x14ac:dyDescent="0.25">
      <c r="A2741">
        <v>2025</v>
      </c>
      <c r="C2741" s="9" t="s">
        <v>2654</v>
      </c>
      <c r="D2741" s="9" t="s">
        <v>1523</v>
      </c>
      <c r="F2741" s="6">
        <v>75</v>
      </c>
      <c r="G2741" s="6">
        <f t="shared" si="142"/>
        <v>75</v>
      </c>
      <c r="H2741" s="6">
        <v>75</v>
      </c>
      <c r="I2741" s="26">
        <f t="shared" si="143"/>
        <v>0</v>
      </c>
      <c r="J2741" s="7" t="str">
        <f t="shared" si="141"/>
        <v>PAGADO</v>
      </c>
      <c r="K2741" s="33" t="s">
        <v>2258</v>
      </c>
    </row>
    <row r="2742" spans="1:11" x14ac:dyDescent="0.25">
      <c r="A2742">
        <v>2025</v>
      </c>
      <c r="C2742" s="9" t="s">
        <v>2655</v>
      </c>
      <c r="D2742" s="9" t="s">
        <v>1504</v>
      </c>
      <c r="F2742" s="6">
        <v>70</v>
      </c>
      <c r="G2742" s="6">
        <f t="shared" si="142"/>
        <v>70</v>
      </c>
      <c r="H2742" s="6">
        <v>70</v>
      </c>
      <c r="I2742" s="26">
        <f t="shared" si="143"/>
        <v>0</v>
      </c>
      <c r="J2742" s="7" t="str">
        <f t="shared" si="141"/>
        <v>PAGADO</v>
      </c>
      <c r="K2742" t="s">
        <v>693</v>
      </c>
    </row>
    <row r="2743" spans="1:11" x14ac:dyDescent="0.25">
      <c r="A2743">
        <v>2025</v>
      </c>
      <c r="C2743" s="9" t="s">
        <v>2656</v>
      </c>
      <c r="D2743" s="9" t="s">
        <v>1504</v>
      </c>
      <c r="F2743" s="6">
        <v>70</v>
      </c>
      <c r="G2743" s="6">
        <f t="shared" si="142"/>
        <v>70</v>
      </c>
      <c r="H2743" s="6">
        <v>70</v>
      </c>
      <c r="I2743" s="26">
        <f t="shared" si="143"/>
        <v>0</v>
      </c>
      <c r="J2743" s="7" t="str">
        <f t="shared" si="141"/>
        <v>PAGADO</v>
      </c>
      <c r="K2743" t="s">
        <v>693</v>
      </c>
    </row>
    <row r="2744" spans="1:11" x14ac:dyDescent="0.25">
      <c r="A2744">
        <v>2025</v>
      </c>
      <c r="C2744" s="9" t="s">
        <v>2657</v>
      </c>
      <c r="D2744" s="9" t="s">
        <v>1504</v>
      </c>
      <c r="F2744" s="6">
        <v>70</v>
      </c>
      <c r="G2744" s="6">
        <f t="shared" si="142"/>
        <v>70</v>
      </c>
      <c r="H2744" s="6">
        <v>70</v>
      </c>
      <c r="I2744" s="26">
        <f t="shared" si="143"/>
        <v>0</v>
      </c>
      <c r="J2744" s="7" t="str">
        <f t="shared" ref="J2744:J2807" si="144">IF(I2744&gt;0,"DEBE","PAGADO")</f>
        <v>PAGADO</v>
      </c>
      <c r="K2744" t="s">
        <v>693</v>
      </c>
    </row>
    <row r="2745" spans="1:11" x14ac:dyDescent="0.25">
      <c r="A2745">
        <v>2025</v>
      </c>
      <c r="C2745" s="9" t="s">
        <v>2658</v>
      </c>
      <c r="D2745" s="9" t="s">
        <v>1504</v>
      </c>
      <c r="F2745" s="6">
        <v>70</v>
      </c>
      <c r="G2745" s="6">
        <f t="shared" si="142"/>
        <v>70</v>
      </c>
      <c r="H2745" s="6">
        <v>70</v>
      </c>
      <c r="I2745" s="26">
        <f t="shared" si="143"/>
        <v>0</v>
      </c>
      <c r="J2745" s="7" t="str">
        <f t="shared" si="144"/>
        <v>PAGADO</v>
      </c>
      <c r="K2745" t="s">
        <v>693</v>
      </c>
    </row>
    <row r="2746" spans="1:11" x14ac:dyDescent="0.25">
      <c r="A2746">
        <v>2025</v>
      </c>
      <c r="C2746" s="9" t="s">
        <v>2659</v>
      </c>
      <c r="D2746" s="9" t="s">
        <v>1504</v>
      </c>
      <c r="F2746" s="6">
        <v>70</v>
      </c>
      <c r="G2746" s="6">
        <f t="shared" si="142"/>
        <v>70</v>
      </c>
      <c r="H2746" s="6">
        <v>70</v>
      </c>
      <c r="I2746" s="26">
        <f t="shared" si="143"/>
        <v>0</v>
      </c>
      <c r="J2746" s="7" t="str">
        <f t="shared" si="144"/>
        <v>PAGADO</v>
      </c>
      <c r="K2746" t="s">
        <v>693</v>
      </c>
    </row>
    <row r="2747" spans="1:11" x14ac:dyDescent="0.25">
      <c r="A2747">
        <v>2025</v>
      </c>
      <c r="C2747" s="9" t="s">
        <v>2660</v>
      </c>
      <c r="D2747" s="9" t="s">
        <v>1504</v>
      </c>
      <c r="F2747" s="6">
        <v>60</v>
      </c>
      <c r="G2747" s="6">
        <f t="shared" si="142"/>
        <v>60</v>
      </c>
      <c r="H2747" s="6">
        <v>60</v>
      </c>
      <c r="I2747" s="26">
        <f t="shared" si="143"/>
        <v>0</v>
      </c>
      <c r="J2747" s="7" t="str">
        <f t="shared" si="144"/>
        <v>PAGADO</v>
      </c>
      <c r="K2747" t="s">
        <v>693</v>
      </c>
    </row>
    <row r="2748" spans="1:11" x14ac:dyDescent="0.25">
      <c r="A2748">
        <v>2025</v>
      </c>
      <c r="C2748" s="9" t="s">
        <v>2661</v>
      </c>
      <c r="D2748" s="9" t="s">
        <v>80</v>
      </c>
      <c r="F2748" s="6">
        <v>230</v>
      </c>
      <c r="G2748" s="6">
        <f t="shared" si="142"/>
        <v>230</v>
      </c>
      <c r="H2748" s="6">
        <f>100+100+20+10</f>
        <v>230</v>
      </c>
      <c r="I2748" s="26">
        <f t="shared" si="143"/>
        <v>0</v>
      </c>
      <c r="J2748" s="7" t="str">
        <f t="shared" si="144"/>
        <v>PAGADO</v>
      </c>
    </row>
    <row r="2749" spans="1:11" x14ac:dyDescent="0.25">
      <c r="A2749">
        <v>2025</v>
      </c>
      <c r="C2749" s="9" t="s">
        <v>2354</v>
      </c>
      <c r="D2749" s="9" t="s">
        <v>1399</v>
      </c>
      <c r="F2749" s="6">
        <v>130</v>
      </c>
      <c r="G2749" s="6">
        <f t="shared" si="142"/>
        <v>130</v>
      </c>
      <c r="H2749" s="6">
        <v>130</v>
      </c>
      <c r="I2749" s="26">
        <f t="shared" si="143"/>
        <v>0</v>
      </c>
      <c r="J2749" s="7" t="str">
        <f t="shared" si="144"/>
        <v>PAGADO</v>
      </c>
    </row>
    <row r="2750" spans="1:11" x14ac:dyDescent="0.25">
      <c r="A2750">
        <v>2025</v>
      </c>
      <c r="C2750" s="9" t="s">
        <v>2662</v>
      </c>
      <c r="D2750" s="9" t="s">
        <v>2544</v>
      </c>
      <c r="F2750" s="6">
        <v>80</v>
      </c>
      <c r="G2750" s="6">
        <f t="shared" ref="G2750:G2813" si="145">F2750-E2750</f>
        <v>80</v>
      </c>
      <c r="H2750" s="6">
        <v>80</v>
      </c>
      <c r="I2750" s="26">
        <f t="shared" si="143"/>
        <v>0</v>
      </c>
      <c r="J2750" s="7" t="str">
        <f t="shared" si="144"/>
        <v>PAGADO</v>
      </c>
    </row>
    <row r="2751" spans="1:11" x14ac:dyDescent="0.25">
      <c r="A2751">
        <v>2025</v>
      </c>
      <c r="C2751" s="9" t="s">
        <v>2663</v>
      </c>
      <c r="D2751" s="9" t="s">
        <v>2105</v>
      </c>
      <c r="F2751" s="6">
        <v>75</v>
      </c>
      <c r="G2751" s="6">
        <f t="shared" si="145"/>
        <v>75</v>
      </c>
      <c r="H2751" s="6">
        <f>30+45</f>
        <v>75</v>
      </c>
      <c r="I2751" s="26">
        <f t="shared" si="143"/>
        <v>0</v>
      </c>
      <c r="J2751" s="7" t="str">
        <f t="shared" si="144"/>
        <v>PAGADO</v>
      </c>
    </row>
    <row r="2752" spans="1:11" x14ac:dyDescent="0.25">
      <c r="A2752">
        <v>2025</v>
      </c>
      <c r="C2752" s="9" t="s">
        <v>2664</v>
      </c>
      <c r="D2752" s="9" t="s">
        <v>2105</v>
      </c>
      <c r="F2752" s="6">
        <v>20</v>
      </c>
      <c r="G2752" s="6">
        <f t="shared" si="145"/>
        <v>20</v>
      </c>
      <c r="H2752" s="6">
        <v>20</v>
      </c>
      <c r="I2752" s="26">
        <f t="shared" si="143"/>
        <v>0</v>
      </c>
      <c r="J2752" s="7" t="str">
        <f t="shared" si="144"/>
        <v>PAGADO</v>
      </c>
    </row>
    <row r="2753" spans="1:11" x14ac:dyDescent="0.25">
      <c r="A2753">
        <v>2025</v>
      </c>
      <c r="C2753" s="9" t="s">
        <v>2665</v>
      </c>
      <c r="D2753" s="9" t="s">
        <v>1309</v>
      </c>
      <c r="F2753" s="6">
        <v>40</v>
      </c>
      <c r="G2753" s="6">
        <f t="shared" si="145"/>
        <v>40</v>
      </c>
      <c r="H2753" s="6">
        <v>40</v>
      </c>
      <c r="I2753" s="26">
        <f t="shared" si="143"/>
        <v>0</v>
      </c>
      <c r="J2753" s="7" t="str">
        <f t="shared" si="144"/>
        <v>PAGADO</v>
      </c>
    </row>
    <row r="2754" spans="1:11" x14ac:dyDescent="0.25">
      <c r="A2754">
        <v>2025</v>
      </c>
      <c r="C2754" s="9" t="s">
        <v>2666</v>
      </c>
      <c r="D2754" s="9" t="s">
        <v>1309</v>
      </c>
      <c r="F2754" s="6">
        <v>35</v>
      </c>
      <c r="G2754" s="6">
        <f t="shared" si="145"/>
        <v>35</v>
      </c>
      <c r="H2754" s="6">
        <v>35</v>
      </c>
      <c r="I2754" s="26">
        <f t="shared" si="143"/>
        <v>0</v>
      </c>
      <c r="J2754" s="7" t="str">
        <f t="shared" si="144"/>
        <v>PAGADO</v>
      </c>
    </row>
    <row r="2755" spans="1:11" x14ac:dyDescent="0.25">
      <c r="A2755">
        <v>2025</v>
      </c>
      <c r="C2755" s="9" t="s">
        <v>2667</v>
      </c>
      <c r="D2755" s="9" t="s">
        <v>1309</v>
      </c>
      <c r="F2755" s="6">
        <v>5</v>
      </c>
      <c r="G2755" s="6">
        <f t="shared" si="145"/>
        <v>5</v>
      </c>
      <c r="H2755" s="6">
        <v>5</v>
      </c>
      <c r="I2755" s="26">
        <f t="shared" si="143"/>
        <v>0</v>
      </c>
      <c r="J2755" s="7" t="str">
        <f t="shared" si="144"/>
        <v>PAGADO</v>
      </c>
    </row>
    <row r="2756" spans="1:11" x14ac:dyDescent="0.25">
      <c r="A2756">
        <v>2025</v>
      </c>
      <c r="C2756" s="9" t="s">
        <v>2668</v>
      </c>
      <c r="D2756" s="9" t="s">
        <v>1309</v>
      </c>
      <c r="F2756" s="6">
        <v>15</v>
      </c>
      <c r="G2756" s="6">
        <f t="shared" si="145"/>
        <v>15</v>
      </c>
      <c r="H2756" s="6">
        <v>15</v>
      </c>
      <c r="I2756" s="26">
        <f t="shared" si="143"/>
        <v>0</v>
      </c>
      <c r="J2756" s="7" t="str">
        <f t="shared" si="144"/>
        <v>PAGADO</v>
      </c>
    </row>
    <row r="2757" spans="1:11" x14ac:dyDescent="0.25">
      <c r="A2757">
        <v>2025</v>
      </c>
      <c r="C2757" s="9" t="s">
        <v>2669</v>
      </c>
      <c r="D2757" s="9" t="s">
        <v>1078</v>
      </c>
      <c r="F2757" s="6">
        <v>10</v>
      </c>
      <c r="G2757" s="6">
        <f t="shared" si="145"/>
        <v>10</v>
      </c>
      <c r="H2757" s="6">
        <v>10</v>
      </c>
      <c r="I2757" s="26">
        <f t="shared" si="143"/>
        <v>0</v>
      </c>
      <c r="J2757" s="7" t="str">
        <f t="shared" si="144"/>
        <v>PAGADO</v>
      </c>
    </row>
    <row r="2758" spans="1:11" x14ac:dyDescent="0.25">
      <c r="A2758">
        <v>2025</v>
      </c>
      <c r="C2758" s="9" t="s">
        <v>2670</v>
      </c>
      <c r="D2758" s="9" t="s">
        <v>2045</v>
      </c>
      <c r="F2758" s="6">
        <v>15</v>
      </c>
      <c r="G2758" s="6">
        <f t="shared" si="145"/>
        <v>15</v>
      </c>
      <c r="H2758" s="6">
        <v>15</v>
      </c>
      <c r="I2758" s="26">
        <f t="shared" si="143"/>
        <v>0</v>
      </c>
      <c r="J2758" s="7" t="str">
        <f t="shared" si="144"/>
        <v>PAGADO</v>
      </c>
    </row>
    <row r="2759" spans="1:11" x14ac:dyDescent="0.25">
      <c r="A2759">
        <v>2025</v>
      </c>
      <c r="C2759" s="9" t="s">
        <v>2671</v>
      </c>
      <c r="D2759" s="9" t="s">
        <v>2045</v>
      </c>
      <c r="F2759" s="6">
        <v>15</v>
      </c>
      <c r="G2759" s="6">
        <f t="shared" si="145"/>
        <v>15</v>
      </c>
      <c r="H2759" s="6">
        <v>15</v>
      </c>
      <c r="I2759" s="26">
        <f t="shared" si="143"/>
        <v>0</v>
      </c>
      <c r="J2759" s="7" t="str">
        <f t="shared" si="144"/>
        <v>PAGADO</v>
      </c>
    </row>
    <row r="2760" spans="1:11" x14ac:dyDescent="0.25">
      <c r="A2760">
        <v>2025</v>
      </c>
      <c r="C2760" s="9" t="s">
        <v>2672</v>
      </c>
      <c r="D2760" s="9" t="s">
        <v>2045</v>
      </c>
      <c r="F2760" s="6">
        <v>20</v>
      </c>
      <c r="G2760" s="6">
        <f t="shared" si="145"/>
        <v>20</v>
      </c>
      <c r="H2760" s="6">
        <v>20</v>
      </c>
      <c r="I2760" s="26">
        <f t="shared" si="143"/>
        <v>0</v>
      </c>
      <c r="J2760" s="7" t="str">
        <f t="shared" si="144"/>
        <v>PAGADO</v>
      </c>
    </row>
    <row r="2761" spans="1:11" x14ac:dyDescent="0.25">
      <c r="A2761">
        <v>2025</v>
      </c>
      <c r="C2761" s="9" t="s">
        <v>2673</v>
      </c>
      <c r="D2761" s="9" t="s">
        <v>2548</v>
      </c>
      <c r="F2761" s="6">
        <v>60</v>
      </c>
      <c r="G2761" s="6">
        <f t="shared" si="145"/>
        <v>60</v>
      </c>
      <c r="H2761" s="6">
        <v>60</v>
      </c>
      <c r="I2761" s="26">
        <f t="shared" si="143"/>
        <v>0</v>
      </c>
      <c r="J2761" s="7" t="str">
        <f t="shared" si="144"/>
        <v>PAGADO</v>
      </c>
    </row>
    <row r="2762" spans="1:11" x14ac:dyDescent="0.25">
      <c r="A2762">
        <v>2025</v>
      </c>
      <c r="C2762" s="9" t="s">
        <v>2674</v>
      </c>
      <c r="D2762" s="9" t="s">
        <v>2548</v>
      </c>
      <c r="F2762" s="6">
        <v>120</v>
      </c>
      <c r="G2762" s="6">
        <f t="shared" si="145"/>
        <v>120</v>
      </c>
      <c r="H2762" s="6">
        <v>120</v>
      </c>
      <c r="I2762" s="26">
        <f t="shared" si="143"/>
        <v>0</v>
      </c>
      <c r="J2762" s="7" t="str">
        <f t="shared" si="144"/>
        <v>PAGADO</v>
      </c>
    </row>
    <row r="2763" spans="1:11" ht="15.75" customHeight="1" x14ac:dyDescent="0.25">
      <c r="A2763">
        <v>2025</v>
      </c>
      <c r="C2763" s="9" t="s">
        <v>2675</v>
      </c>
      <c r="D2763" s="9" t="s">
        <v>2548</v>
      </c>
      <c r="F2763" s="6">
        <v>30</v>
      </c>
      <c r="G2763" s="6">
        <f t="shared" si="145"/>
        <v>30</v>
      </c>
      <c r="H2763" s="6">
        <v>30</v>
      </c>
      <c r="I2763" s="26">
        <f t="shared" si="143"/>
        <v>0</v>
      </c>
      <c r="J2763" s="7" t="str">
        <f t="shared" si="144"/>
        <v>PAGADO</v>
      </c>
    </row>
    <row r="2764" spans="1:11" x14ac:dyDescent="0.25">
      <c r="A2764">
        <v>2025</v>
      </c>
      <c r="C2764" s="9" t="s">
        <v>2676</v>
      </c>
      <c r="D2764" s="9" t="s">
        <v>2548</v>
      </c>
      <c r="F2764" s="6">
        <v>20</v>
      </c>
      <c r="G2764" s="6">
        <f t="shared" si="145"/>
        <v>20</v>
      </c>
      <c r="H2764" s="6">
        <v>20</v>
      </c>
      <c r="I2764" s="26">
        <f t="shared" si="143"/>
        <v>0</v>
      </c>
      <c r="J2764" s="7" t="str">
        <f t="shared" si="144"/>
        <v>PAGADO</v>
      </c>
    </row>
    <row r="2765" spans="1:11" x14ac:dyDescent="0.25">
      <c r="A2765">
        <v>2025</v>
      </c>
      <c r="C2765" s="9" t="s">
        <v>2677</v>
      </c>
      <c r="D2765" s="9" t="s">
        <v>377</v>
      </c>
      <c r="F2765" s="6">
        <v>75</v>
      </c>
      <c r="G2765" s="6">
        <f t="shared" si="145"/>
        <v>75</v>
      </c>
      <c r="H2765" s="6">
        <v>75</v>
      </c>
      <c r="I2765" s="6">
        <f t="shared" si="143"/>
        <v>0</v>
      </c>
      <c r="J2765" s="7" t="str">
        <f t="shared" si="144"/>
        <v>PAGADO</v>
      </c>
    </row>
    <row r="2766" spans="1:11" x14ac:dyDescent="0.25">
      <c r="A2766">
        <v>2025</v>
      </c>
      <c r="C2766" s="9" t="s">
        <v>2678</v>
      </c>
      <c r="D2766" s="9" t="s">
        <v>1290</v>
      </c>
      <c r="F2766" s="6">
        <v>120</v>
      </c>
      <c r="G2766" s="6">
        <f t="shared" si="145"/>
        <v>120</v>
      </c>
      <c r="H2766" s="6">
        <v>120</v>
      </c>
      <c r="I2766" s="26">
        <f t="shared" si="143"/>
        <v>0</v>
      </c>
      <c r="J2766" s="7" t="str">
        <f t="shared" si="144"/>
        <v>PAGADO</v>
      </c>
    </row>
    <row r="2767" spans="1:11" x14ac:dyDescent="0.25">
      <c r="A2767">
        <v>2025</v>
      </c>
      <c r="C2767" s="9" t="s">
        <v>2679</v>
      </c>
      <c r="D2767" t="s">
        <v>2147</v>
      </c>
      <c r="F2767" s="6">
        <v>39</v>
      </c>
      <c r="G2767" s="6">
        <f t="shared" si="145"/>
        <v>39</v>
      </c>
      <c r="H2767" s="6">
        <v>39</v>
      </c>
      <c r="I2767" s="26">
        <f t="shared" si="143"/>
        <v>0</v>
      </c>
      <c r="J2767" s="7" t="str">
        <f t="shared" si="144"/>
        <v>PAGADO</v>
      </c>
    </row>
    <row r="2768" spans="1:11" x14ac:dyDescent="0.25">
      <c r="A2768">
        <v>2025</v>
      </c>
      <c r="C2768" s="9" t="s">
        <v>2680</v>
      </c>
      <c r="D2768" t="s">
        <v>2180</v>
      </c>
      <c r="F2768" s="6">
        <v>24</v>
      </c>
      <c r="G2768" s="6">
        <f t="shared" si="145"/>
        <v>24</v>
      </c>
      <c r="H2768" s="6">
        <v>24</v>
      </c>
      <c r="I2768" s="26">
        <f t="shared" si="143"/>
        <v>0</v>
      </c>
      <c r="J2768" s="7" t="str">
        <f t="shared" si="144"/>
        <v>PAGADO</v>
      </c>
      <c r="K2768" s="9"/>
    </row>
    <row r="2769" spans="1:11" x14ac:dyDescent="0.25">
      <c r="A2769">
        <v>2025</v>
      </c>
      <c r="C2769" s="9" t="s">
        <v>2681</v>
      </c>
      <c r="D2769" s="9" t="s">
        <v>1504</v>
      </c>
      <c r="F2769" s="6">
        <v>75</v>
      </c>
      <c r="G2769" s="6">
        <f t="shared" si="145"/>
        <v>75</v>
      </c>
      <c r="H2769" s="6">
        <v>75</v>
      </c>
      <c r="I2769" s="26">
        <f t="shared" si="143"/>
        <v>0</v>
      </c>
      <c r="J2769" s="7" t="str">
        <f t="shared" si="144"/>
        <v>PAGADO</v>
      </c>
      <c r="K2769" s="33" t="s">
        <v>693</v>
      </c>
    </row>
    <row r="2770" spans="1:11" x14ac:dyDescent="0.25">
      <c r="A2770">
        <v>2025</v>
      </c>
      <c r="C2770" s="9" t="s">
        <v>2682</v>
      </c>
      <c r="D2770" s="9" t="s">
        <v>2683</v>
      </c>
      <c r="F2770" s="6">
        <v>50</v>
      </c>
      <c r="G2770" s="6">
        <f t="shared" si="145"/>
        <v>50</v>
      </c>
      <c r="H2770" s="6">
        <v>50</v>
      </c>
      <c r="I2770" s="26">
        <f t="shared" ref="I2770:I2833" si="146">F2770-H2770</f>
        <v>0</v>
      </c>
      <c r="J2770" s="7" t="str">
        <f t="shared" si="144"/>
        <v>PAGADO</v>
      </c>
    </row>
    <row r="2771" spans="1:11" x14ac:dyDescent="0.25">
      <c r="A2771">
        <v>2025</v>
      </c>
      <c r="C2771" s="9" t="s">
        <v>2684</v>
      </c>
      <c r="D2771" s="9" t="s">
        <v>2685</v>
      </c>
      <c r="F2771" s="6">
        <v>380</v>
      </c>
      <c r="G2771" s="6">
        <f t="shared" si="145"/>
        <v>380</v>
      </c>
      <c r="H2771" s="6">
        <v>380</v>
      </c>
      <c r="I2771" s="26">
        <f t="shared" si="146"/>
        <v>0</v>
      </c>
      <c r="J2771" s="7" t="str">
        <f t="shared" si="144"/>
        <v>PAGADO</v>
      </c>
    </row>
    <row r="2772" spans="1:11" x14ac:dyDescent="0.25">
      <c r="A2772">
        <v>2025</v>
      </c>
      <c r="C2772" s="9" t="s">
        <v>2686</v>
      </c>
      <c r="D2772" s="9" t="s">
        <v>2685</v>
      </c>
      <c r="F2772" s="6">
        <v>200</v>
      </c>
      <c r="G2772" s="6">
        <f t="shared" si="145"/>
        <v>200</v>
      </c>
      <c r="H2772" s="6">
        <v>200</v>
      </c>
      <c r="I2772" s="26">
        <f t="shared" si="146"/>
        <v>0</v>
      </c>
      <c r="J2772" s="7" t="str">
        <f t="shared" si="144"/>
        <v>PAGADO</v>
      </c>
    </row>
    <row r="2773" spans="1:11" x14ac:dyDescent="0.25">
      <c r="A2773">
        <v>2025</v>
      </c>
      <c r="C2773" s="9" t="s">
        <v>2645</v>
      </c>
      <c r="D2773" s="9" t="s">
        <v>2685</v>
      </c>
      <c r="F2773" s="6">
        <v>60</v>
      </c>
      <c r="G2773" s="6">
        <f t="shared" si="145"/>
        <v>60</v>
      </c>
      <c r="H2773" s="6">
        <v>60</v>
      </c>
      <c r="I2773" s="26">
        <f t="shared" si="146"/>
        <v>0</v>
      </c>
      <c r="J2773" s="7" t="str">
        <f t="shared" si="144"/>
        <v>PAGADO</v>
      </c>
    </row>
    <row r="2774" spans="1:11" x14ac:dyDescent="0.25">
      <c r="A2774">
        <v>2025</v>
      </c>
      <c r="C2774" s="9" t="s">
        <v>1934</v>
      </c>
      <c r="D2774" s="9" t="s">
        <v>2687</v>
      </c>
      <c r="F2774" s="6">
        <v>160</v>
      </c>
      <c r="G2774" s="6">
        <f t="shared" si="145"/>
        <v>160</v>
      </c>
      <c r="H2774" s="6">
        <v>160</v>
      </c>
      <c r="I2774" s="26">
        <f t="shared" si="146"/>
        <v>0</v>
      </c>
      <c r="J2774" s="7" t="str">
        <f t="shared" si="144"/>
        <v>PAGADO</v>
      </c>
    </row>
    <row r="2775" spans="1:11" x14ac:dyDescent="0.25">
      <c r="A2775">
        <v>2025</v>
      </c>
      <c r="C2775" t="s">
        <v>2688</v>
      </c>
      <c r="D2775" s="9" t="s">
        <v>2175</v>
      </c>
      <c r="F2775" s="6">
        <v>75</v>
      </c>
      <c r="G2775" s="6">
        <f t="shared" si="145"/>
        <v>75</v>
      </c>
      <c r="H2775" s="6">
        <v>75</v>
      </c>
      <c r="I2775" s="26">
        <f t="shared" si="146"/>
        <v>0</v>
      </c>
      <c r="J2775" s="7" t="str">
        <f t="shared" si="144"/>
        <v>PAGADO</v>
      </c>
    </row>
    <row r="2776" spans="1:11" x14ac:dyDescent="0.25">
      <c r="A2776">
        <v>2025</v>
      </c>
      <c r="C2776" s="9" t="s">
        <v>2689</v>
      </c>
      <c r="D2776" s="9" t="s">
        <v>1736</v>
      </c>
      <c r="F2776" s="26">
        <v>20</v>
      </c>
      <c r="G2776" s="26">
        <f t="shared" si="145"/>
        <v>20</v>
      </c>
      <c r="H2776" s="26">
        <v>20</v>
      </c>
      <c r="I2776" s="26">
        <f t="shared" si="146"/>
        <v>0</v>
      </c>
      <c r="J2776" s="7" t="str">
        <f t="shared" si="144"/>
        <v>PAGADO</v>
      </c>
    </row>
    <row r="2777" spans="1:11" x14ac:dyDescent="0.25">
      <c r="A2777">
        <v>2025</v>
      </c>
      <c r="C2777" s="9" t="s">
        <v>2690</v>
      </c>
      <c r="D2777" s="9" t="s">
        <v>1736</v>
      </c>
      <c r="F2777" s="26">
        <v>50</v>
      </c>
      <c r="G2777" s="26">
        <f t="shared" si="145"/>
        <v>50</v>
      </c>
      <c r="H2777" s="26">
        <v>50</v>
      </c>
      <c r="I2777" s="26">
        <f t="shared" si="146"/>
        <v>0</v>
      </c>
      <c r="J2777" s="7" t="str">
        <f t="shared" si="144"/>
        <v>PAGADO</v>
      </c>
    </row>
    <row r="2778" spans="1:11" x14ac:dyDescent="0.25">
      <c r="A2778">
        <v>2025</v>
      </c>
      <c r="C2778" s="9" t="s">
        <v>2691</v>
      </c>
      <c r="D2778" s="9" t="s">
        <v>1309</v>
      </c>
      <c r="F2778" s="6">
        <v>65</v>
      </c>
      <c r="G2778" s="6">
        <f t="shared" si="145"/>
        <v>65</v>
      </c>
      <c r="H2778" s="6">
        <v>65</v>
      </c>
      <c r="I2778" s="26">
        <f t="shared" si="146"/>
        <v>0</v>
      </c>
      <c r="J2778" s="7" t="str">
        <f t="shared" si="144"/>
        <v>PAGADO</v>
      </c>
    </row>
    <row r="2779" spans="1:11" x14ac:dyDescent="0.25">
      <c r="A2779">
        <v>2025</v>
      </c>
      <c r="C2779" s="9" t="s">
        <v>2692</v>
      </c>
      <c r="D2779" s="9" t="s">
        <v>2407</v>
      </c>
      <c r="F2779" s="6">
        <v>90</v>
      </c>
      <c r="G2779" s="6">
        <f t="shared" si="145"/>
        <v>90</v>
      </c>
      <c r="H2779" s="6">
        <v>90</v>
      </c>
      <c r="I2779" s="26">
        <f t="shared" si="146"/>
        <v>0</v>
      </c>
      <c r="J2779" s="7" t="str">
        <f t="shared" si="144"/>
        <v>PAGADO</v>
      </c>
    </row>
    <row r="2780" spans="1:11" x14ac:dyDescent="0.25">
      <c r="A2780">
        <v>2025</v>
      </c>
      <c r="C2780" s="9" t="s">
        <v>2645</v>
      </c>
      <c r="D2780" s="9" t="s">
        <v>1535</v>
      </c>
      <c r="F2780" s="6">
        <v>65</v>
      </c>
      <c r="G2780" s="6">
        <f t="shared" si="145"/>
        <v>65</v>
      </c>
      <c r="H2780" s="6">
        <v>65</v>
      </c>
      <c r="I2780" s="26">
        <f t="shared" si="146"/>
        <v>0</v>
      </c>
      <c r="J2780" s="7" t="str">
        <f t="shared" si="144"/>
        <v>PAGADO</v>
      </c>
    </row>
    <row r="2781" spans="1:11" x14ac:dyDescent="0.25">
      <c r="A2781">
        <v>2025</v>
      </c>
      <c r="C2781" s="9" t="s">
        <v>2693</v>
      </c>
      <c r="D2781" s="9" t="s">
        <v>1535</v>
      </c>
      <c r="F2781" s="6">
        <v>15</v>
      </c>
      <c r="G2781" s="6">
        <f t="shared" si="145"/>
        <v>15</v>
      </c>
      <c r="H2781" s="6">
        <v>15</v>
      </c>
      <c r="I2781" s="26">
        <f t="shared" si="146"/>
        <v>0</v>
      </c>
      <c r="J2781" s="7" t="str">
        <f t="shared" si="144"/>
        <v>PAGADO</v>
      </c>
    </row>
    <row r="2782" spans="1:11" x14ac:dyDescent="0.25">
      <c r="A2782">
        <v>2025</v>
      </c>
      <c r="C2782" t="s">
        <v>2694</v>
      </c>
      <c r="D2782" s="9" t="s">
        <v>2282</v>
      </c>
      <c r="F2782" s="6">
        <v>37</v>
      </c>
      <c r="G2782" s="6">
        <f t="shared" si="145"/>
        <v>37</v>
      </c>
      <c r="H2782" s="6">
        <v>37</v>
      </c>
      <c r="I2782" s="26">
        <f t="shared" si="146"/>
        <v>0</v>
      </c>
      <c r="J2782" s="7" t="str">
        <f t="shared" si="144"/>
        <v>PAGADO</v>
      </c>
    </row>
    <row r="2783" spans="1:11" x14ac:dyDescent="0.25">
      <c r="A2783">
        <v>2025</v>
      </c>
      <c r="C2783" s="9" t="s">
        <v>2695</v>
      </c>
      <c r="D2783" s="9" t="s">
        <v>1309</v>
      </c>
      <c r="F2783" s="6">
        <v>70</v>
      </c>
      <c r="G2783" s="6">
        <f t="shared" si="145"/>
        <v>70</v>
      </c>
      <c r="H2783" s="6">
        <v>70</v>
      </c>
      <c r="I2783" s="26">
        <f t="shared" si="146"/>
        <v>0</v>
      </c>
      <c r="J2783" s="7" t="str">
        <f t="shared" si="144"/>
        <v>PAGADO</v>
      </c>
      <c r="K2783" s="59" t="s">
        <v>2484</v>
      </c>
    </row>
    <row r="2784" spans="1:11" x14ac:dyDescent="0.25">
      <c r="A2784">
        <v>2025</v>
      </c>
      <c r="C2784" s="9" t="s">
        <v>2696</v>
      </c>
      <c r="D2784" s="9" t="s">
        <v>1055</v>
      </c>
      <c r="F2784" s="6">
        <v>40</v>
      </c>
      <c r="G2784" s="6">
        <f t="shared" si="145"/>
        <v>40</v>
      </c>
      <c r="H2784" s="6">
        <f>20+20</f>
        <v>40</v>
      </c>
      <c r="I2784" s="26">
        <f t="shared" si="146"/>
        <v>0</v>
      </c>
      <c r="J2784" s="7" t="str">
        <f t="shared" si="144"/>
        <v>PAGADO</v>
      </c>
      <c r="K2784" s="33" t="s">
        <v>1823</v>
      </c>
    </row>
    <row r="2785" spans="1:12" x14ac:dyDescent="0.25">
      <c r="A2785">
        <v>2025</v>
      </c>
      <c r="C2785" s="9" t="s">
        <v>2697</v>
      </c>
      <c r="D2785" s="9" t="s">
        <v>1055</v>
      </c>
      <c r="F2785" s="6">
        <v>40</v>
      </c>
      <c r="G2785" s="6">
        <f t="shared" si="145"/>
        <v>40</v>
      </c>
      <c r="H2785" s="6">
        <f>20+20</f>
        <v>40</v>
      </c>
      <c r="I2785" s="26">
        <f t="shared" si="146"/>
        <v>0</v>
      </c>
      <c r="J2785" s="7" t="str">
        <f t="shared" si="144"/>
        <v>PAGADO</v>
      </c>
      <c r="K2785" s="33" t="s">
        <v>1823</v>
      </c>
    </row>
    <row r="2786" spans="1:12" x14ac:dyDescent="0.25">
      <c r="A2786">
        <v>2025</v>
      </c>
      <c r="C2786" s="9" t="s">
        <v>2698</v>
      </c>
      <c r="D2786" s="9" t="s">
        <v>2278</v>
      </c>
      <c r="F2786" s="6">
        <v>75</v>
      </c>
      <c r="G2786" s="6">
        <f t="shared" si="145"/>
        <v>75</v>
      </c>
      <c r="H2786" s="16">
        <v>75</v>
      </c>
      <c r="I2786" s="26">
        <f t="shared" si="146"/>
        <v>0</v>
      </c>
      <c r="J2786" s="7" t="str">
        <f t="shared" si="144"/>
        <v>PAGADO</v>
      </c>
      <c r="K2786" s="33" t="s">
        <v>2479</v>
      </c>
    </row>
    <row r="2787" spans="1:12" x14ac:dyDescent="0.25">
      <c r="A2787">
        <v>2025</v>
      </c>
      <c r="C2787" s="9" t="s">
        <v>2699</v>
      </c>
      <c r="D2787" s="9" t="s">
        <v>2278</v>
      </c>
      <c r="F2787" s="6">
        <v>75</v>
      </c>
      <c r="G2787" s="6">
        <f t="shared" si="145"/>
        <v>75</v>
      </c>
      <c r="H2787" s="16">
        <f>37.5+37.5</f>
        <v>75</v>
      </c>
      <c r="I2787" s="48">
        <f t="shared" si="146"/>
        <v>0</v>
      </c>
      <c r="J2787" s="7" t="str">
        <f t="shared" si="144"/>
        <v>PAGADO</v>
      </c>
      <c r="K2787" s="60" t="s">
        <v>693</v>
      </c>
    </row>
    <row r="2788" spans="1:12" x14ac:dyDescent="0.25">
      <c r="A2788">
        <v>2025</v>
      </c>
      <c r="C2788" s="9" t="s">
        <v>2700</v>
      </c>
      <c r="D2788" s="9" t="s">
        <v>2278</v>
      </c>
      <c r="F2788" s="6">
        <v>75</v>
      </c>
      <c r="G2788" s="6">
        <f t="shared" si="145"/>
        <v>75</v>
      </c>
      <c r="H2788" s="27">
        <v>75</v>
      </c>
      <c r="I2788" s="26">
        <f t="shared" si="146"/>
        <v>0</v>
      </c>
      <c r="J2788" s="7" t="str">
        <f t="shared" si="144"/>
        <v>PAGADO</v>
      </c>
      <c r="K2788" s="33" t="s">
        <v>2479</v>
      </c>
    </row>
    <row r="2789" spans="1:12" x14ac:dyDescent="0.25">
      <c r="A2789">
        <v>2025</v>
      </c>
      <c r="C2789" s="9" t="s">
        <v>2701</v>
      </c>
      <c r="D2789" s="9" t="s">
        <v>2278</v>
      </c>
      <c r="F2789" s="6">
        <v>550</v>
      </c>
      <c r="G2789" s="6">
        <f t="shared" si="145"/>
        <v>550</v>
      </c>
      <c r="H2789" s="27">
        <v>550</v>
      </c>
      <c r="I2789" s="26">
        <f t="shared" si="146"/>
        <v>0</v>
      </c>
      <c r="J2789" s="7" t="str">
        <f t="shared" si="144"/>
        <v>PAGADO</v>
      </c>
      <c r="K2789" s="33" t="s">
        <v>2479</v>
      </c>
    </row>
    <row r="2790" spans="1:12" x14ac:dyDescent="0.25">
      <c r="A2790">
        <v>2025</v>
      </c>
      <c r="C2790" s="9" t="s">
        <v>2702</v>
      </c>
      <c r="D2790" s="9" t="s">
        <v>1360</v>
      </c>
      <c r="F2790" s="6">
        <v>75</v>
      </c>
      <c r="G2790" s="6">
        <f t="shared" si="145"/>
        <v>75</v>
      </c>
      <c r="H2790" s="6">
        <v>75</v>
      </c>
      <c r="I2790" s="26">
        <f t="shared" si="146"/>
        <v>0</v>
      </c>
      <c r="J2790" s="7" t="str">
        <f t="shared" si="144"/>
        <v>PAGADO</v>
      </c>
      <c r="K2790" s="33" t="s">
        <v>2479</v>
      </c>
    </row>
    <row r="2791" spans="1:12" x14ac:dyDescent="0.25">
      <c r="A2791">
        <v>2025</v>
      </c>
      <c r="C2791" s="9" t="s">
        <v>2703</v>
      </c>
      <c r="D2791" s="9" t="s">
        <v>1360</v>
      </c>
      <c r="F2791" s="6">
        <v>75</v>
      </c>
      <c r="G2791" s="6">
        <f t="shared" si="145"/>
        <v>75</v>
      </c>
      <c r="H2791" s="6">
        <v>75</v>
      </c>
      <c r="I2791" s="26">
        <f t="shared" si="146"/>
        <v>0</v>
      </c>
      <c r="J2791" s="7" t="str">
        <f t="shared" si="144"/>
        <v>PAGADO</v>
      </c>
    </row>
    <row r="2792" spans="1:12" x14ac:dyDescent="0.25">
      <c r="A2792">
        <v>2025</v>
      </c>
      <c r="C2792" s="9" t="s">
        <v>2704</v>
      </c>
      <c r="D2792" s="9" t="s">
        <v>1510</v>
      </c>
      <c r="F2792" s="6">
        <v>70</v>
      </c>
      <c r="G2792" s="6">
        <f t="shared" si="145"/>
        <v>70</v>
      </c>
      <c r="H2792" s="6">
        <v>70</v>
      </c>
      <c r="I2792" s="26">
        <f t="shared" si="146"/>
        <v>0</v>
      </c>
      <c r="J2792" s="7" t="str">
        <f t="shared" si="144"/>
        <v>PAGADO</v>
      </c>
      <c r="K2792" s="33" t="s">
        <v>2479</v>
      </c>
    </row>
    <row r="2793" spans="1:12" x14ac:dyDescent="0.25">
      <c r="A2793">
        <v>2025</v>
      </c>
      <c r="C2793" s="9" t="s">
        <v>2705</v>
      </c>
      <c r="D2793" s="9" t="s">
        <v>1504</v>
      </c>
      <c r="F2793" s="6">
        <v>220</v>
      </c>
      <c r="G2793" s="6">
        <f t="shared" si="145"/>
        <v>220</v>
      </c>
      <c r="H2793" s="6">
        <v>220</v>
      </c>
      <c r="I2793" s="26">
        <f t="shared" si="146"/>
        <v>0</v>
      </c>
      <c r="J2793" s="7" t="str">
        <f t="shared" si="144"/>
        <v>PAGADO</v>
      </c>
      <c r="K2793" t="s">
        <v>693</v>
      </c>
    </row>
    <row r="2794" spans="1:12" x14ac:dyDescent="0.25">
      <c r="A2794">
        <v>2025</v>
      </c>
      <c r="C2794" s="9" t="s">
        <v>2706</v>
      </c>
      <c r="D2794" s="9" t="s">
        <v>1504</v>
      </c>
      <c r="F2794" s="6">
        <v>290</v>
      </c>
      <c r="G2794" s="6">
        <f t="shared" si="145"/>
        <v>290</v>
      </c>
      <c r="H2794" s="6">
        <v>290</v>
      </c>
      <c r="I2794" s="26">
        <f t="shared" si="146"/>
        <v>0</v>
      </c>
      <c r="J2794" s="7" t="str">
        <f t="shared" si="144"/>
        <v>PAGADO</v>
      </c>
      <c r="K2794" s="28" t="s">
        <v>2479</v>
      </c>
    </row>
    <row r="2795" spans="1:12" x14ac:dyDescent="0.25">
      <c r="A2795">
        <v>2025</v>
      </c>
      <c r="C2795" s="9" t="s">
        <v>2707</v>
      </c>
      <c r="D2795" s="9" t="s">
        <v>1504</v>
      </c>
      <c r="F2795" s="6">
        <v>30</v>
      </c>
      <c r="G2795" s="6">
        <f t="shared" si="145"/>
        <v>30</v>
      </c>
      <c r="H2795" s="6">
        <v>30</v>
      </c>
      <c r="I2795" s="26">
        <f t="shared" si="146"/>
        <v>0</v>
      </c>
      <c r="J2795" s="7" t="str">
        <f t="shared" si="144"/>
        <v>PAGADO</v>
      </c>
      <c r="K2795" t="s">
        <v>693</v>
      </c>
    </row>
    <row r="2796" spans="1:12" x14ac:dyDescent="0.25">
      <c r="A2796">
        <v>2025</v>
      </c>
      <c r="C2796" s="14" t="s">
        <v>2708</v>
      </c>
      <c r="D2796" s="14" t="s">
        <v>2278</v>
      </c>
      <c r="E2796" s="15"/>
      <c r="F2796" s="16">
        <v>50</v>
      </c>
      <c r="G2796" s="16">
        <f t="shared" si="145"/>
        <v>50</v>
      </c>
      <c r="H2796" s="23">
        <v>50</v>
      </c>
      <c r="I2796" s="16">
        <f t="shared" si="146"/>
        <v>0</v>
      </c>
      <c r="J2796" s="17" t="str">
        <f t="shared" si="144"/>
        <v>PAGADO</v>
      </c>
      <c r="K2796" s="60" t="s">
        <v>693</v>
      </c>
      <c r="L2796" s="18" t="s">
        <v>2709</v>
      </c>
    </row>
    <row r="2797" spans="1:12" x14ac:dyDescent="0.25">
      <c r="A2797">
        <v>2025</v>
      </c>
      <c r="C2797" s="9" t="s">
        <v>2710</v>
      </c>
      <c r="D2797" s="9" t="s">
        <v>1736</v>
      </c>
      <c r="F2797" s="26">
        <v>20</v>
      </c>
      <c r="G2797" s="26">
        <f t="shared" si="145"/>
        <v>20</v>
      </c>
      <c r="H2797" s="26">
        <v>20</v>
      </c>
      <c r="I2797" s="26">
        <f t="shared" si="146"/>
        <v>0</v>
      </c>
      <c r="J2797" s="7" t="str">
        <f t="shared" si="144"/>
        <v>PAGADO</v>
      </c>
    </row>
    <row r="2798" spans="1:12" x14ac:dyDescent="0.25">
      <c r="A2798">
        <v>2025</v>
      </c>
      <c r="C2798" s="33" t="s">
        <v>2711</v>
      </c>
      <c r="D2798" s="9" t="s">
        <v>2360</v>
      </c>
      <c r="F2798" s="6">
        <v>120</v>
      </c>
      <c r="G2798" s="6">
        <f t="shared" si="145"/>
        <v>120</v>
      </c>
      <c r="H2798" s="6">
        <v>120</v>
      </c>
      <c r="I2798" s="26">
        <f t="shared" si="146"/>
        <v>0</v>
      </c>
      <c r="J2798" s="7" t="str">
        <f t="shared" si="144"/>
        <v>PAGADO</v>
      </c>
      <c r="K2798" s="33" t="s">
        <v>2712</v>
      </c>
    </row>
    <row r="2799" spans="1:12" x14ac:dyDescent="0.25">
      <c r="A2799">
        <v>2025</v>
      </c>
      <c r="C2799" s="9" t="s">
        <v>2713</v>
      </c>
      <c r="D2799" s="9" t="s">
        <v>1425</v>
      </c>
      <c r="F2799" s="6">
        <v>30</v>
      </c>
      <c r="G2799" s="6">
        <f t="shared" si="145"/>
        <v>30</v>
      </c>
      <c r="H2799" s="6">
        <v>30</v>
      </c>
      <c r="I2799" s="26">
        <f t="shared" si="146"/>
        <v>0</v>
      </c>
      <c r="J2799" s="7" t="str">
        <f t="shared" si="144"/>
        <v>PAGADO</v>
      </c>
      <c r="K2799" s="9" t="s">
        <v>2714</v>
      </c>
    </row>
    <row r="2800" spans="1:12" x14ac:dyDescent="0.25">
      <c r="A2800">
        <v>2025</v>
      </c>
      <c r="C2800" s="9" t="s">
        <v>723</v>
      </c>
      <c r="D2800" s="9" t="s">
        <v>1679</v>
      </c>
      <c r="F2800" s="6">
        <v>52</v>
      </c>
      <c r="G2800" s="6">
        <f t="shared" si="145"/>
        <v>52</v>
      </c>
      <c r="H2800" s="6">
        <v>52</v>
      </c>
      <c r="I2800" s="26">
        <f t="shared" si="146"/>
        <v>0</v>
      </c>
      <c r="J2800" s="7" t="str">
        <f t="shared" si="144"/>
        <v>PAGADO</v>
      </c>
    </row>
    <row r="2801" spans="1:11" x14ac:dyDescent="0.25">
      <c r="A2801">
        <v>2025</v>
      </c>
      <c r="C2801" s="9" t="s">
        <v>2715</v>
      </c>
      <c r="D2801" s="9" t="s">
        <v>1679</v>
      </c>
      <c r="F2801" s="6">
        <v>52</v>
      </c>
      <c r="G2801" s="6">
        <f t="shared" si="145"/>
        <v>52</v>
      </c>
      <c r="H2801" s="6">
        <v>52</v>
      </c>
      <c r="I2801" s="26">
        <f t="shared" si="146"/>
        <v>0</v>
      </c>
      <c r="J2801" s="7" t="str">
        <f t="shared" si="144"/>
        <v>PAGADO</v>
      </c>
    </row>
    <row r="2802" spans="1:11" x14ac:dyDescent="0.25">
      <c r="A2802">
        <v>2025</v>
      </c>
      <c r="C2802" s="9" t="s">
        <v>715</v>
      </c>
      <c r="D2802" s="9" t="s">
        <v>1679</v>
      </c>
      <c r="F2802" s="6">
        <v>52</v>
      </c>
      <c r="G2802" s="6">
        <f t="shared" si="145"/>
        <v>52</v>
      </c>
      <c r="H2802" s="6">
        <v>52</v>
      </c>
      <c r="I2802" s="26">
        <f t="shared" si="146"/>
        <v>0</v>
      </c>
      <c r="J2802" s="7" t="str">
        <f t="shared" si="144"/>
        <v>PAGADO</v>
      </c>
    </row>
    <row r="2803" spans="1:11" x14ac:dyDescent="0.25">
      <c r="A2803">
        <v>2025</v>
      </c>
      <c r="C2803" s="9" t="s">
        <v>2716</v>
      </c>
      <c r="D2803" s="9" t="s">
        <v>1679</v>
      </c>
      <c r="F2803" s="6">
        <v>52</v>
      </c>
      <c r="G2803" s="6">
        <f t="shared" si="145"/>
        <v>52</v>
      </c>
      <c r="H2803" s="6">
        <v>52</v>
      </c>
      <c r="I2803" s="26">
        <f t="shared" si="146"/>
        <v>0</v>
      </c>
      <c r="J2803" s="7" t="str">
        <f t="shared" si="144"/>
        <v>PAGADO</v>
      </c>
    </row>
    <row r="2804" spans="1:11" x14ac:dyDescent="0.25">
      <c r="A2804">
        <v>2025</v>
      </c>
      <c r="C2804" s="9" t="s">
        <v>2717</v>
      </c>
      <c r="D2804" s="9" t="s">
        <v>1679</v>
      </c>
      <c r="F2804" s="6">
        <v>52</v>
      </c>
      <c r="G2804" s="6">
        <f t="shared" si="145"/>
        <v>52</v>
      </c>
      <c r="H2804" s="6">
        <v>52</v>
      </c>
      <c r="I2804" s="26">
        <f t="shared" si="146"/>
        <v>0</v>
      </c>
      <c r="J2804" s="7" t="str">
        <f t="shared" si="144"/>
        <v>PAGADO</v>
      </c>
    </row>
    <row r="2805" spans="1:11" x14ac:dyDescent="0.25">
      <c r="A2805">
        <v>2025</v>
      </c>
      <c r="C2805" s="9" t="s">
        <v>2718</v>
      </c>
      <c r="D2805" s="9" t="s">
        <v>1736</v>
      </c>
      <c r="F2805" s="26">
        <v>100</v>
      </c>
      <c r="G2805" s="26">
        <f t="shared" si="145"/>
        <v>100</v>
      </c>
      <c r="H2805" s="26">
        <v>100</v>
      </c>
      <c r="I2805" s="26">
        <f t="shared" si="146"/>
        <v>0</v>
      </c>
      <c r="J2805" s="7" t="str">
        <f t="shared" si="144"/>
        <v>PAGADO</v>
      </c>
    </row>
    <row r="2806" spans="1:11" x14ac:dyDescent="0.25">
      <c r="A2806">
        <v>2025</v>
      </c>
      <c r="C2806" s="9" t="s">
        <v>2719</v>
      </c>
      <c r="D2806" s="9" t="s">
        <v>2530</v>
      </c>
      <c r="F2806" s="6">
        <v>160</v>
      </c>
      <c r="G2806" s="6">
        <f t="shared" si="145"/>
        <v>160</v>
      </c>
      <c r="H2806" s="26">
        <v>160</v>
      </c>
      <c r="I2806" s="26">
        <f t="shared" si="146"/>
        <v>0</v>
      </c>
      <c r="J2806" s="7" t="str">
        <f t="shared" si="144"/>
        <v>PAGADO</v>
      </c>
      <c r="K2806" s="33" t="s">
        <v>693</v>
      </c>
    </row>
    <row r="2807" spans="1:11" x14ac:dyDescent="0.25">
      <c r="A2807">
        <v>2025</v>
      </c>
      <c r="C2807" s="9" t="s">
        <v>2720</v>
      </c>
      <c r="D2807" s="9" t="s">
        <v>2530</v>
      </c>
      <c r="F2807" s="6">
        <v>60</v>
      </c>
      <c r="G2807" s="6">
        <f t="shared" si="145"/>
        <v>60</v>
      </c>
      <c r="H2807" s="26">
        <v>60</v>
      </c>
      <c r="I2807" s="26">
        <f t="shared" si="146"/>
        <v>0</v>
      </c>
      <c r="J2807" s="7" t="str">
        <f t="shared" si="144"/>
        <v>PAGADO</v>
      </c>
      <c r="K2807" s="33" t="s">
        <v>693</v>
      </c>
    </row>
    <row r="2808" spans="1:11" x14ac:dyDescent="0.25">
      <c r="A2808">
        <v>2025</v>
      </c>
      <c r="C2808" s="9" t="s">
        <v>2721</v>
      </c>
      <c r="D2808" s="9" t="s">
        <v>2685</v>
      </c>
      <c r="F2808" s="6">
        <v>60</v>
      </c>
      <c r="G2808" s="6">
        <f t="shared" si="145"/>
        <v>60</v>
      </c>
      <c r="H2808" s="6">
        <v>60</v>
      </c>
      <c r="I2808" s="26">
        <f t="shared" si="146"/>
        <v>0</v>
      </c>
      <c r="J2808" s="7" t="str">
        <f t="shared" ref="J2808:J2871" si="147">IF(I2808&gt;0,"DEBE","PAGADO")</f>
        <v>PAGADO</v>
      </c>
    </row>
    <row r="2809" spans="1:11" x14ac:dyDescent="0.25">
      <c r="A2809">
        <v>2025</v>
      </c>
      <c r="C2809" s="9" t="s">
        <v>2722</v>
      </c>
      <c r="D2809" s="9" t="s">
        <v>1685</v>
      </c>
      <c r="F2809" s="6">
        <v>55</v>
      </c>
      <c r="G2809" s="6">
        <f t="shared" si="145"/>
        <v>55</v>
      </c>
      <c r="H2809" s="6">
        <v>55</v>
      </c>
      <c r="I2809" s="26">
        <f t="shared" si="146"/>
        <v>0</v>
      </c>
      <c r="J2809" s="7" t="str">
        <f t="shared" si="147"/>
        <v>PAGADO</v>
      </c>
    </row>
    <row r="2810" spans="1:11" x14ac:dyDescent="0.25">
      <c r="A2810">
        <v>2025</v>
      </c>
      <c r="C2810" s="9" t="s">
        <v>2723</v>
      </c>
      <c r="D2810" s="9" t="s">
        <v>2548</v>
      </c>
      <c r="F2810" s="6">
        <v>1200</v>
      </c>
      <c r="G2810" s="6">
        <f t="shared" si="145"/>
        <v>1200</v>
      </c>
      <c r="H2810" s="6">
        <f>600+600</f>
        <v>1200</v>
      </c>
      <c r="I2810" s="26">
        <f t="shared" si="146"/>
        <v>0</v>
      </c>
      <c r="J2810" s="7" t="str">
        <f t="shared" si="147"/>
        <v>PAGADO</v>
      </c>
    </row>
    <row r="2811" spans="1:11" x14ac:dyDescent="0.25">
      <c r="A2811">
        <v>2025</v>
      </c>
      <c r="C2811" s="9" t="s">
        <v>2724</v>
      </c>
      <c r="D2811" s="9" t="s">
        <v>2530</v>
      </c>
      <c r="F2811" s="6">
        <v>80</v>
      </c>
      <c r="G2811" s="6">
        <f t="shared" si="145"/>
        <v>80</v>
      </c>
      <c r="H2811" s="27">
        <f>40+40</f>
        <v>80</v>
      </c>
      <c r="I2811" s="26">
        <f t="shared" si="146"/>
        <v>0</v>
      </c>
      <c r="J2811" s="7" t="str">
        <f t="shared" si="147"/>
        <v>PAGADO</v>
      </c>
      <c r="K2811" s="33" t="s">
        <v>693</v>
      </c>
    </row>
    <row r="2812" spans="1:11" x14ac:dyDescent="0.25">
      <c r="A2812">
        <v>2025</v>
      </c>
      <c r="C2812" s="9" t="s">
        <v>2725</v>
      </c>
      <c r="D2812" s="9" t="s">
        <v>2530</v>
      </c>
      <c r="F2812" s="6">
        <v>65</v>
      </c>
      <c r="G2812" s="6">
        <f t="shared" si="145"/>
        <v>65</v>
      </c>
      <c r="H2812" s="26">
        <f>32.5+32.5</f>
        <v>65</v>
      </c>
      <c r="I2812" s="26">
        <f t="shared" si="146"/>
        <v>0</v>
      </c>
      <c r="J2812" s="7" t="str">
        <f t="shared" si="147"/>
        <v>PAGADO</v>
      </c>
      <c r="K2812" s="33" t="s">
        <v>2258</v>
      </c>
    </row>
    <row r="2813" spans="1:11" x14ac:dyDescent="0.25">
      <c r="A2813">
        <v>2025</v>
      </c>
      <c r="C2813" s="9" t="s">
        <v>2585</v>
      </c>
      <c r="D2813" s="9" t="s">
        <v>2530</v>
      </c>
      <c r="F2813" s="6">
        <v>65</v>
      </c>
      <c r="G2813" s="6">
        <f t="shared" si="145"/>
        <v>65</v>
      </c>
      <c r="H2813" s="26">
        <f>32.5+32.5</f>
        <v>65</v>
      </c>
      <c r="I2813" s="26">
        <f t="shared" si="146"/>
        <v>0</v>
      </c>
      <c r="J2813" s="7" t="str">
        <f t="shared" si="147"/>
        <v>PAGADO</v>
      </c>
      <c r="K2813" s="33" t="s">
        <v>2258</v>
      </c>
    </row>
    <row r="2814" spans="1:11" x14ac:dyDescent="0.25">
      <c r="A2814">
        <v>2025</v>
      </c>
      <c r="C2814" s="9" t="s">
        <v>2726</v>
      </c>
      <c r="D2814" s="9" t="s">
        <v>2530</v>
      </c>
      <c r="F2814" s="6">
        <v>75</v>
      </c>
      <c r="G2814" s="6">
        <f t="shared" ref="G2814:G2877" si="148">F2814-E2814</f>
        <v>75</v>
      </c>
      <c r="H2814" s="26">
        <f>37.5+37.5</f>
        <v>75</v>
      </c>
      <c r="I2814" s="26">
        <f t="shared" si="146"/>
        <v>0</v>
      </c>
      <c r="J2814" s="7" t="str">
        <f t="shared" si="147"/>
        <v>PAGADO</v>
      </c>
      <c r="K2814" s="33" t="s">
        <v>2258</v>
      </c>
    </row>
    <row r="2815" spans="1:11" x14ac:dyDescent="0.25">
      <c r="A2815">
        <v>2025</v>
      </c>
      <c r="C2815" s="9" t="s">
        <v>2725</v>
      </c>
      <c r="D2815" s="9" t="s">
        <v>1504</v>
      </c>
      <c r="F2815" s="6">
        <v>65</v>
      </c>
      <c r="G2815" s="6">
        <f t="shared" si="148"/>
        <v>65</v>
      </c>
      <c r="H2815" s="6">
        <v>65</v>
      </c>
      <c r="I2815" s="26">
        <f t="shared" si="146"/>
        <v>0</v>
      </c>
      <c r="J2815" s="7" t="str">
        <f t="shared" si="147"/>
        <v>PAGADO</v>
      </c>
      <c r="K2815" s="33" t="s">
        <v>693</v>
      </c>
    </row>
    <row r="2816" spans="1:11" x14ac:dyDescent="0.25">
      <c r="A2816">
        <v>2025</v>
      </c>
      <c r="C2816" s="9" t="s">
        <v>2726</v>
      </c>
      <c r="D2816" s="9" t="s">
        <v>1504</v>
      </c>
      <c r="F2816" s="6">
        <v>75</v>
      </c>
      <c r="G2816" s="6">
        <f t="shared" si="148"/>
        <v>75</v>
      </c>
      <c r="H2816" s="6">
        <v>75</v>
      </c>
      <c r="I2816" s="26">
        <f t="shared" si="146"/>
        <v>0</v>
      </c>
      <c r="J2816" s="7" t="str">
        <f t="shared" si="147"/>
        <v>PAGADO</v>
      </c>
      <c r="K2816" s="33" t="s">
        <v>693</v>
      </c>
    </row>
    <row r="2817" spans="1:12" x14ac:dyDescent="0.25">
      <c r="A2817">
        <v>2025</v>
      </c>
      <c r="C2817" s="9" t="s">
        <v>2725</v>
      </c>
      <c r="D2817" s="9" t="s">
        <v>2275</v>
      </c>
      <c r="F2817" s="6">
        <v>65</v>
      </c>
      <c r="G2817" s="6">
        <f t="shared" si="148"/>
        <v>65</v>
      </c>
      <c r="H2817" s="26">
        <f>30+35</f>
        <v>65</v>
      </c>
      <c r="I2817" s="26">
        <f t="shared" si="146"/>
        <v>0</v>
      </c>
      <c r="J2817" s="7" t="str">
        <f t="shared" si="147"/>
        <v>PAGADO</v>
      </c>
      <c r="K2817" s="9" t="s">
        <v>693</v>
      </c>
    </row>
    <row r="2818" spans="1:12" x14ac:dyDescent="0.25">
      <c r="A2818">
        <v>2025</v>
      </c>
      <c r="C2818" s="9" t="s">
        <v>2726</v>
      </c>
      <c r="D2818" s="9" t="s">
        <v>2275</v>
      </c>
      <c r="F2818" s="6">
        <v>75</v>
      </c>
      <c r="G2818" s="6">
        <f t="shared" si="148"/>
        <v>75</v>
      </c>
      <c r="H2818" s="26">
        <f>30+45</f>
        <v>75</v>
      </c>
      <c r="I2818" s="26">
        <f t="shared" si="146"/>
        <v>0</v>
      </c>
      <c r="J2818" s="7" t="str">
        <f t="shared" si="147"/>
        <v>PAGADO</v>
      </c>
      <c r="K2818" s="9" t="s">
        <v>693</v>
      </c>
    </row>
    <row r="2819" spans="1:12" x14ac:dyDescent="0.25">
      <c r="A2819">
        <v>2025</v>
      </c>
      <c r="C2819" s="9" t="s">
        <v>2727</v>
      </c>
      <c r="D2819" s="9" t="s">
        <v>2278</v>
      </c>
      <c r="F2819" s="6">
        <v>150</v>
      </c>
      <c r="G2819" s="6">
        <f t="shared" si="148"/>
        <v>150</v>
      </c>
      <c r="H2819" s="72">
        <v>150</v>
      </c>
      <c r="I2819" s="26">
        <f t="shared" si="146"/>
        <v>0</v>
      </c>
      <c r="J2819" s="7" t="str">
        <f t="shared" si="147"/>
        <v>PAGADO</v>
      </c>
      <c r="K2819" s="33" t="s">
        <v>2479</v>
      </c>
    </row>
    <row r="2820" spans="1:12" x14ac:dyDescent="0.25">
      <c r="A2820">
        <v>2025</v>
      </c>
      <c r="C2820" s="9" t="s">
        <v>2728</v>
      </c>
      <c r="D2820" s="9" t="s">
        <v>2278</v>
      </c>
      <c r="F2820" s="6">
        <v>150</v>
      </c>
      <c r="G2820" s="6">
        <f t="shared" si="148"/>
        <v>150</v>
      </c>
      <c r="H2820" s="72">
        <v>150</v>
      </c>
      <c r="I2820" s="26">
        <f t="shared" si="146"/>
        <v>0</v>
      </c>
      <c r="J2820" s="7" t="str">
        <f t="shared" si="147"/>
        <v>PAGADO</v>
      </c>
      <c r="K2820" s="33" t="s">
        <v>2479</v>
      </c>
    </row>
    <row r="2821" spans="1:12" x14ac:dyDescent="0.25">
      <c r="A2821">
        <v>2025</v>
      </c>
      <c r="C2821" s="14" t="s">
        <v>2614</v>
      </c>
      <c r="D2821" s="14" t="s">
        <v>2278</v>
      </c>
      <c r="F2821" s="6">
        <v>80</v>
      </c>
      <c r="G2821" s="6">
        <f t="shared" si="148"/>
        <v>80</v>
      </c>
      <c r="H2821" s="72">
        <v>80</v>
      </c>
      <c r="I2821" s="26">
        <f t="shared" si="146"/>
        <v>0</v>
      </c>
      <c r="J2821" s="7" t="str">
        <f t="shared" si="147"/>
        <v>PAGADO</v>
      </c>
      <c r="K2821" s="33" t="s">
        <v>2479</v>
      </c>
      <c r="L2821" s="9" t="s">
        <v>2729</v>
      </c>
    </row>
    <row r="2822" spans="1:12" x14ac:dyDescent="0.25">
      <c r="A2822">
        <v>2025</v>
      </c>
      <c r="C2822" s="9" t="s">
        <v>2730</v>
      </c>
      <c r="D2822" s="9" t="s">
        <v>2278</v>
      </c>
      <c r="F2822" s="6">
        <v>150</v>
      </c>
      <c r="G2822" s="6">
        <f t="shared" si="148"/>
        <v>150</v>
      </c>
      <c r="H2822" s="72">
        <v>150</v>
      </c>
      <c r="I2822" s="26">
        <f t="shared" si="146"/>
        <v>0</v>
      </c>
      <c r="J2822" s="7" t="str">
        <f t="shared" si="147"/>
        <v>PAGADO</v>
      </c>
      <c r="K2822" s="33" t="s">
        <v>2479</v>
      </c>
    </row>
    <row r="2823" spans="1:12" x14ac:dyDescent="0.25">
      <c r="A2823">
        <v>2025</v>
      </c>
      <c r="C2823" s="9" t="s">
        <v>2731</v>
      </c>
      <c r="D2823" s="9" t="s">
        <v>2278</v>
      </c>
      <c r="F2823" s="6">
        <v>150</v>
      </c>
      <c r="G2823" s="6">
        <f t="shared" si="148"/>
        <v>150</v>
      </c>
      <c r="H2823" s="72">
        <v>150</v>
      </c>
      <c r="I2823" s="26">
        <f t="shared" si="146"/>
        <v>0</v>
      </c>
      <c r="J2823" s="7" t="str">
        <f t="shared" si="147"/>
        <v>PAGADO</v>
      </c>
      <c r="K2823" s="33" t="s">
        <v>2479</v>
      </c>
    </row>
    <row r="2824" spans="1:12" x14ac:dyDescent="0.25">
      <c r="A2824">
        <v>2025</v>
      </c>
      <c r="C2824" s="9" t="s">
        <v>2732</v>
      </c>
      <c r="D2824" s="9" t="s">
        <v>2278</v>
      </c>
      <c r="F2824" s="6">
        <v>150</v>
      </c>
      <c r="G2824" s="6">
        <f t="shared" si="148"/>
        <v>150</v>
      </c>
      <c r="H2824" s="72">
        <v>150</v>
      </c>
      <c r="I2824" s="26">
        <f t="shared" si="146"/>
        <v>0</v>
      </c>
      <c r="J2824" s="7" t="str">
        <f t="shared" si="147"/>
        <v>PAGADO</v>
      </c>
      <c r="K2824" s="33" t="s">
        <v>2479</v>
      </c>
    </row>
    <row r="2825" spans="1:12" x14ac:dyDescent="0.25">
      <c r="A2825">
        <v>2025</v>
      </c>
      <c r="C2825" s="9" t="s">
        <v>2733</v>
      </c>
      <c r="D2825" s="9" t="s">
        <v>2278</v>
      </c>
      <c r="F2825" s="6">
        <v>150</v>
      </c>
      <c r="G2825" s="6">
        <f t="shared" si="148"/>
        <v>150</v>
      </c>
      <c r="H2825" s="16">
        <v>150</v>
      </c>
      <c r="I2825" s="26">
        <f t="shared" si="146"/>
        <v>0</v>
      </c>
      <c r="J2825" s="7" t="str">
        <f t="shared" si="147"/>
        <v>PAGADO</v>
      </c>
      <c r="K2825" s="33" t="s">
        <v>2479</v>
      </c>
    </row>
    <row r="2826" spans="1:12" x14ac:dyDescent="0.25">
      <c r="A2826">
        <v>2025</v>
      </c>
      <c r="C2826" s="9" t="s">
        <v>2734</v>
      </c>
      <c r="D2826" s="9" t="s">
        <v>2363</v>
      </c>
      <c r="F2826" s="6">
        <v>80</v>
      </c>
      <c r="G2826" s="6">
        <f t="shared" si="148"/>
        <v>80</v>
      </c>
      <c r="H2826" s="6">
        <v>80</v>
      </c>
      <c r="I2826" s="26">
        <f t="shared" si="146"/>
        <v>0</v>
      </c>
      <c r="J2826" s="7" t="str">
        <f t="shared" si="147"/>
        <v>PAGADO</v>
      </c>
      <c r="K2826" s="33" t="s">
        <v>693</v>
      </c>
    </row>
    <row r="2827" spans="1:12" x14ac:dyDescent="0.25">
      <c r="A2827">
        <v>2025</v>
      </c>
      <c r="C2827" s="9" t="s">
        <v>2735</v>
      </c>
      <c r="D2827" s="9" t="s">
        <v>2363</v>
      </c>
      <c r="F2827" s="6">
        <v>70</v>
      </c>
      <c r="G2827" s="6">
        <f t="shared" si="148"/>
        <v>70</v>
      </c>
      <c r="H2827" s="6">
        <v>70</v>
      </c>
      <c r="I2827" s="26">
        <f t="shared" si="146"/>
        <v>0</v>
      </c>
      <c r="J2827" s="7" t="str">
        <f t="shared" si="147"/>
        <v>PAGADO</v>
      </c>
      <c r="K2827" s="33" t="s">
        <v>693</v>
      </c>
    </row>
    <row r="2828" spans="1:12" x14ac:dyDescent="0.25">
      <c r="A2828">
        <v>2025</v>
      </c>
      <c r="C2828" s="9" t="s">
        <v>2736</v>
      </c>
      <c r="D2828" s="9" t="s">
        <v>2363</v>
      </c>
      <c r="F2828" s="6">
        <v>35</v>
      </c>
      <c r="G2828" s="6">
        <f t="shared" si="148"/>
        <v>35</v>
      </c>
      <c r="H2828" s="6">
        <v>35</v>
      </c>
      <c r="I2828" s="26">
        <f t="shared" si="146"/>
        <v>0</v>
      </c>
      <c r="J2828" s="7" t="str">
        <f t="shared" si="147"/>
        <v>PAGADO</v>
      </c>
      <c r="K2828" s="33" t="s">
        <v>693</v>
      </c>
    </row>
    <row r="2829" spans="1:12" x14ac:dyDescent="0.25">
      <c r="A2829">
        <v>2025</v>
      </c>
      <c r="C2829" s="9" t="s">
        <v>2737</v>
      </c>
      <c r="D2829" s="9" t="s">
        <v>2363</v>
      </c>
      <c r="F2829" s="6">
        <v>40</v>
      </c>
      <c r="G2829" s="6">
        <f t="shared" si="148"/>
        <v>40</v>
      </c>
      <c r="H2829" s="6">
        <v>40</v>
      </c>
      <c r="I2829" s="26">
        <f t="shared" si="146"/>
        <v>0</v>
      </c>
      <c r="J2829" s="7" t="str">
        <f t="shared" si="147"/>
        <v>PAGADO</v>
      </c>
      <c r="K2829" s="33" t="s">
        <v>693</v>
      </c>
    </row>
    <row r="2830" spans="1:12" x14ac:dyDescent="0.25">
      <c r="A2830">
        <v>2025</v>
      </c>
      <c r="C2830" s="9" t="s">
        <v>2738</v>
      </c>
      <c r="D2830" s="9" t="s">
        <v>2739</v>
      </c>
      <c r="F2830" s="6">
        <v>140</v>
      </c>
      <c r="G2830" s="6">
        <f t="shared" si="148"/>
        <v>140</v>
      </c>
      <c r="H2830" s="6">
        <v>140</v>
      </c>
      <c r="I2830" s="26">
        <f t="shared" si="146"/>
        <v>0</v>
      </c>
      <c r="J2830" s="7" t="str">
        <f t="shared" si="147"/>
        <v>PAGADO</v>
      </c>
    </row>
    <row r="2831" spans="1:12" x14ac:dyDescent="0.25">
      <c r="A2831">
        <v>2025</v>
      </c>
      <c r="C2831" s="9" t="s">
        <v>2740</v>
      </c>
      <c r="D2831" s="9" t="s">
        <v>2741</v>
      </c>
      <c r="F2831" s="6">
        <v>170</v>
      </c>
      <c r="G2831" s="6">
        <f t="shared" si="148"/>
        <v>170</v>
      </c>
      <c r="H2831" s="6">
        <v>170</v>
      </c>
      <c r="I2831" s="26">
        <f t="shared" si="146"/>
        <v>0</v>
      </c>
      <c r="J2831" s="7" t="str">
        <f t="shared" si="147"/>
        <v>PAGADO</v>
      </c>
    </row>
    <row r="2832" spans="1:12" x14ac:dyDescent="0.25">
      <c r="A2832">
        <v>2025</v>
      </c>
      <c r="C2832" s="9" t="s">
        <v>2742</v>
      </c>
      <c r="D2832" s="9" t="s">
        <v>2741</v>
      </c>
      <c r="F2832" s="6">
        <v>170</v>
      </c>
      <c r="G2832" s="6">
        <f t="shared" si="148"/>
        <v>170</v>
      </c>
      <c r="H2832" s="6">
        <v>170</v>
      </c>
      <c r="I2832" s="26">
        <f t="shared" si="146"/>
        <v>0</v>
      </c>
      <c r="J2832" s="7" t="str">
        <f t="shared" si="147"/>
        <v>PAGADO</v>
      </c>
    </row>
    <row r="2833" spans="1:13" x14ac:dyDescent="0.25">
      <c r="A2833">
        <v>2025</v>
      </c>
      <c r="C2833" s="9" t="s">
        <v>2735</v>
      </c>
      <c r="D2833" s="9" t="s">
        <v>2741</v>
      </c>
      <c r="F2833" s="6">
        <v>80</v>
      </c>
      <c r="G2833" s="6">
        <f t="shared" si="148"/>
        <v>80</v>
      </c>
      <c r="H2833" s="6">
        <v>80</v>
      </c>
      <c r="I2833" s="26">
        <f t="shared" si="146"/>
        <v>0</v>
      </c>
      <c r="J2833" s="7" t="str">
        <f t="shared" si="147"/>
        <v>PAGADO</v>
      </c>
    </row>
    <row r="2834" spans="1:13" x14ac:dyDescent="0.25">
      <c r="A2834">
        <v>2025</v>
      </c>
      <c r="C2834" s="9" t="s">
        <v>2743</v>
      </c>
      <c r="D2834" t="s">
        <v>2744</v>
      </c>
      <c r="F2834" s="6">
        <v>180</v>
      </c>
      <c r="G2834" s="6">
        <f t="shared" si="148"/>
        <v>180</v>
      </c>
      <c r="H2834" s="6">
        <f>70+110</f>
        <v>180</v>
      </c>
      <c r="I2834" s="26">
        <f t="shared" ref="I2834:I2897" si="149">F2834-H2834</f>
        <v>0</v>
      </c>
      <c r="J2834" s="7" t="str">
        <f t="shared" si="147"/>
        <v>PAGADO</v>
      </c>
    </row>
    <row r="2835" spans="1:13" x14ac:dyDescent="0.25">
      <c r="A2835">
        <v>2025</v>
      </c>
      <c r="C2835" s="9" t="s">
        <v>2745</v>
      </c>
      <c r="D2835" t="s">
        <v>2746</v>
      </c>
      <c r="F2835" s="6">
        <f>60*4</f>
        <v>240</v>
      </c>
      <c r="G2835" s="6">
        <f t="shared" si="148"/>
        <v>240</v>
      </c>
      <c r="H2835" s="6">
        <v>240</v>
      </c>
      <c r="I2835" s="26">
        <f t="shared" si="149"/>
        <v>0</v>
      </c>
      <c r="J2835" s="7" t="str">
        <f t="shared" si="147"/>
        <v>PAGADO</v>
      </c>
    </row>
    <row r="2836" spans="1:13" x14ac:dyDescent="0.25">
      <c r="A2836">
        <v>2025</v>
      </c>
      <c r="C2836" s="9" t="s">
        <v>2747</v>
      </c>
      <c r="D2836" t="s">
        <v>2746</v>
      </c>
      <c r="F2836" s="6">
        <v>60</v>
      </c>
      <c r="G2836" s="6">
        <f t="shared" si="148"/>
        <v>60</v>
      </c>
      <c r="H2836" s="6">
        <v>60</v>
      </c>
      <c r="I2836" s="26">
        <f t="shared" si="149"/>
        <v>0</v>
      </c>
      <c r="J2836" s="7" t="str">
        <f t="shared" si="147"/>
        <v>PAGADO</v>
      </c>
    </row>
    <row r="2837" spans="1:13" x14ac:dyDescent="0.25">
      <c r="A2837">
        <v>2025</v>
      </c>
      <c r="C2837" s="9" t="s">
        <v>2748</v>
      </c>
      <c r="D2837" s="9" t="s">
        <v>680</v>
      </c>
      <c r="F2837" s="6">
        <v>60</v>
      </c>
      <c r="G2837" s="6">
        <f t="shared" si="148"/>
        <v>60</v>
      </c>
      <c r="H2837" s="6">
        <f>30+30</f>
        <v>60</v>
      </c>
      <c r="I2837" s="26">
        <f t="shared" si="149"/>
        <v>0</v>
      </c>
      <c r="J2837" s="7" t="str">
        <f t="shared" si="147"/>
        <v>PAGADO</v>
      </c>
    </row>
    <row r="2838" spans="1:13" x14ac:dyDescent="0.25">
      <c r="A2838">
        <v>2025</v>
      </c>
      <c r="C2838" s="9" t="s">
        <v>1262</v>
      </c>
      <c r="D2838" s="9" t="s">
        <v>2749</v>
      </c>
      <c r="F2838" s="6">
        <v>90</v>
      </c>
      <c r="G2838" s="6">
        <f t="shared" si="148"/>
        <v>90</v>
      </c>
      <c r="H2838" s="6">
        <v>90</v>
      </c>
      <c r="I2838" s="26">
        <f t="shared" si="149"/>
        <v>0</v>
      </c>
      <c r="J2838" s="7" t="str">
        <f t="shared" si="147"/>
        <v>PAGADO</v>
      </c>
    </row>
    <row r="2839" spans="1:13" x14ac:dyDescent="0.25">
      <c r="A2839">
        <v>2025</v>
      </c>
      <c r="C2839" s="9" t="s">
        <v>2750</v>
      </c>
      <c r="D2839" s="9" t="s">
        <v>2045</v>
      </c>
      <c r="F2839" s="6">
        <v>80</v>
      </c>
      <c r="G2839" s="6">
        <f t="shared" si="148"/>
        <v>80</v>
      </c>
      <c r="H2839" s="6">
        <v>80</v>
      </c>
      <c r="I2839" s="26">
        <f t="shared" si="149"/>
        <v>0</v>
      </c>
      <c r="J2839" s="7" t="str">
        <f t="shared" si="147"/>
        <v>PAGADO</v>
      </c>
    </row>
    <row r="2840" spans="1:13" x14ac:dyDescent="0.25">
      <c r="A2840">
        <v>2025</v>
      </c>
      <c r="C2840" s="9" t="s">
        <v>2751</v>
      </c>
      <c r="D2840" s="9" t="s">
        <v>2045</v>
      </c>
      <c r="F2840" s="6">
        <v>15</v>
      </c>
      <c r="G2840" s="6">
        <f t="shared" si="148"/>
        <v>15</v>
      </c>
      <c r="H2840" s="6">
        <v>15</v>
      </c>
      <c r="I2840" s="26">
        <f t="shared" si="149"/>
        <v>0</v>
      </c>
      <c r="J2840" s="7" t="str">
        <f t="shared" si="147"/>
        <v>PAGADO</v>
      </c>
    </row>
    <row r="2841" spans="1:13" x14ac:dyDescent="0.25">
      <c r="A2841">
        <v>2025</v>
      </c>
      <c r="C2841" s="9" t="s">
        <v>2725</v>
      </c>
      <c r="D2841" s="9" t="s">
        <v>2683</v>
      </c>
      <c r="F2841" s="6">
        <v>60</v>
      </c>
      <c r="G2841" s="6">
        <f t="shared" si="148"/>
        <v>60</v>
      </c>
      <c r="H2841" s="6">
        <f>30+30</f>
        <v>60</v>
      </c>
      <c r="I2841" s="26">
        <f t="shared" si="149"/>
        <v>0</v>
      </c>
      <c r="J2841" s="7" t="str">
        <f t="shared" si="147"/>
        <v>PAGADO</v>
      </c>
      <c r="K2841" s="33" t="s">
        <v>2258</v>
      </c>
    </row>
    <row r="2842" spans="1:13" x14ac:dyDescent="0.25">
      <c r="A2842">
        <v>2025</v>
      </c>
      <c r="C2842" s="9" t="s">
        <v>2585</v>
      </c>
      <c r="D2842" s="9" t="s">
        <v>2683</v>
      </c>
      <c r="F2842" s="6">
        <v>65</v>
      </c>
      <c r="G2842" s="6">
        <f t="shared" si="148"/>
        <v>65</v>
      </c>
      <c r="H2842" s="6">
        <f>32.5+32.5</f>
        <v>65</v>
      </c>
      <c r="I2842" s="26">
        <f t="shared" si="149"/>
        <v>0</v>
      </c>
      <c r="J2842" s="7" t="str">
        <f t="shared" si="147"/>
        <v>PAGADO</v>
      </c>
      <c r="K2842" s="33" t="s">
        <v>2258</v>
      </c>
    </row>
    <row r="2843" spans="1:13" x14ac:dyDescent="0.25">
      <c r="A2843">
        <v>2025</v>
      </c>
      <c r="C2843" s="9" t="s">
        <v>2726</v>
      </c>
      <c r="D2843" s="9" t="s">
        <v>2683</v>
      </c>
      <c r="F2843" s="6">
        <v>75</v>
      </c>
      <c r="G2843" s="6">
        <f t="shared" si="148"/>
        <v>75</v>
      </c>
      <c r="H2843" s="6">
        <f>37.5+37.5</f>
        <v>75</v>
      </c>
      <c r="I2843" s="26">
        <f t="shared" si="149"/>
        <v>0</v>
      </c>
      <c r="J2843" s="7" t="str">
        <f t="shared" si="147"/>
        <v>PAGADO</v>
      </c>
      <c r="K2843" s="33" t="s">
        <v>2258</v>
      </c>
    </row>
    <row r="2844" spans="1:13" x14ac:dyDescent="0.25">
      <c r="A2844" s="73">
        <v>46051</v>
      </c>
      <c r="C2844" s="9" t="s">
        <v>2752</v>
      </c>
      <c r="D2844" s="9" t="s">
        <v>2753</v>
      </c>
      <c r="F2844" s="6">
        <v>100</v>
      </c>
      <c r="G2844" s="6">
        <f t="shared" si="148"/>
        <v>100</v>
      </c>
      <c r="H2844" s="6">
        <v>50</v>
      </c>
      <c r="I2844" s="26">
        <f t="shared" si="149"/>
        <v>50</v>
      </c>
      <c r="J2844" s="7" t="str">
        <f t="shared" si="147"/>
        <v>DEBE</v>
      </c>
      <c r="K2844" t="s">
        <v>2754</v>
      </c>
      <c r="M2844" s="8" t="s">
        <v>2755</v>
      </c>
    </row>
    <row r="2845" spans="1:13" x14ac:dyDescent="0.25">
      <c r="A2845">
        <v>2025</v>
      </c>
      <c r="C2845" s="9" t="s">
        <v>2756</v>
      </c>
      <c r="D2845" s="9" t="s">
        <v>2757</v>
      </c>
      <c r="F2845" s="6">
        <v>80</v>
      </c>
      <c r="G2845" s="6">
        <f t="shared" si="148"/>
        <v>80</v>
      </c>
      <c r="H2845" s="6">
        <f>40+40</f>
        <v>80</v>
      </c>
      <c r="I2845" s="26">
        <f t="shared" si="149"/>
        <v>0</v>
      </c>
      <c r="J2845" s="7" t="str">
        <f t="shared" si="147"/>
        <v>PAGADO</v>
      </c>
      <c r="K2845" s="9"/>
    </row>
    <row r="2846" spans="1:13" x14ac:dyDescent="0.25">
      <c r="A2846">
        <v>2025</v>
      </c>
      <c r="C2846" s="9" t="s">
        <v>2758</v>
      </c>
      <c r="D2846" s="9" t="s">
        <v>238</v>
      </c>
      <c r="F2846" s="6">
        <v>720</v>
      </c>
      <c r="G2846" s="6">
        <f t="shared" si="148"/>
        <v>720</v>
      </c>
      <c r="H2846" s="6">
        <v>720</v>
      </c>
      <c r="I2846" s="26">
        <f t="shared" si="149"/>
        <v>0</v>
      </c>
      <c r="J2846" s="7" t="str">
        <f t="shared" si="147"/>
        <v>PAGADO</v>
      </c>
      <c r="K2846" s="9" t="s">
        <v>2759</v>
      </c>
    </row>
    <row r="2847" spans="1:13" x14ac:dyDescent="0.25">
      <c r="A2847">
        <v>2025</v>
      </c>
      <c r="C2847" s="9" t="s">
        <v>2760</v>
      </c>
      <c r="D2847" s="9" t="s">
        <v>238</v>
      </c>
      <c r="F2847" s="6">
        <v>100</v>
      </c>
      <c r="G2847" s="6">
        <f t="shared" si="148"/>
        <v>100</v>
      </c>
      <c r="H2847" s="6">
        <v>100</v>
      </c>
      <c r="I2847" s="26">
        <f t="shared" si="149"/>
        <v>0</v>
      </c>
      <c r="J2847" s="7" t="str">
        <f t="shared" si="147"/>
        <v>PAGADO</v>
      </c>
      <c r="K2847" t="s">
        <v>2761</v>
      </c>
    </row>
    <row r="2848" spans="1:13" x14ac:dyDescent="0.25">
      <c r="A2848">
        <v>2025</v>
      </c>
      <c r="C2848" s="9" t="s">
        <v>2762</v>
      </c>
      <c r="D2848" s="9" t="s">
        <v>238</v>
      </c>
      <c r="F2848" s="6">
        <v>170</v>
      </c>
      <c r="G2848" s="6">
        <f t="shared" si="148"/>
        <v>170</v>
      </c>
      <c r="H2848" s="6">
        <v>170</v>
      </c>
      <c r="I2848" s="26">
        <f t="shared" si="149"/>
        <v>0</v>
      </c>
      <c r="J2848" s="7" t="str">
        <f t="shared" si="147"/>
        <v>PAGADO</v>
      </c>
      <c r="K2848" t="s">
        <v>2761</v>
      </c>
    </row>
    <row r="2849" spans="1:11" x14ac:dyDescent="0.25">
      <c r="A2849">
        <v>2025</v>
      </c>
      <c r="C2849" s="9" t="s">
        <v>2763</v>
      </c>
      <c r="D2849" s="9" t="s">
        <v>238</v>
      </c>
      <c r="F2849" s="6">
        <v>140</v>
      </c>
      <c r="G2849" s="6">
        <f t="shared" si="148"/>
        <v>140</v>
      </c>
      <c r="H2849" s="6">
        <v>140</v>
      </c>
      <c r="I2849" s="26">
        <f t="shared" si="149"/>
        <v>0</v>
      </c>
      <c r="J2849" s="7" t="str">
        <f t="shared" si="147"/>
        <v>PAGADO</v>
      </c>
      <c r="K2849" t="s">
        <v>2761</v>
      </c>
    </row>
    <row r="2850" spans="1:11" x14ac:dyDescent="0.25">
      <c r="A2850">
        <v>2025</v>
      </c>
      <c r="C2850" s="14" t="s">
        <v>2764</v>
      </c>
      <c r="D2850" s="14" t="s">
        <v>238</v>
      </c>
      <c r="E2850" s="15"/>
      <c r="F2850" s="16">
        <v>100</v>
      </c>
      <c r="G2850" s="16">
        <f t="shared" si="148"/>
        <v>100</v>
      </c>
      <c r="H2850" s="16">
        <v>100</v>
      </c>
      <c r="I2850" s="16">
        <f t="shared" si="149"/>
        <v>0</v>
      </c>
      <c r="J2850" s="17" t="str">
        <f t="shared" si="147"/>
        <v>PAGADO</v>
      </c>
      <c r="K2850" s="14" t="s">
        <v>2765</v>
      </c>
    </row>
    <row r="2851" spans="1:11" x14ac:dyDescent="0.25">
      <c r="A2851">
        <v>2025</v>
      </c>
      <c r="C2851" s="9" t="s">
        <v>2766</v>
      </c>
      <c r="D2851" s="9" t="s">
        <v>238</v>
      </c>
      <c r="F2851" s="6">
        <v>80</v>
      </c>
      <c r="G2851" s="6">
        <f t="shared" si="148"/>
        <v>80</v>
      </c>
      <c r="H2851" s="6">
        <v>80</v>
      </c>
      <c r="I2851" s="26">
        <f t="shared" si="149"/>
        <v>0</v>
      </c>
      <c r="J2851" s="7" t="str">
        <f t="shared" si="147"/>
        <v>PAGADO</v>
      </c>
      <c r="K2851" t="s">
        <v>2761</v>
      </c>
    </row>
    <row r="2852" spans="1:11" x14ac:dyDescent="0.25">
      <c r="A2852">
        <v>2025</v>
      </c>
      <c r="C2852" s="9" t="s">
        <v>2767</v>
      </c>
      <c r="D2852" s="9" t="s">
        <v>238</v>
      </c>
      <c r="F2852" s="6">
        <v>90</v>
      </c>
      <c r="G2852" s="6">
        <f t="shared" si="148"/>
        <v>90</v>
      </c>
      <c r="H2852" s="6">
        <v>90</v>
      </c>
      <c r="I2852" s="26">
        <f t="shared" si="149"/>
        <v>0</v>
      </c>
      <c r="J2852" s="7" t="str">
        <f t="shared" si="147"/>
        <v>PAGADO</v>
      </c>
      <c r="K2852" t="s">
        <v>2761</v>
      </c>
    </row>
    <row r="2853" spans="1:11" x14ac:dyDescent="0.25">
      <c r="A2853">
        <v>2025</v>
      </c>
      <c r="C2853" s="9" t="s">
        <v>2768</v>
      </c>
      <c r="D2853" s="9" t="s">
        <v>238</v>
      </c>
      <c r="F2853" s="6">
        <v>90</v>
      </c>
      <c r="G2853" s="6">
        <f t="shared" si="148"/>
        <v>90</v>
      </c>
      <c r="H2853" s="6">
        <v>90</v>
      </c>
      <c r="I2853" s="26">
        <f t="shared" si="149"/>
        <v>0</v>
      </c>
      <c r="J2853" s="7" t="str">
        <f t="shared" si="147"/>
        <v>PAGADO</v>
      </c>
      <c r="K2853" t="s">
        <v>2761</v>
      </c>
    </row>
    <row r="2854" spans="1:11" x14ac:dyDescent="0.25">
      <c r="A2854">
        <v>2025</v>
      </c>
      <c r="C2854" s="9" t="s">
        <v>2769</v>
      </c>
      <c r="D2854" s="9" t="s">
        <v>2105</v>
      </c>
      <c r="F2854" s="6">
        <v>70</v>
      </c>
      <c r="G2854" s="6">
        <f t="shared" si="148"/>
        <v>70</v>
      </c>
      <c r="H2854" s="6">
        <f>35+35</f>
        <v>70</v>
      </c>
      <c r="I2854" s="26">
        <f t="shared" si="149"/>
        <v>0</v>
      </c>
      <c r="J2854" s="7" t="str">
        <f t="shared" si="147"/>
        <v>PAGADO</v>
      </c>
      <c r="K2854" s="33" t="s">
        <v>2258</v>
      </c>
    </row>
    <row r="2855" spans="1:11" x14ac:dyDescent="0.25">
      <c r="A2855">
        <v>2025</v>
      </c>
      <c r="C2855" t="s">
        <v>2770</v>
      </c>
      <c r="D2855" t="s">
        <v>700</v>
      </c>
      <c r="F2855" s="6">
        <v>30</v>
      </c>
      <c r="G2855" s="6">
        <f t="shared" si="148"/>
        <v>30</v>
      </c>
      <c r="H2855" s="6">
        <v>30</v>
      </c>
      <c r="I2855" s="26">
        <f t="shared" si="149"/>
        <v>0</v>
      </c>
      <c r="J2855" s="7" t="str">
        <f t="shared" si="147"/>
        <v>PAGADO</v>
      </c>
    </row>
    <row r="2856" spans="1:11" x14ac:dyDescent="0.25">
      <c r="A2856">
        <v>2025</v>
      </c>
      <c r="C2856" t="s">
        <v>2771</v>
      </c>
      <c r="D2856" t="s">
        <v>2031</v>
      </c>
      <c r="F2856" s="6">
        <v>55</v>
      </c>
      <c r="G2856" s="6">
        <f t="shared" si="148"/>
        <v>55</v>
      </c>
      <c r="H2856" s="6">
        <f>25+30</f>
        <v>55</v>
      </c>
      <c r="I2856" s="26">
        <f t="shared" si="149"/>
        <v>0</v>
      </c>
      <c r="J2856" s="7" t="str">
        <f t="shared" si="147"/>
        <v>PAGADO</v>
      </c>
      <c r="K2856" s="33" t="s">
        <v>2258</v>
      </c>
    </row>
    <row r="2857" spans="1:11" x14ac:dyDescent="0.25">
      <c r="A2857">
        <v>2025</v>
      </c>
      <c r="C2857" t="s">
        <v>2772</v>
      </c>
      <c r="D2857" s="9" t="s">
        <v>1560</v>
      </c>
      <c r="F2857" s="6">
        <v>55</v>
      </c>
      <c r="G2857" s="6">
        <f t="shared" si="148"/>
        <v>55</v>
      </c>
      <c r="H2857" s="6">
        <v>55</v>
      </c>
      <c r="I2857" s="6">
        <f t="shared" si="149"/>
        <v>0</v>
      </c>
      <c r="J2857" s="7" t="str">
        <f t="shared" si="147"/>
        <v>PAGADO</v>
      </c>
    </row>
    <row r="2858" spans="1:11" x14ac:dyDescent="0.25">
      <c r="A2858">
        <v>2025</v>
      </c>
      <c r="C2858" s="9" t="s">
        <v>2773</v>
      </c>
      <c r="D2858" s="9" t="s">
        <v>2018</v>
      </c>
      <c r="F2858" s="6">
        <v>150</v>
      </c>
      <c r="G2858" s="6">
        <f t="shared" si="148"/>
        <v>150</v>
      </c>
      <c r="H2858" s="6">
        <f>50+100</f>
        <v>150</v>
      </c>
      <c r="I2858" s="26">
        <f t="shared" si="149"/>
        <v>0</v>
      </c>
      <c r="J2858" s="7" t="str">
        <f t="shared" si="147"/>
        <v>PAGADO</v>
      </c>
    </row>
    <row r="2859" spans="1:11" x14ac:dyDescent="0.25">
      <c r="A2859">
        <v>2025</v>
      </c>
      <c r="C2859" s="9" t="s">
        <v>2774</v>
      </c>
      <c r="D2859" s="9" t="s">
        <v>2683</v>
      </c>
      <c r="F2859" s="6">
        <v>50</v>
      </c>
      <c r="G2859" s="6">
        <f t="shared" si="148"/>
        <v>50</v>
      </c>
      <c r="H2859" s="6">
        <v>50</v>
      </c>
      <c r="I2859" s="26">
        <f t="shared" si="149"/>
        <v>0</v>
      </c>
      <c r="J2859" s="7" t="str">
        <f t="shared" si="147"/>
        <v>PAGADO</v>
      </c>
    </row>
    <row r="2860" spans="1:11" x14ac:dyDescent="0.25">
      <c r="A2860">
        <v>2025</v>
      </c>
      <c r="C2860" s="9" t="s">
        <v>2775</v>
      </c>
      <c r="D2860" s="9" t="s">
        <v>1523</v>
      </c>
      <c r="F2860" s="6">
        <v>150</v>
      </c>
      <c r="G2860" s="6">
        <f t="shared" si="148"/>
        <v>150</v>
      </c>
      <c r="H2860" s="6">
        <v>150</v>
      </c>
      <c r="I2860" s="26">
        <f t="shared" si="149"/>
        <v>0</v>
      </c>
      <c r="J2860" s="7" t="str">
        <f t="shared" si="147"/>
        <v>PAGADO</v>
      </c>
    </row>
    <row r="2861" spans="1:11" x14ac:dyDescent="0.25">
      <c r="A2861">
        <v>2025</v>
      </c>
      <c r="C2861" s="9" t="s">
        <v>1619</v>
      </c>
      <c r="D2861" s="9" t="s">
        <v>2548</v>
      </c>
      <c r="F2861" s="6">
        <v>60</v>
      </c>
      <c r="G2861" s="6">
        <f t="shared" si="148"/>
        <v>60</v>
      </c>
      <c r="H2861" s="6">
        <v>60</v>
      </c>
      <c r="I2861" s="26">
        <f t="shared" si="149"/>
        <v>0</v>
      </c>
      <c r="J2861" s="7" t="str">
        <f t="shared" si="147"/>
        <v>PAGADO</v>
      </c>
    </row>
    <row r="2862" spans="1:11" x14ac:dyDescent="0.25">
      <c r="A2862">
        <v>2025</v>
      </c>
      <c r="C2862" s="9" t="s">
        <v>2776</v>
      </c>
      <c r="D2862" s="9" t="s">
        <v>1736</v>
      </c>
      <c r="F2862" s="26">
        <v>10</v>
      </c>
      <c r="G2862" s="26">
        <f t="shared" si="148"/>
        <v>10</v>
      </c>
      <c r="H2862" s="26">
        <v>10</v>
      </c>
      <c r="I2862" s="26">
        <f t="shared" si="149"/>
        <v>0</v>
      </c>
      <c r="J2862" s="7" t="str">
        <f t="shared" si="147"/>
        <v>PAGADO</v>
      </c>
    </row>
    <row r="2863" spans="1:11" x14ac:dyDescent="0.25">
      <c r="A2863">
        <v>2025</v>
      </c>
      <c r="C2863" s="9" t="s">
        <v>2777</v>
      </c>
      <c r="D2863" s="9" t="s">
        <v>1736</v>
      </c>
      <c r="F2863" s="26">
        <v>10</v>
      </c>
      <c r="G2863" s="26">
        <f t="shared" si="148"/>
        <v>10</v>
      </c>
      <c r="H2863" s="26">
        <v>10</v>
      </c>
      <c r="I2863" s="26">
        <f t="shared" si="149"/>
        <v>0</v>
      </c>
      <c r="J2863" s="7" t="str">
        <f t="shared" si="147"/>
        <v>PAGADO</v>
      </c>
    </row>
    <row r="2864" spans="1:11" x14ac:dyDescent="0.25">
      <c r="A2864">
        <v>2025</v>
      </c>
      <c r="C2864" s="9" t="s">
        <v>2778</v>
      </c>
      <c r="D2864" s="9" t="s">
        <v>2548</v>
      </c>
      <c r="F2864" s="6">
        <v>380</v>
      </c>
      <c r="G2864" s="6">
        <f t="shared" si="148"/>
        <v>380</v>
      </c>
      <c r="H2864" s="6">
        <f>190+190</f>
        <v>380</v>
      </c>
      <c r="I2864" s="26">
        <f t="shared" si="149"/>
        <v>0</v>
      </c>
      <c r="J2864" s="7" t="str">
        <f t="shared" si="147"/>
        <v>PAGADO</v>
      </c>
      <c r="K2864" s="33" t="s">
        <v>2479</v>
      </c>
    </row>
    <row r="2865" spans="1:11" x14ac:dyDescent="0.25">
      <c r="A2865">
        <v>2025</v>
      </c>
      <c r="C2865" s="9" t="s">
        <v>2779</v>
      </c>
      <c r="D2865" s="9" t="s">
        <v>2757</v>
      </c>
      <c r="F2865" s="6">
        <v>70</v>
      </c>
      <c r="G2865" s="6">
        <f t="shared" si="148"/>
        <v>70</v>
      </c>
      <c r="H2865" s="6">
        <f>35+35</f>
        <v>70</v>
      </c>
      <c r="I2865" s="26">
        <f t="shared" si="149"/>
        <v>0</v>
      </c>
      <c r="J2865" s="7" t="str">
        <f t="shared" si="147"/>
        <v>PAGADO</v>
      </c>
      <c r="K2865" s="33" t="s">
        <v>2258</v>
      </c>
    </row>
    <row r="2866" spans="1:11" x14ac:dyDescent="0.25">
      <c r="A2866">
        <v>2025</v>
      </c>
      <c r="C2866" s="9" t="s">
        <v>2780</v>
      </c>
      <c r="D2866" s="9" t="s">
        <v>18</v>
      </c>
      <c r="F2866" s="6">
        <v>70</v>
      </c>
      <c r="G2866" s="6">
        <f t="shared" si="148"/>
        <v>70</v>
      </c>
      <c r="H2866" s="6">
        <v>70</v>
      </c>
      <c r="I2866" s="26">
        <f t="shared" si="149"/>
        <v>0</v>
      </c>
      <c r="J2866" s="7" t="str">
        <f t="shared" si="147"/>
        <v>PAGADO</v>
      </c>
    </row>
    <row r="2867" spans="1:11" x14ac:dyDescent="0.25">
      <c r="A2867">
        <v>2025</v>
      </c>
      <c r="C2867" s="9" t="s">
        <v>2781</v>
      </c>
      <c r="D2867" s="9" t="s">
        <v>18</v>
      </c>
      <c r="F2867" s="6">
        <v>130</v>
      </c>
      <c r="G2867" s="6">
        <f t="shared" si="148"/>
        <v>130</v>
      </c>
      <c r="H2867" s="6">
        <v>130</v>
      </c>
      <c r="I2867" s="26">
        <f t="shared" si="149"/>
        <v>0</v>
      </c>
      <c r="J2867" s="7" t="str">
        <f t="shared" si="147"/>
        <v>PAGADO</v>
      </c>
    </row>
    <row r="2868" spans="1:11" x14ac:dyDescent="0.25">
      <c r="A2868">
        <v>2025</v>
      </c>
      <c r="C2868" s="9" t="s">
        <v>2782</v>
      </c>
      <c r="D2868" s="9" t="s">
        <v>18</v>
      </c>
      <c r="F2868" s="6">
        <v>150</v>
      </c>
      <c r="G2868" s="6">
        <f t="shared" si="148"/>
        <v>150</v>
      </c>
      <c r="H2868" s="6">
        <f>100+50</f>
        <v>150</v>
      </c>
      <c r="I2868" s="26">
        <f t="shared" si="149"/>
        <v>0</v>
      </c>
      <c r="J2868" s="7" t="str">
        <f t="shared" si="147"/>
        <v>PAGADO</v>
      </c>
      <c r="K2868" s="33" t="s">
        <v>2479</v>
      </c>
    </row>
    <row r="2869" spans="1:11" x14ac:dyDescent="0.25">
      <c r="A2869">
        <v>2025</v>
      </c>
      <c r="C2869" s="9" t="s">
        <v>2783</v>
      </c>
      <c r="D2869" s="9" t="s">
        <v>2544</v>
      </c>
      <c r="F2869" s="6">
        <v>65</v>
      </c>
      <c r="G2869" s="6">
        <f t="shared" si="148"/>
        <v>65</v>
      </c>
      <c r="H2869" s="6">
        <v>65</v>
      </c>
      <c r="I2869" s="26">
        <f t="shared" si="149"/>
        <v>0</v>
      </c>
      <c r="J2869" s="7" t="str">
        <f t="shared" si="147"/>
        <v>PAGADO</v>
      </c>
    </row>
    <row r="2870" spans="1:11" x14ac:dyDescent="0.25">
      <c r="A2870">
        <v>2025</v>
      </c>
      <c r="C2870" t="s">
        <v>2784</v>
      </c>
      <c r="D2870" s="9" t="s">
        <v>2544</v>
      </c>
      <c r="F2870" s="6">
        <v>8</v>
      </c>
      <c r="G2870" s="6">
        <f t="shared" si="148"/>
        <v>8</v>
      </c>
      <c r="H2870" s="6">
        <v>8</v>
      </c>
      <c r="I2870" s="26">
        <f t="shared" si="149"/>
        <v>0</v>
      </c>
      <c r="J2870" s="7" t="str">
        <f t="shared" si="147"/>
        <v>PAGADO</v>
      </c>
    </row>
    <row r="2871" spans="1:11" x14ac:dyDescent="0.25">
      <c r="A2871">
        <v>2025</v>
      </c>
      <c r="C2871" t="s">
        <v>2785</v>
      </c>
      <c r="D2871" s="9" t="s">
        <v>2544</v>
      </c>
      <c r="F2871" s="6">
        <v>15</v>
      </c>
      <c r="G2871" s="6">
        <f t="shared" si="148"/>
        <v>15</v>
      </c>
      <c r="H2871" s="6">
        <v>15</v>
      </c>
      <c r="I2871" s="26">
        <f t="shared" si="149"/>
        <v>0</v>
      </c>
      <c r="J2871" s="7" t="str">
        <f t="shared" si="147"/>
        <v>PAGADO</v>
      </c>
    </row>
    <row r="2872" spans="1:11" x14ac:dyDescent="0.25">
      <c r="A2872">
        <v>2025</v>
      </c>
      <c r="C2872" t="s">
        <v>2786</v>
      </c>
      <c r="D2872" s="9" t="s">
        <v>2544</v>
      </c>
      <c r="F2872" s="6">
        <v>40</v>
      </c>
      <c r="G2872" s="6">
        <f t="shared" si="148"/>
        <v>40</v>
      </c>
      <c r="H2872" s="6">
        <v>40</v>
      </c>
      <c r="I2872" s="26">
        <f t="shared" si="149"/>
        <v>0</v>
      </c>
      <c r="J2872" s="7" t="str">
        <f t="shared" ref="J2872:J2935" si="150">IF(I2872&gt;0,"DEBE","PAGADO")</f>
        <v>PAGADO</v>
      </c>
    </row>
    <row r="2873" spans="1:11" x14ac:dyDescent="0.25">
      <c r="A2873">
        <v>2025</v>
      </c>
      <c r="C2873" t="s">
        <v>2787</v>
      </c>
      <c r="D2873" s="9" t="s">
        <v>1504</v>
      </c>
      <c r="F2873" s="6">
        <v>70</v>
      </c>
      <c r="G2873" s="6">
        <f t="shared" si="148"/>
        <v>70</v>
      </c>
      <c r="H2873" s="6">
        <v>70</v>
      </c>
      <c r="I2873" s="26">
        <f t="shared" si="149"/>
        <v>0</v>
      </c>
      <c r="J2873" s="7" t="str">
        <f t="shared" si="150"/>
        <v>PAGADO</v>
      </c>
      <c r="K2873" s="28" t="s">
        <v>2479</v>
      </c>
    </row>
    <row r="2874" spans="1:11" x14ac:dyDescent="0.25">
      <c r="A2874">
        <v>2025</v>
      </c>
      <c r="C2874" t="s">
        <v>2788</v>
      </c>
      <c r="D2874" s="9" t="s">
        <v>1504</v>
      </c>
      <c r="F2874" s="6">
        <v>70</v>
      </c>
      <c r="G2874" s="6">
        <f t="shared" si="148"/>
        <v>70</v>
      </c>
      <c r="H2874" s="6">
        <v>70</v>
      </c>
      <c r="I2874" s="26">
        <f t="shared" si="149"/>
        <v>0</v>
      </c>
      <c r="J2874" s="7" t="str">
        <f t="shared" si="150"/>
        <v>PAGADO</v>
      </c>
      <c r="K2874" s="28" t="s">
        <v>2479</v>
      </c>
    </row>
    <row r="2875" spans="1:11" x14ac:dyDescent="0.25">
      <c r="A2875">
        <v>2025</v>
      </c>
      <c r="C2875" t="s">
        <v>2789</v>
      </c>
      <c r="D2875" s="9" t="s">
        <v>1736</v>
      </c>
      <c r="F2875" s="26">
        <v>15</v>
      </c>
      <c r="G2875" s="26">
        <f t="shared" si="148"/>
        <v>15</v>
      </c>
      <c r="H2875" s="26">
        <v>15</v>
      </c>
      <c r="I2875" s="26">
        <f t="shared" si="149"/>
        <v>0</v>
      </c>
      <c r="J2875" s="7" t="str">
        <f t="shared" si="150"/>
        <v>PAGADO</v>
      </c>
    </row>
    <row r="2876" spans="1:11" x14ac:dyDescent="0.25">
      <c r="A2876">
        <v>2025</v>
      </c>
      <c r="C2876" s="9" t="s">
        <v>2790</v>
      </c>
      <c r="D2876" s="9" t="s">
        <v>2685</v>
      </c>
      <c r="F2876" s="6">
        <v>100</v>
      </c>
      <c r="G2876" s="6">
        <f t="shared" si="148"/>
        <v>100</v>
      </c>
      <c r="H2876" s="6">
        <v>0</v>
      </c>
      <c r="I2876" s="26">
        <f t="shared" si="149"/>
        <v>100</v>
      </c>
      <c r="J2876" s="7" t="str">
        <f t="shared" si="150"/>
        <v>DEBE</v>
      </c>
      <c r="K2876" s="9" t="s">
        <v>2791</v>
      </c>
    </row>
    <row r="2877" spans="1:11" x14ac:dyDescent="0.25">
      <c r="A2877">
        <v>2025</v>
      </c>
      <c r="C2877" s="9" t="s">
        <v>2792</v>
      </c>
      <c r="D2877" s="9" t="s">
        <v>2685</v>
      </c>
      <c r="F2877" s="6">
        <v>50</v>
      </c>
      <c r="G2877" s="6">
        <f t="shared" si="148"/>
        <v>50</v>
      </c>
      <c r="H2877" s="6">
        <v>0</v>
      </c>
      <c r="I2877" s="26">
        <f t="shared" si="149"/>
        <v>50</v>
      </c>
      <c r="J2877" s="7" t="str">
        <f t="shared" si="150"/>
        <v>DEBE</v>
      </c>
      <c r="K2877" s="9" t="s">
        <v>2791</v>
      </c>
    </row>
    <row r="2878" spans="1:11" x14ac:dyDescent="0.25">
      <c r="A2878">
        <v>2025</v>
      </c>
      <c r="C2878" s="9" t="s">
        <v>2793</v>
      </c>
      <c r="D2878" s="9" t="s">
        <v>1078</v>
      </c>
      <c r="F2878" s="6">
        <v>50</v>
      </c>
      <c r="G2878" s="6">
        <f t="shared" ref="G2878:G2941" si="151">F2878-E2878</f>
        <v>50</v>
      </c>
      <c r="H2878" s="6">
        <v>50</v>
      </c>
      <c r="I2878" s="26">
        <f t="shared" si="149"/>
        <v>0</v>
      </c>
      <c r="J2878" s="7" t="str">
        <f t="shared" si="150"/>
        <v>PAGADO</v>
      </c>
      <c r="K2878" s="33" t="s">
        <v>2479</v>
      </c>
    </row>
    <row r="2879" spans="1:11" x14ac:dyDescent="0.25">
      <c r="A2879">
        <v>2025</v>
      </c>
      <c r="C2879" s="9" t="s">
        <v>2794</v>
      </c>
      <c r="D2879" s="9" t="s">
        <v>1078</v>
      </c>
      <c r="F2879" s="6">
        <v>40</v>
      </c>
      <c r="G2879" s="6">
        <f t="shared" si="151"/>
        <v>40</v>
      </c>
      <c r="H2879" s="6">
        <v>40</v>
      </c>
      <c r="I2879" s="26">
        <f t="shared" si="149"/>
        <v>0</v>
      </c>
      <c r="J2879" s="7" t="str">
        <f t="shared" si="150"/>
        <v>PAGADO</v>
      </c>
      <c r="K2879" s="33" t="s">
        <v>2479</v>
      </c>
    </row>
    <row r="2880" spans="1:11" x14ac:dyDescent="0.25">
      <c r="A2880">
        <v>2025</v>
      </c>
      <c r="C2880" s="9" t="s">
        <v>2795</v>
      </c>
      <c r="D2880" s="9" t="s">
        <v>1078</v>
      </c>
      <c r="F2880" s="6">
        <v>40</v>
      </c>
      <c r="G2880" s="6">
        <f t="shared" si="151"/>
        <v>40</v>
      </c>
      <c r="H2880" s="6">
        <v>40</v>
      </c>
      <c r="I2880" s="26">
        <f t="shared" si="149"/>
        <v>0</v>
      </c>
      <c r="J2880" s="7" t="str">
        <f t="shared" si="150"/>
        <v>PAGADO</v>
      </c>
      <c r="K2880" s="33" t="s">
        <v>2479</v>
      </c>
    </row>
    <row r="2881" spans="1:11" x14ac:dyDescent="0.25">
      <c r="A2881">
        <v>2025</v>
      </c>
      <c r="C2881" s="9" t="s">
        <v>2637</v>
      </c>
      <c r="D2881" s="9" t="s">
        <v>1510</v>
      </c>
      <c r="F2881" s="6">
        <v>90</v>
      </c>
      <c r="G2881" s="6">
        <f t="shared" si="151"/>
        <v>90</v>
      </c>
      <c r="H2881" s="6">
        <f>45+45</f>
        <v>90</v>
      </c>
      <c r="I2881" s="26">
        <f t="shared" si="149"/>
        <v>0</v>
      </c>
      <c r="J2881" s="7" t="str">
        <f t="shared" si="150"/>
        <v>PAGADO</v>
      </c>
      <c r="K2881" s="59" t="s">
        <v>1823</v>
      </c>
    </row>
    <row r="2882" spans="1:11" x14ac:dyDescent="0.25">
      <c r="A2882">
        <v>2025</v>
      </c>
      <c r="C2882" s="9" t="s">
        <v>2796</v>
      </c>
      <c r="D2882" s="9" t="s">
        <v>1510</v>
      </c>
      <c r="F2882" s="6">
        <v>70</v>
      </c>
      <c r="G2882" s="6">
        <f t="shared" si="151"/>
        <v>70</v>
      </c>
      <c r="H2882" s="6">
        <v>70</v>
      </c>
      <c r="I2882" s="26">
        <f t="shared" si="149"/>
        <v>0</v>
      </c>
      <c r="J2882" s="7" t="str">
        <f t="shared" si="150"/>
        <v>PAGADO</v>
      </c>
      <c r="K2882" s="33" t="s">
        <v>2258</v>
      </c>
    </row>
    <row r="2883" spans="1:11" x14ac:dyDescent="0.25">
      <c r="A2883">
        <v>2025</v>
      </c>
      <c r="C2883" s="9" t="s">
        <v>2797</v>
      </c>
      <c r="D2883" s="9" t="s">
        <v>1510</v>
      </c>
      <c r="F2883" s="6">
        <v>70</v>
      </c>
      <c r="G2883" s="6">
        <f t="shared" si="151"/>
        <v>70</v>
      </c>
      <c r="H2883" s="6">
        <v>70</v>
      </c>
      <c r="I2883" s="26">
        <f t="shared" si="149"/>
        <v>0</v>
      </c>
      <c r="J2883" s="7" t="str">
        <f t="shared" si="150"/>
        <v>PAGADO</v>
      </c>
      <c r="K2883" s="33" t="s">
        <v>2258</v>
      </c>
    </row>
    <row r="2884" spans="1:11" x14ac:dyDescent="0.25">
      <c r="A2884">
        <v>2025</v>
      </c>
      <c r="C2884" t="s">
        <v>2798</v>
      </c>
      <c r="D2884" s="9" t="s">
        <v>1504</v>
      </c>
      <c r="F2884" s="6">
        <v>65</v>
      </c>
      <c r="G2884" s="6">
        <f t="shared" si="151"/>
        <v>65</v>
      </c>
      <c r="H2884" s="6">
        <v>65</v>
      </c>
      <c r="I2884" s="26">
        <f t="shared" si="149"/>
        <v>0</v>
      </c>
      <c r="J2884" s="7" t="str">
        <f t="shared" si="150"/>
        <v>PAGADO</v>
      </c>
      <c r="K2884" s="33" t="s">
        <v>693</v>
      </c>
    </row>
    <row r="2885" spans="1:11" x14ac:dyDescent="0.25">
      <c r="A2885">
        <v>2025</v>
      </c>
      <c r="C2885" t="s">
        <v>2799</v>
      </c>
      <c r="D2885" s="9" t="s">
        <v>1504</v>
      </c>
      <c r="F2885" s="6">
        <v>65</v>
      </c>
      <c r="G2885" s="6">
        <f t="shared" si="151"/>
        <v>65</v>
      </c>
      <c r="H2885" s="6">
        <v>65</v>
      </c>
      <c r="I2885" s="26">
        <f t="shared" si="149"/>
        <v>0</v>
      </c>
      <c r="J2885" s="7" t="str">
        <f t="shared" si="150"/>
        <v>PAGADO</v>
      </c>
      <c r="K2885" s="33" t="s">
        <v>693</v>
      </c>
    </row>
    <row r="2886" spans="1:11" x14ac:dyDescent="0.25">
      <c r="A2886">
        <v>2025</v>
      </c>
      <c r="C2886" s="9" t="s">
        <v>2798</v>
      </c>
      <c r="D2886" s="9" t="s">
        <v>1679</v>
      </c>
      <c r="F2886" s="6">
        <v>130</v>
      </c>
      <c r="G2886" s="6">
        <f t="shared" si="151"/>
        <v>130</v>
      </c>
      <c r="H2886" s="6">
        <v>130</v>
      </c>
      <c r="I2886" s="26">
        <f t="shared" si="149"/>
        <v>0</v>
      </c>
      <c r="J2886" s="7" t="str">
        <f t="shared" si="150"/>
        <v>PAGADO</v>
      </c>
      <c r="K2886" s="33" t="s">
        <v>2258</v>
      </c>
    </row>
    <row r="2887" spans="1:11" x14ac:dyDescent="0.25">
      <c r="A2887">
        <v>2025</v>
      </c>
      <c r="C2887" s="9" t="s">
        <v>2800</v>
      </c>
      <c r="D2887" s="9" t="s">
        <v>1451</v>
      </c>
      <c r="F2887" s="6">
        <v>80</v>
      </c>
      <c r="G2887" s="6">
        <f t="shared" si="151"/>
        <v>80</v>
      </c>
      <c r="H2887" s="6">
        <v>80</v>
      </c>
      <c r="I2887" s="26">
        <f t="shared" si="149"/>
        <v>0</v>
      </c>
      <c r="J2887" s="7" t="str">
        <f t="shared" si="150"/>
        <v>PAGADO</v>
      </c>
      <c r="K2887" s="33" t="s">
        <v>2258</v>
      </c>
    </row>
    <row r="2888" spans="1:11" x14ac:dyDescent="0.25">
      <c r="A2888">
        <v>2025</v>
      </c>
      <c r="C2888" s="9" t="s">
        <v>2636</v>
      </c>
      <c r="D2888" s="9" t="s">
        <v>1451</v>
      </c>
      <c r="F2888" s="6">
        <v>80</v>
      </c>
      <c r="G2888" s="6">
        <f t="shared" si="151"/>
        <v>80</v>
      </c>
      <c r="H2888" s="6">
        <v>80</v>
      </c>
      <c r="I2888" s="26">
        <f t="shared" si="149"/>
        <v>0</v>
      </c>
      <c r="J2888" s="7" t="str">
        <f t="shared" si="150"/>
        <v>PAGADO</v>
      </c>
      <c r="K2888" s="33" t="s">
        <v>2258</v>
      </c>
    </row>
    <row r="2889" spans="1:11" x14ac:dyDescent="0.25">
      <c r="A2889">
        <v>2025</v>
      </c>
      <c r="C2889" s="9" t="s">
        <v>2801</v>
      </c>
      <c r="D2889" s="9" t="s">
        <v>2363</v>
      </c>
      <c r="F2889" s="6">
        <v>60</v>
      </c>
      <c r="G2889" s="6">
        <f t="shared" si="151"/>
        <v>60</v>
      </c>
      <c r="H2889" s="6">
        <v>60</v>
      </c>
      <c r="I2889" s="26">
        <f t="shared" si="149"/>
        <v>0</v>
      </c>
      <c r="J2889" s="7" t="str">
        <f t="shared" si="150"/>
        <v>PAGADO</v>
      </c>
      <c r="K2889" s="33" t="s">
        <v>693</v>
      </c>
    </row>
    <row r="2890" spans="1:11" x14ac:dyDescent="0.25">
      <c r="A2890">
        <v>2025</v>
      </c>
      <c r="C2890" s="9" t="s">
        <v>2802</v>
      </c>
      <c r="D2890" s="9" t="s">
        <v>1504</v>
      </c>
      <c r="F2890" s="6">
        <v>55</v>
      </c>
      <c r="G2890" s="6">
        <f t="shared" si="151"/>
        <v>55</v>
      </c>
      <c r="H2890" s="6">
        <v>55</v>
      </c>
      <c r="I2890" s="26">
        <f t="shared" si="149"/>
        <v>0</v>
      </c>
      <c r="J2890" s="7" t="str">
        <f t="shared" si="150"/>
        <v>PAGADO</v>
      </c>
      <c r="K2890" s="28" t="s">
        <v>2479</v>
      </c>
    </row>
    <row r="2891" spans="1:11" x14ac:dyDescent="0.25">
      <c r="A2891">
        <v>2025</v>
      </c>
      <c r="C2891" s="9" t="s">
        <v>2803</v>
      </c>
      <c r="D2891" s="9" t="s">
        <v>1309</v>
      </c>
      <c r="F2891" s="6">
        <v>60</v>
      </c>
      <c r="G2891" s="6">
        <f t="shared" si="151"/>
        <v>60</v>
      </c>
      <c r="H2891" s="6">
        <v>60</v>
      </c>
      <c r="I2891" s="26">
        <f t="shared" si="149"/>
        <v>0</v>
      </c>
      <c r="J2891" s="7" t="str">
        <f t="shared" si="150"/>
        <v>PAGADO</v>
      </c>
      <c r="K2891" s="33" t="s">
        <v>2258</v>
      </c>
    </row>
    <row r="2892" spans="1:11" x14ac:dyDescent="0.25">
      <c r="A2892">
        <v>2025</v>
      </c>
      <c r="C2892" s="9" t="s">
        <v>2803</v>
      </c>
      <c r="D2892" s="9" t="s">
        <v>31</v>
      </c>
      <c r="F2892" s="6">
        <v>60</v>
      </c>
      <c r="G2892" s="6">
        <f t="shared" si="151"/>
        <v>60</v>
      </c>
      <c r="H2892" s="6">
        <f>30+30</f>
        <v>60</v>
      </c>
      <c r="I2892" s="26">
        <f t="shared" si="149"/>
        <v>0</v>
      </c>
      <c r="J2892" s="7" t="str">
        <f t="shared" si="150"/>
        <v>PAGADO</v>
      </c>
      <c r="K2892" s="33" t="s">
        <v>2258</v>
      </c>
    </row>
    <row r="2893" spans="1:11" x14ac:dyDescent="0.25">
      <c r="A2893">
        <v>2025</v>
      </c>
      <c r="C2893" s="9" t="s">
        <v>2803</v>
      </c>
      <c r="D2893" s="9" t="s">
        <v>2804</v>
      </c>
      <c r="F2893" s="6">
        <v>60</v>
      </c>
      <c r="G2893" s="6">
        <f t="shared" si="151"/>
        <v>60</v>
      </c>
      <c r="H2893" s="6">
        <f>30+30</f>
        <v>60</v>
      </c>
      <c r="I2893" s="26">
        <f t="shared" si="149"/>
        <v>0</v>
      </c>
      <c r="J2893" s="7" t="str">
        <f t="shared" si="150"/>
        <v>PAGADO</v>
      </c>
      <c r="K2893" s="33" t="s">
        <v>2258</v>
      </c>
    </row>
    <row r="2894" spans="1:11" x14ac:dyDescent="0.25">
      <c r="A2894">
        <v>2025</v>
      </c>
      <c r="C2894" s="9" t="s">
        <v>2805</v>
      </c>
      <c r="D2894" s="9" t="s">
        <v>1504</v>
      </c>
      <c r="F2894" s="6">
        <v>150</v>
      </c>
      <c r="G2894" s="6">
        <f t="shared" si="151"/>
        <v>150</v>
      </c>
      <c r="H2894" s="6">
        <f>75+75</f>
        <v>150</v>
      </c>
      <c r="I2894" s="26">
        <f t="shared" si="149"/>
        <v>0</v>
      </c>
      <c r="J2894" s="7" t="str">
        <f t="shared" si="150"/>
        <v>PAGADO</v>
      </c>
      <c r="K2894" s="28" t="s">
        <v>2479</v>
      </c>
    </row>
    <row r="2895" spans="1:11" x14ac:dyDescent="0.25">
      <c r="A2895">
        <v>2025</v>
      </c>
      <c r="C2895" s="9" t="s">
        <v>2806</v>
      </c>
      <c r="D2895" s="9" t="s">
        <v>1504</v>
      </c>
      <c r="F2895" s="6">
        <v>150</v>
      </c>
      <c r="G2895" s="6">
        <f t="shared" si="151"/>
        <v>150</v>
      </c>
      <c r="H2895" s="6">
        <v>150</v>
      </c>
      <c r="I2895" s="26">
        <f t="shared" si="149"/>
        <v>0</v>
      </c>
      <c r="J2895" s="7" t="str">
        <f t="shared" si="150"/>
        <v>PAGADO</v>
      </c>
      <c r="K2895" s="28" t="s">
        <v>2479</v>
      </c>
    </row>
    <row r="2896" spans="1:11" x14ac:dyDescent="0.25">
      <c r="A2896">
        <v>2025</v>
      </c>
      <c r="C2896" s="9" t="s">
        <v>2615</v>
      </c>
      <c r="D2896" s="9" t="s">
        <v>1510</v>
      </c>
      <c r="F2896" s="6">
        <v>80</v>
      </c>
      <c r="G2896" s="6">
        <f t="shared" si="151"/>
        <v>80</v>
      </c>
      <c r="H2896" s="6">
        <v>80</v>
      </c>
      <c r="I2896" s="26">
        <f t="shared" si="149"/>
        <v>0</v>
      </c>
      <c r="J2896" s="7" t="str">
        <f t="shared" si="150"/>
        <v>PAGADO</v>
      </c>
      <c r="K2896" s="33" t="s">
        <v>2479</v>
      </c>
    </row>
    <row r="2897" spans="1:11" x14ac:dyDescent="0.25">
      <c r="A2897">
        <v>2025</v>
      </c>
      <c r="C2897" s="9" t="s">
        <v>2617</v>
      </c>
      <c r="D2897" s="9" t="s">
        <v>1476</v>
      </c>
      <c r="F2897" s="6">
        <v>80</v>
      </c>
      <c r="G2897" s="6">
        <f t="shared" si="151"/>
        <v>80</v>
      </c>
      <c r="H2897" s="6">
        <v>80</v>
      </c>
      <c r="I2897" s="26">
        <f t="shared" si="149"/>
        <v>0</v>
      </c>
      <c r="J2897" s="7" t="str">
        <f t="shared" si="150"/>
        <v>PAGADO</v>
      </c>
      <c r="K2897" s="33" t="s">
        <v>2258</v>
      </c>
    </row>
    <row r="2898" spans="1:11" x14ac:dyDescent="0.25">
      <c r="A2898">
        <v>2025</v>
      </c>
      <c r="C2898" s="9" t="s">
        <v>2617</v>
      </c>
      <c r="D2898" s="9" t="s">
        <v>1055</v>
      </c>
      <c r="F2898" s="6">
        <v>80</v>
      </c>
      <c r="G2898" s="6">
        <f t="shared" si="151"/>
        <v>80</v>
      </c>
      <c r="H2898" s="6">
        <f>75+5</f>
        <v>80</v>
      </c>
      <c r="I2898" s="26">
        <f t="shared" ref="I2898:I2961" si="152">F2898-H2898</f>
        <v>0</v>
      </c>
      <c r="J2898" s="7" t="str">
        <f t="shared" si="150"/>
        <v>PAGADO</v>
      </c>
      <c r="K2898" s="33" t="s">
        <v>2258</v>
      </c>
    </row>
    <row r="2899" spans="1:11" x14ac:dyDescent="0.25">
      <c r="A2899">
        <v>2025</v>
      </c>
      <c r="C2899" s="9" t="s">
        <v>2617</v>
      </c>
      <c r="D2899" s="9" t="s">
        <v>80</v>
      </c>
      <c r="F2899" s="6">
        <v>80</v>
      </c>
      <c r="G2899" s="6">
        <f t="shared" si="151"/>
        <v>80</v>
      </c>
      <c r="H2899" s="6">
        <v>80</v>
      </c>
      <c r="I2899" s="26">
        <f t="shared" si="152"/>
        <v>0</v>
      </c>
      <c r="J2899" s="7" t="str">
        <f t="shared" si="150"/>
        <v>PAGADO</v>
      </c>
      <c r="K2899" s="33" t="s">
        <v>2258</v>
      </c>
    </row>
    <row r="2900" spans="1:11" x14ac:dyDescent="0.25">
      <c r="A2900">
        <v>2025</v>
      </c>
      <c r="C2900" s="9" t="s">
        <v>2617</v>
      </c>
      <c r="D2900" s="9" t="s">
        <v>1523</v>
      </c>
      <c r="F2900" s="6">
        <v>80</v>
      </c>
      <c r="G2900" s="6">
        <f t="shared" si="151"/>
        <v>80</v>
      </c>
      <c r="H2900" s="6">
        <v>80</v>
      </c>
      <c r="I2900" s="26">
        <f t="shared" si="152"/>
        <v>0</v>
      </c>
      <c r="J2900" s="7" t="str">
        <f t="shared" si="150"/>
        <v>PAGADO</v>
      </c>
      <c r="K2900" s="33" t="s">
        <v>2258</v>
      </c>
    </row>
    <row r="2901" spans="1:11" x14ac:dyDescent="0.25">
      <c r="A2901">
        <v>2025</v>
      </c>
      <c r="C2901" s="9" t="s">
        <v>2617</v>
      </c>
      <c r="D2901" s="9" t="s">
        <v>1309</v>
      </c>
      <c r="F2901" s="6">
        <v>80</v>
      </c>
      <c r="G2901" s="6">
        <f t="shared" si="151"/>
        <v>80</v>
      </c>
      <c r="H2901" s="6">
        <v>80</v>
      </c>
      <c r="I2901" s="26">
        <f t="shared" si="152"/>
        <v>0</v>
      </c>
      <c r="J2901" s="7" t="str">
        <f t="shared" si="150"/>
        <v>PAGADO</v>
      </c>
      <c r="K2901" s="33" t="s">
        <v>2258</v>
      </c>
    </row>
    <row r="2902" spans="1:11" x14ac:dyDescent="0.25">
      <c r="A2902">
        <v>2025</v>
      </c>
      <c r="C2902" s="9" t="s">
        <v>2807</v>
      </c>
      <c r="D2902" s="9" t="s">
        <v>1523</v>
      </c>
      <c r="F2902" s="6">
        <v>80</v>
      </c>
      <c r="G2902" s="6">
        <f t="shared" si="151"/>
        <v>80</v>
      </c>
      <c r="H2902" s="6">
        <v>80</v>
      </c>
      <c r="I2902" s="26">
        <f t="shared" si="152"/>
        <v>0</v>
      </c>
      <c r="J2902" s="7" t="str">
        <f t="shared" si="150"/>
        <v>PAGADO</v>
      </c>
      <c r="K2902" s="33" t="s">
        <v>2258</v>
      </c>
    </row>
    <row r="2903" spans="1:11" x14ac:dyDescent="0.25">
      <c r="A2903">
        <v>2025</v>
      </c>
      <c r="C2903" s="9" t="s">
        <v>2808</v>
      </c>
      <c r="D2903" s="9" t="s">
        <v>1523</v>
      </c>
      <c r="F2903" s="6">
        <v>80</v>
      </c>
      <c r="G2903" s="6">
        <f t="shared" si="151"/>
        <v>80</v>
      </c>
      <c r="H2903" s="6">
        <v>80</v>
      </c>
      <c r="I2903" s="26">
        <f t="shared" si="152"/>
        <v>0</v>
      </c>
      <c r="J2903" s="7" t="str">
        <f t="shared" si="150"/>
        <v>PAGADO</v>
      </c>
      <c r="K2903" s="33" t="s">
        <v>2258</v>
      </c>
    </row>
    <row r="2904" spans="1:11" x14ac:dyDescent="0.25">
      <c r="A2904">
        <v>2025</v>
      </c>
      <c r="C2904" s="9" t="s">
        <v>2809</v>
      </c>
      <c r="D2904" s="9" t="s">
        <v>1523</v>
      </c>
      <c r="F2904" s="6">
        <v>80</v>
      </c>
      <c r="G2904" s="6">
        <f t="shared" si="151"/>
        <v>80</v>
      </c>
      <c r="H2904" s="6">
        <v>80</v>
      </c>
      <c r="I2904" s="26">
        <f t="shared" si="152"/>
        <v>0</v>
      </c>
      <c r="J2904" s="7" t="str">
        <f t="shared" si="150"/>
        <v>PAGADO</v>
      </c>
      <c r="K2904" s="33" t="s">
        <v>2258</v>
      </c>
    </row>
    <row r="2905" spans="1:11" x14ac:dyDescent="0.25">
      <c r="A2905">
        <v>2025</v>
      </c>
      <c r="C2905" s="9" t="s">
        <v>2810</v>
      </c>
      <c r="D2905" s="9" t="s">
        <v>67</v>
      </c>
      <c r="F2905" s="6">
        <v>90</v>
      </c>
      <c r="G2905" s="6">
        <f t="shared" si="151"/>
        <v>90</v>
      </c>
      <c r="H2905" s="6">
        <f>20+10+60</f>
        <v>90</v>
      </c>
      <c r="I2905" s="26">
        <f t="shared" si="152"/>
        <v>0</v>
      </c>
      <c r="J2905" s="7" t="str">
        <f t="shared" si="150"/>
        <v>PAGADO</v>
      </c>
      <c r="K2905" s="33" t="s">
        <v>2258</v>
      </c>
    </row>
    <row r="2906" spans="1:11" x14ac:dyDescent="0.25">
      <c r="A2906">
        <v>2025</v>
      </c>
      <c r="C2906" s="9" t="s">
        <v>2811</v>
      </c>
      <c r="D2906" s="9" t="s">
        <v>67</v>
      </c>
      <c r="F2906" s="6">
        <v>80</v>
      </c>
      <c r="G2906" s="6">
        <f t="shared" si="151"/>
        <v>80</v>
      </c>
      <c r="H2906" s="6">
        <f>15+60+5</f>
        <v>80</v>
      </c>
      <c r="I2906" s="26">
        <f t="shared" si="152"/>
        <v>0</v>
      </c>
      <c r="J2906" s="7" t="str">
        <f t="shared" si="150"/>
        <v>PAGADO</v>
      </c>
      <c r="K2906" s="33" t="s">
        <v>2258</v>
      </c>
    </row>
    <row r="2907" spans="1:11" x14ac:dyDescent="0.25">
      <c r="A2907">
        <v>2025</v>
      </c>
      <c r="C2907" s="9" t="s">
        <v>2812</v>
      </c>
      <c r="D2907" s="9" t="s">
        <v>597</v>
      </c>
      <c r="F2907" s="6">
        <v>70</v>
      </c>
      <c r="G2907" s="6">
        <f t="shared" si="151"/>
        <v>70</v>
      </c>
      <c r="H2907" s="6">
        <v>70</v>
      </c>
      <c r="I2907" s="26">
        <f t="shared" si="152"/>
        <v>0</v>
      </c>
      <c r="J2907" s="7" t="str">
        <f t="shared" si="150"/>
        <v>PAGADO</v>
      </c>
      <c r="K2907" s="33" t="s">
        <v>2258</v>
      </c>
    </row>
    <row r="2908" spans="1:11" x14ac:dyDescent="0.25">
      <c r="A2908">
        <v>2025</v>
      </c>
      <c r="C2908" s="9" t="s">
        <v>2813</v>
      </c>
      <c r="D2908" s="9" t="s">
        <v>238</v>
      </c>
      <c r="F2908" s="6">
        <v>270</v>
      </c>
      <c r="G2908" s="6">
        <f t="shared" si="151"/>
        <v>270</v>
      </c>
      <c r="H2908" s="6">
        <v>270</v>
      </c>
      <c r="I2908" s="26">
        <f t="shared" si="152"/>
        <v>0</v>
      </c>
      <c r="J2908" s="7" t="str">
        <f t="shared" si="150"/>
        <v>PAGADO</v>
      </c>
      <c r="K2908" s="9" t="s">
        <v>2761</v>
      </c>
    </row>
    <row r="2909" spans="1:11" x14ac:dyDescent="0.25">
      <c r="A2909">
        <v>2025</v>
      </c>
      <c r="C2909" t="s">
        <v>2814</v>
      </c>
      <c r="D2909" s="9" t="s">
        <v>238</v>
      </c>
      <c r="F2909" s="6">
        <v>160</v>
      </c>
      <c r="G2909" s="6">
        <f t="shared" si="151"/>
        <v>160</v>
      </c>
      <c r="H2909" s="6">
        <v>160</v>
      </c>
      <c r="I2909" s="26">
        <f t="shared" si="152"/>
        <v>0</v>
      </c>
      <c r="J2909" s="7" t="str">
        <f t="shared" si="150"/>
        <v>PAGADO</v>
      </c>
      <c r="K2909" s="9" t="s">
        <v>2759</v>
      </c>
    </row>
    <row r="2910" spans="1:11" x14ac:dyDescent="0.25">
      <c r="A2910">
        <v>2025</v>
      </c>
      <c r="C2910" s="9" t="s">
        <v>2815</v>
      </c>
      <c r="D2910" s="9" t="s">
        <v>238</v>
      </c>
      <c r="F2910" s="6">
        <v>320</v>
      </c>
      <c r="G2910" s="6">
        <f t="shared" si="151"/>
        <v>320</v>
      </c>
      <c r="H2910" s="6">
        <v>320</v>
      </c>
      <c r="I2910" s="26">
        <f t="shared" si="152"/>
        <v>0</v>
      </c>
      <c r="J2910" s="7" t="str">
        <f t="shared" si="150"/>
        <v>PAGADO</v>
      </c>
      <c r="K2910" s="9" t="s">
        <v>2759</v>
      </c>
    </row>
    <row r="2911" spans="1:11" x14ac:dyDescent="0.25">
      <c r="A2911">
        <v>2025</v>
      </c>
      <c r="C2911" s="9" t="s">
        <v>2816</v>
      </c>
      <c r="D2911" s="9" t="s">
        <v>2530</v>
      </c>
      <c r="F2911" s="6">
        <v>80</v>
      </c>
      <c r="G2911" s="6">
        <f t="shared" si="151"/>
        <v>80</v>
      </c>
      <c r="H2911" s="27">
        <f>40+40</f>
        <v>80</v>
      </c>
      <c r="I2911" s="26">
        <f t="shared" si="152"/>
        <v>0</v>
      </c>
      <c r="J2911" s="7" t="str">
        <f t="shared" si="150"/>
        <v>PAGADO</v>
      </c>
      <c r="K2911" s="33" t="s">
        <v>2258</v>
      </c>
    </row>
    <row r="2912" spans="1:11" x14ac:dyDescent="0.25">
      <c r="A2912">
        <v>2025</v>
      </c>
      <c r="C2912" s="9" t="s">
        <v>2636</v>
      </c>
      <c r="D2912" s="9" t="s">
        <v>2530</v>
      </c>
      <c r="F2912" s="6">
        <v>70</v>
      </c>
      <c r="G2912" s="6">
        <f t="shared" si="151"/>
        <v>70</v>
      </c>
      <c r="H2912" s="24">
        <f>35+35</f>
        <v>70</v>
      </c>
      <c r="I2912" s="26">
        <f t="shared" si="152"/>
        <v>0</v>
      </c>
      <c r="J2912" s="7" t="str">
        <f t="shared" si="150"/>
        <v>PAGADO</v>
      </c>
      <c r="K2912" s="33" t="s">
        <v>2258</v>
      </c>
    </row>
    <row r="2913" spans="1:11" x14ac:dyDescent="0.25">
      <c r="A2913">
        <v>2025</v>
      </c>
      <c r="C2913" s="9" t="s">
        <v>2817</v>
      </c>
      <c r="D2913" s="9" t="s">
        <v>2530</v>
      </c>
      <c r="F2913" s="6">
        <v>80</v>
      </c>
      <c r="G2913" s="6">
        <f t="shared" si="151"/>
        <v>80</v>
      </c>
      <c r="H2913" s="26">
        <v>80</v>
      </c>
      <c r="I2913" s="26">
        <f t="shared" si="152"/>
        <v>0</v>
      </c>
      <c r="J2913" s="7" t="str">
        <f t="shared" si="150"/>
        <v>PAGADO</v>
      </c>
      <c r="K2913" s="33" t="s">
        <v>693</v>
      </c>
    </row>
    <row r="2914" spans="1:11" x14ac:dyDescent="0.25">
      <c r="A2914">
        <v>2025</v>
      </c>
      <c r="C2914" s="9" t="s">
        <v>2818</v>
      </c>
      <c r="D2914" s="9" t="s">
        <v>2530</v>
      </c>
      <c r="F2914" s="6">
        <v>70</v>
      </c>
      <c r="G2914" s="6">
        <f t="shared" si="151"/>
        <v>70</v>
      </c>
      <c r="H2914" s="26">
        <v>70</v>
      </c>
      <c r="I2914" s="26">
        <f t="shared" si="152"/>
        <v>0</v>
      </c>
      <c r="J2914" s="7" t="str">
        <f t="shared" si="150"/>
        <v>PAGADO</v>
      </c>
      <c r="K2914" s="33" t="s">
        <v>693</v>
      </c>
    </row>
    <row r="2915" spans="1:11" x14ac:dyDescent="0.25">
      <c r="A2915">
        <v>2025</v>
      </c>
      <c r="C2915" s="9" t="s">
        <v>2819</v>
      </c>
      <c r="D2915" s="9" t="s">
        <v>2820</v>
      </c>
      <c r="F2915" s="6">
        <v>110</v>
      </c>
      <c r="G2915" s="6">
        <f t="shared" si="151"/>
        <v>110</v>
      </c>
      <c r="H2915" s="6">
        <v>110</v>
      </c>
      <c r="I2915" s="26">
        <f t="shared" si="152"/>
        <v>0</v>
      </c>
      <c r="J2915" s="7" t="str">
        <f t="shared" si="150"/>
        <v>PAGADO</v>
      </c>
    </row>
    <row r="2916" spans="1:11" x14ac:dyDescent="0.25">
      <c r="A2916">
        <v>2025</v>
      </c>
      <c r="C2916" s="9" t="s">
        <v>2821</v>
      </c>
      <c r="D2916" s="9" t="s">
        <v>2820</v>
      </c>
      <c r="F2916" s="6">
        <v>120</v>
      </c>
      <c r="G2916" s="6">
        <f t="shared" si="151"/>
        <v>120</v>
      </c>
      <c r="H2916" s="6">
        <v>120</v>
      </c>
      <c r="I2916" s="26">
        <f t="shared" si="152"/>
        <v>0</v>
      </c>
      <c r="J2916" s="7" t="str">
        <f t="shared" si="150"/>
        <v>PAGADO</v>
      </c>
    </row>
    <row r="2917" spans="1:11" x14ac:dyDescent="0.25">
      <c r="A2917">
        <v>2025</v>
      </c>
      <c r="C2917" s="9" t="s">
        <v>2822</v>
      </c>
      <c r="D2917" s="9" t="s">
        <v>2530</v>
      </c>
      <c r="F2917" s="6">
        <v>80</v>
      </c>
      <c r="G2917" s="6">
        <f t="shared" si="151"/>
        <v>80</v>
      </c>
      <c r="H2917" s="27">
        <v>80</v>
      </c>
      <c r="I2917" s="26">
        <f t="shared" si="152"/>
        <v>0</v>
      </c>
      <c r="J2917" s="7" t="str">
        <f t="shared" si="150"/>
        <v>PAGADO</v>
      </c>
      <c r="K2917" s="33" t="s">
        <v>2479</v>
      </c>
    </row>
    <row r="2918" spans="1:11" x14ac:dyDescent="0.25">
      <c r="A2918">
        <v>2025</v>
      </c>
      <c r="C2918" s="9" t="s">
        <v>2615</v>
      </c>
      <c r="D2918" s="9" t="s">
        <v>2530</v>
      </c>
      <c r="F2918" s="6">
        <v>80</v>
      </c>
      <c r="G2918" s="6">
        <f t="shared" si="151"/>
        <v>80</v>
      </c>
      <c r="H2918" s="27">
        <v>80</v>
      </c>
      <c r="I2918" s="26">
        <f t="shared" si="152"/>
        <v>0</v>
      </c>
      <c r="J2918" s="7" t="str">
        <f t="shared" si="150"/>
        <v>PAGADO</v>
      </c>
      <c r="K2918" s="33" t="s">
        <v>2479</v>
      </c>
    </row>
    <row r="2919" spans="1:11" x14ac:dyDescent="0.25">
      <c r="A2919">
        <v>2025</v>
      </c>
      <c r="C2919" s="9" t="s">
        <v>2614</v>
      </c>
      <c r="D2919" s="9" t="s">
        <v>2530</v>
      </c>
      <c r="F2919" s="6">
        <v>75</v>
      </c>
      <c r="G2919" s="6">
        <f t="shared" si="151"/>
        <v>75</v>
      </c>
      <c r="H2919" s="24">
        <v>75</v>
      </c>
      <c r="I2919" s="26">
        <f t="shared" si="152"/>
        <v>0</v>
      </c>
      <c r="J2919" s="7" t="str">
        <f t="shared" si="150"/>
        <v>PAGADO</v>
      </c>
      <c r="K2919" s="33" t="s">
        <v>2479</v>
      </c>
    </row>
    <row r="2920" spans="1:11" x14ac:dyDescent="0.25">
      <c r="A2920">
        <v>2025</v>
      </c>
      <c r="C2920" s="9" t="s">
        <v>2253</v>
      </c>
      <c r="D2920" s="9" t="s">
        <v>2530</v>
      </c>
      <c r="F2920" s="6">
        <v>75</v>
      </c>
      <c r="G2920" s="6">
        <f t="shared" si="151"/>
        <v>75</v>
      </c>
      <c r="H2920" s="24">
        <v>75</v>
      </c>
      <c r="I2920" s="26">
        <f t="shared" si="152"/>
        <v>0</v>
      </c>
      <c r="J2920" s="7" t="str">
        <f t="shared" si="150"/>
        <v>PAGADO</v>
      </c>
      <c r="K2920" s="33" t="s">
        <v>2479</v>
      </c>
    </row>
    <row r="2921" spans="1:11" x14ac:dyDescent="0.25">
      <c r="A2921">
        <v>2025</v>
      </c>
      <c r="C2921" s="9" t="s">
        <v>2823</v>
      </c>
      <c r="D2921" s="9" t="s">
        <v>2530</v>
      </c>
      <c r="F2921" s="6">
        <v>70</v>
      </c>
      <c r="G2921" s="6">
        <f t="shared" si="151"/>
        <v>70</v>
      </c>
      <c r="H2921" s="27">
        <f>35+35</f>
        <v>70</v>
      </c>
      <c r="I2921" s="26">
        <f t="shared" si="152"/>
        <v>0</v>
      </c>
      <c r="J2921" s="7" t="str">
        <f t="shared" si="150"/>
        <v>PAGADO</v>
      </c>
      <c r="K2921" s="33" t="s">
        <v>693</v>
      </c>
    </row>
    <row r="2922" spans="1:11" x14ac:dyDescent="0.25">
      <c r="A2922">
        <v>2025</v>
      </c>
      <c r="C2922" s="9" t="s">
        <v>2824</v>
      </c>
      <c r="D2922" s="9" t="s">
        <v>2530</v>
      </c>
      <c r="F2922" s="26">
        <v>70</v>
      </c>
      <c r="G2922" s="26">
        <f t="shared" si="151"/>
        <v>70</v>
      </c>
      <c r="H2922" s="26">
        <f>35+35</f>
        <v>70</v>
      </c>
      <c r="I2922" s="26">
        <f t="shared" si="152"/>
        <v>0</v>
      </c>
      <c r="J2922" s="7" t="str">
        <f t="shared" si="150"/>
        <v>PAGADO</v>
      </c>
      <c r="K2922" s="33" t="s">
        <v>2639</v>
      </c>
    </row>
    <row r="2923" spans="1:11" x14ac:dyDescent="0.25">
      <c r="A2923">
        <v>2025</v>
      </c>
      <c r="C2923" t="s">
        <v>2825</v>
      </c>
      <c r="D2923" s="9" t="s">
        <v>1736</v>
      </c>
      <c r="F2923" s="26">
        <v>7</v>
      </c>
      <c r="G2923" s="26">
        <f t="shared" si="151"/>
        <v>7</v>
      </c>
      <c r="H2923" s="26">
        <v>7</v>
      </c>
      <c r="I2923" s="26">
        <f t="shared" si="152"/>
        <v>0</v>
      </c>
      <c r="J2923" s="7" t="str">
        <f t="shared" si="150"/>
        <v>PAGADO</v>
      </c>
    </row>
    <row r="2924" spans="1:11" x14ac:dyDescent="0.25">
      <c r="A2924">
        <v>2025</v>
      </c>
      <c r="C2924" s="9" t="s">
        <v>2826</v>
      </c>
      <c r="D2924" s="9" t="s">
        <v>2278</v>
      </c>
      <c r="F2924" s="6">
        <v>250</v>
      </c>
      <c r="G2924" s="6">
        <f t="shared" si="151"/>
        <v>250</v>
      </c>
      <c r="H2924" s="6">
        <v>250</v>
      </c>
      <c r="I2924" s="26">
        <f t="shared" si="152"/>
        <v>0</v>
      </c>
      <c r="J2924" s="7" t="str">
        <f t="shared" si="150"/>
        <v>PAGADO</v>
      </c>
      <c r="K2924" s="60" t="s">
        <v>693</v>
      </c>
    </row>
    <row r="2925" spans="1:11" x14ac:dyDescent="0.25">
      <c r="A2925">
        <v>2025</v>
      </c>
      <c r="C2925" s="9" t="s">
        <v>1643</v>
      </c>
      <c r="D2925" s="9" t="s">
        <v>488</v>
      </c>
      <c r="F2925" s="6">
        <v>160</v>
      </c>
      <c r="G2925" s="6">
        <f t="shared" si="151"/>
        <v>160</v>
      </c>
      <c r="H2925" s="6">
        <f>80+80</f>
        <v>160</v>
      </c>
      <c r="I2925" s="26">
        <f t="shared" si="152"/>
        <v>0</v>
      </c>
      <c r="J2925" s="7" t="str">
        <f t="shared" si="150"/>
        <v>PAGADO</v>
      </c>
      <c r="K2925" s="9"/>
    </row>
    <row r="2926" spans="1:11" x14ac:dyDescent="0.25">
      <c r="A2926">
        <v>2025</v>
      </c>
      <c r="C2926" s="9" t="s">
        <v>2827</v>
      </c>
      <c r="D2926" s="9" t="s">
        <v>74</v>
      </c>
      <c r="F2926" s="6">
        <v>80</v>
      </c>
      <c r="G2926" s="6">
        <f t="shared" si="151"/>
        <v>80</v>
      </c>
      <c r="H2926" s="6">
        <f>40+26</f>
        <v>66</v>
      </c>
      <c r="I2926" s="26">
        <f t="shared" si="152"/>
        <v>14</v>
      </c>
      <c r="J2926" s="7" t="str">
        <f t="shared" si="150"/>
        <v>DEBE</v>
      </c>
    </row>
    <row r="2927" spans="1:11" x14ac:dyDescent="0.25">
      <c r="A2927">
        <v>2025</v>
      </c>
      <c r="C2927" s="9" t="s">
        <v>2828</v>
      </c>
      <c r="D2927" s="9" t="s">
        <v>2829</v>
      </c>
      <c r="F2927" s="6">
        <v>60</v>
      </c>
      <c r="G2927" s="6">
        <f t="shared" si="151"/>
        <v>60</v>
      </c>
      <c r="H2927" s="6">
        <v>60</v>
      </c>
      <c r="I2927" s="6">
        <f t="shared" si="152"/>
        <v>0</v>
      </c>
      <c r="J2927" s="7" t="str">
        <f t="shared" si="150"/>
        <v>PAGADO</v>
      </c>
    </row>
    <row r="2928" spans="1:11" x14ac:dyDescent="0.25">
      <c r="A2928">
        <v>2025</v>
      </c>
      <c r="C2928" s="9" t="s">
        <v>1514</v>
      </c>
      <c r="D2928" s="9" t="s">
        <v>2829</v>
      </c>
      <c r="F2928" s="6">
        <v>40</v>
      </c>
      <c r="G2928" s="6">
        <f t="shared" si="151"/>
        <v>40</v>
      </c>
      <c r="H2928" s="6">
        <v>40</v>
      </c>
      <c r="I2928" s="6">
        <f t="shared" si="152"/>
        <v>0</v>
      </c>
      <c r="J2928" s="7" t="str">
        <f t="shared" si="150"/>
        <v>PAGADO</v>
      </c>
    </row>
    <row r="2929" spans="1:11" x14ac:dyDescent="0.25">
      <c r="A2929">
        <v>2025</v>
      </c>
      <c r="C2929" s="9" t="s">
        <v>2830</v>
      </c>
      <c r="D2929" s="9" t="s">
        <v>2829</v>
      </c>
      <c r="F2929" s="6">
        <v>70</v>
      </c>
      <c r="G2929" s="6">
        <f t="shared" si="151"/>
        <v>70</v>
      </c>
      <c r="H2929" s="6">
        <v>70</v>
      </c>
      <c r="I2929" s="6">
        <f t="shared" si="152"/>
        <v>0</v>
      </c>
      <c r="J2929" s="7" t="str">
        <f t="shared" si="150"/>
        <v>PAGADO</v>
      </c>
    </row>
    <row r="2930" spans="1:11" x14ac:dyDescent="0.25">
      <c r="A2930">
        <v>2025</v>
      </c>
      <c r="C2930" t="s">
        <v>2831</v>
      </c>
      <c r="D2930" s="9" t="s">
        <v>2619</v>
      </c>
      <c r="F2930" s="6">
        <v>14</v>
      </c>
      <c r="G2930" s="6">
        <f t="shared" si="151"/>
        <v>14</v>
      </c>
      <c r="H2930" s="6">
        <v>14</v>
      </c>
      <c r="I2930" s="26">
        <f t="shared" si="152"/>
        <v>0</v>
      </c>
      <c r="J2930" s="7" t="str">
        <f t="shared" si="150"/>
        <v>PAGADO</v>
      </c>
    </row>
    <row r="2931" spans="1:11" x14ac:dyDescent="0.25">
      <c r="A2931">
        <v>2025</v>
      </c>
      <c r="C2931" s="9" t="s">
        <v>2832</v>
      </c>
      <c r="D2931" s="9" t="s">
        <v>2363</v>
      </c>
      <c r="F2931" s="6">
        <v>65</v>
      </c>
      <c r="G2931" s="6">
        <f t="shared" si="151"/>
        <v>65</v>
      </c>
      <c r="H2931" s="6">
        <v>65</v>
      </c>
      <c r="I2931" s="26">
        <f t="shared" si="152"/>
        <v>0</v>
      </c>
      <c r="J2931" s="7" t="str">
        <f t="shared" si="150"/>
        <v>PAGADO</v>
      </c>
      <c r="K2931" s="33" t="s">
        <v>693</v>
      </c>
    </row>
    <row r="2932" spans="1:11" x14ac:dyDescent="0.25">
      <c r="A2932">
        <v>2025</v>
      </c>
      <c r="C2932" t="s">
        <v>2833</v>
      </c>
      <c r="D2932" s="9" t="s">
        <v>1994</v>
      </c>
      <c r="F2932" s="6">
        <v>55</v>
      </c>
      <c r="G2932" s="6">
        <f t="shared" si="151"/>
        <v>55</v>
      </c>
      <c r="H2932" s="6">
        <v>55</v>
      </c>
      <c r="I2932" s="6">
        <f t="shared" si="152"/>
        <v>0</v>
      </c>
      <c r="J2932" s="7" t="str">
        <f t="shared" si="150"/>
        <v>PAGADO</v>
      </c>
    </row>
    <row r="2933" spans="1:11" x14ac:dyDescent="0.25">
      <c r="A2933">
        <v>2025</v>
      </c>
      <c r="C2933" s="9" t="s">
        <v>2834</v>
      </c>
      <c r="D2933" s="9" t="s">
        <v>1535</v>
      </c>
      <c r="F2933" s="6">
        <v>40</v>
      </c>
      <c r="G2933" s="6">
        <f t="shared" si="151"/>
        <v>40</v>
      </c>
      <c r="H2933" s="6">
        <v>40</v>
      </c>
      <c r="I2933" s="26">
        <f t="shared" si="152"/>
        <v>0</v>
      </c>
      <c r="J2933" s="7" t="str">
        <f t="shared" si="150"/>
        <v>PAGADO</v>
      </c>
    </row>
    <row r="2934" spans="1:11" x14ac:dyDescent="0.25">
      <c r="A2934">
        <v>2025</v>
      </c>
      <c r="C2934" t="s">
        <v>2834</v>
      </c>
      <c r="D2934" s="9" t="s">
        <v>1222</v>
      </c>
      <c r="F2934" s="6">
        <v>40</v>
      </c>
      <c r="G2934" s="6">
        <f t="shared" si="151"/>
        <v>40</v>
      </c>
      <c r="H2934" s="6">
        <v>40</v>
      </c>
      <c r="I2934" s="6">
        <f t="shared" si="152"/>
        <v>0</v>
      </c>
      <c r="J2934" s="7" t="str">
        <f t="shared" si="150"/>
        <v>PAGADO</v>
      </c>
    </row>
    <row r="2935" spans="1:11" x14ac:dyDescent="0.25">
      <c r="A2935">
        <v>2025</v>
      </c>
      <c r="C2935" s="9" t="s">
        <v>2835</v>
      </c>
      <c r="D2935" t="s">
        <v>2180</v>
      </c>
      <c r="F2935" s="6">
        <v>120</v>
      </c>
      <c r="G2935" s="6">
        <f t="shared" si="151"/>
        <v>120</v>
      </c>
      <c r="H2935" s="6">
        <f>20+100</f>
        <v>120</v>
      </c>
      <c r="I2935" s="26">
        <f t="shared" si="152"/>
        <v>0</v>
      </c>
      <c r="J2935" s="7" t="str">
        <f t="shared" si="150"/>
        <v>PAGADO</v>
      </c>
    </row>
    <row r="2936" spans="1:11" x14ac:dyDescent="0.25">
      <c r="A2936">
        <v>2025</v>
      </c>
      <c r="C2936" s="9" t="s">
        <v>2836</v>
      </c>
      <c r="D2936" s="9" t="s">
        <v>2105</v>
      </c>
      <c r="F2936" s="6">
        <v>60</v>
      </c>
      <c r="G2936" s="6">
        <f t="shared" si="151"/>
        <v>60</v>
      </c>
      <c r="H2936" s="6">
        <v>60</v>
      </c>
      <c r="I2936" s="26">
        <f t="shared" si="152"/>
        <v>0</v>
      </c>
      <c r="J2936" s="7" t="str">
        <f t="shared" ref="J2936:J2960" si="153">IF(I2936&gt;0,"DEBE","PAGADO")</f>
        <v>PAGADO</v>
      </c>
    </row>
    <row r="2937" spans="1:11" x14ac:dyDescent="0.25">
      <c r="A2937">
        <v>2025</v>
      </c>
      <c r="C2937" s="9" t="s">
        <v>2837</v>
      </c>
      <c r="D2937" s="9" t="s">
        <v>1078</v>
      </c>
      <c r="F2937" s="6">
        <v>170</v>
      </c>
      <c r="G2937" s="6">
        <f t="shared" si="151"/>
        <v>170</v>
      </c>
      <c r="H2937" s="6">
        <v>170</v>
      </c>
      <c r="I2937" s="26">
        <f t="shared" si="152"/>
        <v>0</v>
      </c>
      <c r="J2937" s="7" t="str">
        <f t="shared" si="153"/>
        <v>PAGADO</v>
      </c>
    </row>
    <row r="2938" spans="1:11" x14ac:dyDescent="0.25">
      <c r="A2938">
        <v>2025</v>
      </c>
      <c r="C2938" s="9" t="s">
        <v>734</v>
      </c>
      <c r="D2938" s="9" t="s">
        <v>2407</v>
      </c>
      <c r="F2938" s="6">
        <v>100</v>
      </c>
      <c r="G2938" s="6">
        <f t="shared" si="151"/>
        <v>100</v>
      </c>
      <c r="H2938" s="6">
        <v>100</v>
      </c>
      <c r="I2938" s="26">
        <f t="shared" si="152"/>
        <v>0</v>
      </c>
      <c r="J2938" s="7" t="str">
        <f t="shared" si="153"/>
        <v>PAGADO</v>
      </c>
    </row>
    <row r="2939" spans="1:11" x14ac:dyDescent="0.25">
      <c r="A2939">
        <v>2025</v>
      </c>
      <c r="C2939" s="9" t="s">
        <v>1620</v>
      </c>
      <c r="D2939" s="9" t="s">
        <v>2838</v>
      </c>
      <c r="F2939" s="6">
        <v>60</v>
      </c>
      <c r="G2939" s="6">
        <f t="shared" si="151"/>
        <v>60</v>
      </c>
      <c r="H2939" s="6">
        <v>60</v>
      </c>
      <c r="I2939" s="26">
        <f t="shared" si="152"/>
        <v>0</v>
      </c>
      <c r="J2939" s="7" t="str">
        <f t="shared" si="153"/>
        <v>PAGADO</v>
      </c>
    </row>
    <row r="2940" spans="1:11" x14ac:dyDescent="0.25">
      <c r="A2940">
        <v>2025</v>
      </c>
      <c r="C2940" s="9" t="s">
        <v>2839</v>
      </c>
      <c r="D2940" s="9" t="s">
        <v>2838</v>
      </c>
      <c r="F2940" s="6">
        <v>150</v>
      </c>
      <c r="G2940" s="6">
        <f t="shared" si="151"/>
        <v>150</v>
      </c>
      <c r="H2940" s="6">
        <v>150</v>
      </c>
      <c r="I2940" s="26">
        <f t="shared" si="152"/>
        <v>0</v>
      </c>
      <c r="J2940" s="7" t="str">
        <f t="shared" si="153"/>
        <v>PAGADO</v>
      </c>
    </row>
    <row r="2941" spans="1:11" x14ac:dyDescent="0.25">
      <c r="A2941">
        <v>2025</v>
      </c>
      <c r="C2941" s="9" t="s">
        <v>2840</v>
      </c>
      <c r="D2941" s="9" t="s">
        <v>2841</v>
      </c>
      <c r="F2941" s="6">
        <v>65</v>
      </c>
      <c r="G2941" s="6">
        <f t="shared" si="151"/>
        <v>65</v>
      </c>
      <c r="H2941" s="6">
        <v>65</v>
      </c>
      <c r="I2941" s="26">
        <f t="shared" si="152"/>
        <v>0</v>
      </c>
      <c r="J2941" s="7" t="str">
        <f t="shared" si="153"/>
        <v>PAGADO</v>
      </c>
    </row>
    <row r="2942" spans="1:11" x14ac:dyDescent="0.25">
      <c r="A2942">
        <v>2025</v>
      </c>
      <c r="C2942" s="9" t="s">
        <v>2842</v>
      </c>
      <c r="D2942" s="9" t="s">
        <v>2360</v>
      </c>
      <c r="F2942" s="6">
        <v>40</v>
      </c>
      <c r="G2942" s="6">
        <f t="shared" ref="G2942:G3005" si="154">F2942-E2942</f>
        <v>40</v>
      </c>
      <c r="H2942" s="6">
        <v>40</v>
      </c>
      <c r="I2942" s="26">
        <f t="shared" si="152"/>
        <v>0</v>
      </c>
      <c r="J2942" s="7" t="str">
        <f t="shared" si="153"/>
        <v>PAGADO</v>
      </c>
    </row>
    <row r="2943" spans="1:11" x14ac:dyDescent="0.25">
      <c r="A2943">
        <v>2025</v>
      </c>
      <c r="C2943" t="s">
        <v>2843</v>
      </c>
      <c r="D2943" t="s">
        <v>1659</v>
      </c>
      <c r="F2943" s="6">
        <v>20</v>
      </c>
      <c r="G2943" s="6">
        <f t="shared" si="154"/>
        <v>20</v>
      </c>
      <c r="H2943" s="6">
        <v>20</v>
      </c>
      <c r="I2943" s="26">
        <f t="shared" si="152"/>
        <v>0</v>
      </c>
      <c r="J2943" s="7" t="str">
        <f t="shared" si="153"/>
        <v>PAGADO</v>
      </c>
    </row>
    <row r="2944" spans="1:11" x14ac:dyDescent="0.25">
      <c r="A2944">
        <v>2025</v>
      </c>
      <c r="C2944" t="s">
        <v>2844</v>
      </c>
      <c r="D2944" t="s">
        <v>1659</v>
      </c>
      <c r="F2944" s="6">
        <v>20</v>
      </c>
      <c r="G2944" s="6">
        <f t="shared" si="154"/>
        <v>20</v>
      </c>
      <c r="H2944" s="6">
        <v>20</v>
      </c>
      <c r="I2944" s="26">
        <f t="shared" si="152"/>
        <v>0</v>
      </c>
      <c r="J2944" s="7" t="str">
        <f t="shared" si="153"/>
        <v>PAGADO</v>
      </c>
    </row>
    <row r="2945" spans="1:11" x14ac:dyDescent="0.25">
      <c r="A2945">
        <v>2025</v>
      </c>
      <c r="C2945" t="s">
        <v>2845</v>
      </c>
      <c r="D2945" t="s">
        <v>2846</v>
      </c>
      <c r="F2945" s="6">
        <v>70</v>
      </c>
      <c r="G2945" s="6">
        <f t="shared" si="154"/>
        <v>70</v>
      </c>
      <c r="H2945" s="6">
        <v>70</v>
      </c>
      <c r="I2945" s="26">
        <f t="shared" si="152"/>
        <v>0</v>
      </c>
      <c r="J2945" s="7" t="str">
        <f t="shared" si="153"/>
        <v>PAGADO</v>
      </c>
    </row>
    <row r="2946" spans="1:11" x14ac:dyDescent="0.25">
      <c r="A2946">
        <v>2025</v>
      </c>
      <c r="C2946" t="s">
        <v>2847</v>
      </c>
      <c r="D2946" t="s">
        <v>2846</v>
      </c>
      <c r="F2946" s="6">
        <v>100</v>
      </c>
      <c r="G2946" s="6">
        <f t="shared" si="154"/>
        <v>100</v>
      </c>
      <c r="H2946" s="6">
        <v>100</v>
      </c>
      <c r="I2946" s="26">
        <f t="shared" si="152"/>
        <v>0</v>
      </c>
      <c r="J2946" s="7" t="str">
        <f t="shared" si="153"/>
        <v>PAGADO</v>
      </c>
    </row>
    <row r="2947" spans="1:11" x14ac:dyDescent="0.25">
      <c r="A2947">
        <v>2025</v>
      </c>
      <c r="C2947" s="9" t="s">
        <v>2848</v>
      </c>
      <c r="D2947" s="9" t="s">
        <v>2018</v>
      </c>
      <c r="F2947" s="6">
        <v>20</v>
      </c>
      <c r="G2947" s="6">
        <f t="shared" si="154"/>
        <v>20</v>
      </c>
      <c r="H2947" s="6">
        <v>20</v>
      </c>
      <c r="I2947" s="26">
        <f t="shared" si="152"/>
        <v>0</v>
      </c>
      <c r="J2947" s="7" t="str">
        <f t="shared" si="153"/>
        <v>PAGADO</v>
      </c>
    </row>
    <row r="2948" spans="1:11" x14ac:dyDescent="0.25">
      <c r="A2948">
        <v>2025</v>
      </c>
      <c r="C2948" t="s">
        <v>2849</v>
      </c>
      <c r="D2948" t="s">
        <v>1640</v>
      </c>
      <c r="F2948" s="6">
        <v>140</v>
      </c>
      <c r="G2948" s="6">
        <f t="shared" si="154"/>
        <v>140</v>
      </c>
      <c r="H2948" s="6">
        <v>140</v>
      </c>
      <c r="I2948" s="6">
        <f t="shared" si="152"/>
        <v>0</v>
      </c>
      <c r="J2948" s="7" t="str">
        <f t="shared" si="153"/>
        <v>PAGADO</v>
      </c>
    </row>
    <row r="2949" spans="1:11" x14ac:dyDescent="0.25">
      <c r="A2949">
        <v>2025</v>
      </c>
      <c r="C2949" s="9" t="s">
        <v>2850</v>
      </c>
      <c r="D2949" s="9" t="s">
        <v>941</v>
      </c>
      <c r="F2949" s="6">
        <v>20</v>
      </c>
      <c r="G2949" s="6">
        <f t="shared" si="154"/>
        <v>20</v>
      </c>
      <c r="H2949" s="6">
        <v>20</v>
      </c>
      <c r="I2949" s="26">
        <f t="shared" si="152"/>
        <v>0</v>
      </c>
      <c r="J2949" s="7" t="str">
        <f t="shared" si="153"/>
        <v>PAGADO</v>
      </c>
    </row>
    <row r="2950" spans="1:11" x14ac:dyDescent="0.25">
      <c r="A2950">
        <v>2025</v>
      </c>
      <c r="C2950" s="9" t="s">
        <v>2851</v>
      </c>
      <c r="D2950" s="9" t="s">
        <v>2852</v>
      </c>
      <c r="F2950" s="6">
        <v>50</v>
      </c>
      <c r="G2950" s="6">
        <f t="shared" si="154"/>
        <v>50</v>
      </c>
      <c r="H2950" s="6">
        <v>50</v>
      </c>
      <c r="I2950" s="26">
        <f t="shared" si="152"/>
        <v>0</v>
      </c>
      <c r="J2950" s="7" t="str">
        <f t="shared" si="153"/>
        <v>PAGADO</v>
      </c>
    </row>
    <row r="2951" spans="1:11" x14ac:dyDescent="0.25">
      <c r="A2951">
        <v>2025</v>
      </c>
      <c r="C2951" s="9" t="s">
        <v>2617</v>
      </c>
      <c r="D2951" s="9" t="s">
        <v>2685</v>
      </c>
      <c r="F2951" s="6">
        <v>80</v>
      </c>
      <c r="G2951" s="6">
        <f t="shared" si="154"/>
        <v>80</v>
      </c>
      <c r="H2951" s="6">
        <v>0</v>
      </c>
      <c r="I2951" s="26">
        <f t="shared" si="152"/>
        <v>80</v>
      </c>
      <c r="J2951" s="7" t="str">
        <f t="shared" si="153"/>
        <v>DEBE</v>
      </c>
      <c r="K2951" s="9" t="s">
        <v>2791</v>
      </c>
    </row>
    <row r="2952" spans="1:11" x14ac:dyDescent="0.25">
      <c r="A2952">
        <v>2025</v>
      </c>
      <c r="C2952" s="9" t="s">
        <v>2853</v>
      </c>
      <c r="D2952" t="s">
        <v>1640</v>
      </c>
      <c r="F2952" s="6">
        <v>79</v>
      </c>
      <c r="G2952" s="6">
        <f t="shared" si="154"/>
        <v>79</v>
      </c>
      <c r="H2952" s="6">
        <v>79</v>
      </c>
      <c r="I2952" s="6">
        <f t="shared" si="152"/>
        <v>0</v>
      </c>
      <c r="J2952" s="7" t="str">
        <f t="shared" si="153"/>
        <v>PAGADO</v>
      </c>
    </row>
    <row r="2953" spans="1:11" x14ac:dyDescent="0.25">
      <c r="A2953">
        <v>2025</v>
      </c>
      <c r="C2953" s="9" t="s">
        <v>2617</v>
      </c>
      <c r="D2953" s="9" t="s">
        <v>2530</v>
      </c>
      <c r="F2953" s="26">
        <v>80</v>
      </c>
      <c r="G2953" s="26">
        <f t="shared" si="154"/>
        <v>80</v>
      </c>
      <c r="H2953" s="26">
        <f>40+40</f>
        <v>80</v>
      </c>
      <c r="I2953" s="26">
        <f t="shared" si="152"/>
        <v>0</v>
      </c>
      <c r="J2953" s="7" t="str">
        <f t="shared" si="153"/>
        <v>PAGADO</v>
      </c>
      <c r="K2953" s="33" t="s">
        <v>2258</v>
      </c>
    </row>
    <row r="2954" spans="1:11" x14ac:dyDescent="0.25">
      <c r="A2954">
        <v>2025</v>
      </c>
      <c r="C2954" s="9" t="s">
        <v>2854</v>
      </c>
      <c r="D2954" s="9" t="s">
        <v>2530</v>
      </c>
      <c r="F2954" s="6">
        <v>80</v>
      </c>
      <c r="G2954" s="6">
        <f t="shared" si="154"/>
        <v>80</v>
      </c>
      <c r="H2954" s="6">
        <f>40+40</f>
        <v>80</v>
      </c>
      <c r="I2954" s="26">
        <f t="shared" si="152"/>
        <v>0</v>
      </c>
      <c r="J2954" s="7" t="str">
        <f t="shared" si="153"/>
        <v>PAGADO</v>
      </c>
      <c r="K2954" s="33" t="s">
        <v>2258</v>
      </c>
    </row>
    <row r="2955" spans="1:11" x14ac:dyDescent="0.25">
      <c r="A2955">
        <v>2025</v>
      </c>
      <c r="C2955" s="9" t="s">
        <v>2807</v>
      </c>
      <c r="D2955" s="9" t="s">
        <v>2530</v>
      </c>
      <c r="F2955" s="6">
        <v>80</v>
      </c>
      <c r="G2955" s="6">
        <f t="shared" si="154"/>
        <v>80</v>
      </c>
      <c r="H2955" s="6">
        <v>80</v>
      </c>
      <c r="I2955" s="26">
        <f t="shared" si="152"/>
        <v>0</v>
      </c>
      <c r="J2955" s="7" t="str">
        <f t="shared" si="153"/>
        <v>PAGADO</v>
      </c>
      <c r="K2955" s="33" t="s">
        <v>2479</v>
      </c>
    </row>
    <row r="2956" spans="1:11" x14ac:dyDescent="0.25">
      <c r="A2956">
        <v>2025</v>
      </c>
      <c r="C2956" s="9" t="s">
        <v>2756</v>
      </c>
      <c r="D2956" s="9" t="s">
        <v>2530</v>
      </c>
      <c r="F2956" s="6">
        <v>70</v>
      </c>
      <c r="G2956" s="6">
        <f t="shared" si="154"/>
        <v>70</v>
      </c>
      <c r="H2956" s="6">
        <f>35+35</f>
        <v>70</v>
      </c>
      <c r="I2956" s="26">
        <f t="shared" si="152"/>
        <v>0</v>
      </c>
      <c r="J2956" s="7" t="str">
        <f t="shared" si="153"/>
        <v>PAGADO</v>
      </c>
      <c r="K2956" s="33" t="s">
        <v>693</v>
      </c>
    </row>
    <row r="2957" spans="1:11" x14ac:dyDescent="0.25">
      <c r="A2957">
        <v>2025</v>
      </c>
      <c r="C2957" s="9" t="s">
        <v>1699</v>
      </c>
      <c r="D2957" s="9" t="s">
        <v>2530</v>
      </c>
      <c r="F2957" s="6">
        <v>110</v>
      </c>
      <c r="G2957" s="6">
        <f t="shared" si="154"/>
        <v>110</v>
      </c>
      <c r="H2957" s="6">
        <v>110</v>
      </c>
      <c r="I2957" s="26">
        <f t="shared" si="152"/>
        <v>0</v>
      </c>
      <c r="J2957" s="7" t="str">
        <f t="shared" si="153"/>
        <v>PAGADO</v>
      </c>
      <c r="K2957" s="33" t="s">
        <v>693</v>
      </c>
    </row>
    <row r="2958" spans="1:11" x14ac:dyDescent="0.25">
      <c r="A2958">
        <v>2025</v>
      </c>
      <c r="C2958" t="s">
        <v>2855</v>
      </c>
      <c r="D2958" s="9" t="s">
        <v>1736</v>
      </c>
      <c r="F2958" s="26">
        <v>20</v>
      </c>
      <c r="G2958" s="26">
        <f t="shared" si="154"/>
        <v>20</v>
      </c>
      <c r="H2958" s="26">
        <v>20</v>
      </c>
      <c r="I2958" s="26">
        <f t="shared" si="152"/>
        <v>0</v>
      </c>
      <c r="J2958" s="7" t="str">
        <f t="shared" si="153"/>
        <v>PAGADO</v>
      </c>
    </row>
    <row r="2959" spans="1:11" x14ac:dyDescent="0.25">
      <c r="A2959">
        <v>2025</v>
      </c>
      <c r="C2959" t="s">
        <v>2856</v>
      </c>
      <c r="D2959" s="9" t="s">
        <v>2857</v>
      </c>
      <c r="F2959" s="6">
        <v>80</v>
      </c>
      <c r="G2959" s="6">
        <f t="shared" si="154"/>
        <v>80</v>
      </c>
      <c r="H2959" s="6">
        <v>80</v>
      </c>
      <c r="I2959" s="26">
        <f t="shared" si="152"/>
        <v>0</v>
      </c>
      <c r="J2959" s="7" t="str">
        <f t="shared" si="153"/>
        <v>PAGADO</v>
      </c>
    </row>
    <row r="2960" spans="1:11" x14ac:dyDescent="0.25">
      <c r="A2960">
        <v>2025</v>
      </c>
      <c r="C2960" s="9" t="s">
        <v>2858</v>
      </c>
      <c r="D2960" s="9" t="s">
        <v>1679</v>
      </c>
      <c r="F2960" s="6">
        <v>210</v>
      </c>
      <c r="G2960" s="6">
        <f t="shared" si="154"/>
        <v>210</v>
      </c>
      <c r="H2960" s="6">
        <v>210</v>
      </c>
      <c r="I2960" s="26">
        <f t="shared" si="152"/>
        <v>0</v>
      </c>
      <c r="J2960" s="7" t="str">
        <f t="shared" si="153"/>
        <v>PAGADO</v>
      </c>
    </row>
    <row r="2961" spans="1:11" x14ac:dyDescent="0.25">
      <c r="A2961">
        <v>2025</v>
      </c>
      <c r="C2961" s="9" t="s">
        <v>2859</v>
      </c>
      <c r="D2961" s="9" t="s">
        <v>2278</v>
      </c>
      <c r="F2961" s="6">
        <v>50</v>
      </c>
      <c r="G2961" s="6">
        <f t="shared" si="154"/>
        <v>50</v>
      </c>
      <c r="H2961" s="6">
        <v>50</v>
      </c>
      <c r="I2961" s="26">
        <f t="shared" si="152"/>
        <v>0</v>
      </c>
      <c r="K2961" s="60" t="s">
        <v>693</v>
      </c>
    </row>
    <row r="2962" spans="1:11" x14ac:dyDescent="0.25">
      <c r="A2962">
        <v>2025</v>
      </c>
      <c r="C2962" s="9" t="s">
        <v>2725</v>
      </c>
      <c r="D2962" s="9" t="s">
        <v>1510</v>
      </c>
      <c r="F2962" s="6">
        <v>65</v>
      </c>
      <c r="G2962" s="6">
        <f t="shared" si="154"/>
        <v>65</v>
      </c>
      <c r="H2962" s="6">
        <v>65</v>
      </c>
      <c r="I2962" s="26">
        <f t="shared" ref="I2962:I3025" si="155">F2962-H2962</f>
        <v>0</v>
      </c>
      <c r="J2962" s="7" t="str">
        <f t="shared" ref="J2962:J3025" si="156">IF(I2962&gt;0,"DEBE","PAGADO")</f>
        <v>PAGADO</v>
      </c>
      <c r="K2962" s="33" t="s">
        <v>2258</v>
      </c>
    </row>
    <row r="2963" spans="1:11" x14ac:dyDescent="0.25">
      <c r="A2963">
        <v>2025</v>
      </c>
      <c r="C2963" s="9" t="s">
        <v>2726</v>
      </c>
      <c r="D2963" s="9" t="s">
        <v>1510</v>
      </c>
      <c r="F2963" s="6">
        <v>75</v>
      </c>
      <c r="G2963" s="6">
        <f t="shared" si="154"/>
        <v>75</v>
      </c>
      <c r="H2963" s="6">
        <v>75</v>
      </c>
      <c r="I2963" s="26">
        <f t="shared" si="155"/>
        <v>0</v>
      </c>
      <c r="J2963" s="7" t="str">
        <f t="shared" si="156"/>
        <v>PAGADO</v>
      </c>
      <c r="K2963" s="33" t="s">
        <v>2258</v>
      </c>
    </row>
    <row r="2964" spans="1:11" x14ac:dyDescent="0.25">
      <c r="A2964">
        <v>2025</v>
      </c>
      <c r="C2964" s="14" t="s">
        <v>2614</v>
      </c>
      <c r="D2964" s="14" t="s">
        <v>2018</v>
      </c>
      <c r="E2964" s="15"/>
      <c r="F2964" s="16">
        <v>80</v>
      </c>
      <c r="G2964" s="16">
        <f t="shared" si="154"/>
        <v>80</v>
      </c>
      <c r="H2964" s="16">
        <v>80</v>
      </c>
      <c r="I2964" s="16">
        <f t="shared" si="155"/>
        <v>0</v>
      </c>
      <c r="J2964" s="17" t="str">
        <f t="shared" si="156"/>
        <v>PAGADO</v>
      </c>
      <c r="K2964" s="59" t="s">
        <v>2714</v>
      </c>
    </row>
    <row r="2965" spans="1:11" x14ac:dyDescent="0.25">
      <c r="A2965">
        <v>2025</v>
      </c>
      <c r="C2965" s="9" t="s">
        <v>2860</v>
      </c>
      <c r="D2965" s="9" t="s">
        <v>1736</v>
      </c>
      <c r="F2965" s="26">
        <v>25</v>
      </c>
      <c r="G2965" s="26">
        <f t="shared" si="154"/>
        <v>25</v>
      </c>
      <c r="H2965" s="26">
        <v>25</v>
      </c>
      <c r="I2965" s="26">
        <f t="shared" si="155"/>
        <v>0</v>
      </c>
      <c r="J2965" s="7" t="str">
        <f t="shared" si="156"/>
        <v>PAGADO</v>
      </c>
      <c r="K2965" s="9"/>
    </row>
    <row r="2966" spans="1:11" x14ac:dyDescent="0.25">
      <c r="A2966">
        <v>2025</v>
      </c>
      <c r="C2966" s="9" t="s">
        <v>2861</v>
      </c>
      <c r="D2966" s="9" t="s">
        <v>1425</v>
      </c>
      <c r="F2966" s="6">
        <v>100</v>
      </c>
      <c r="G2966" s="6">
        <f t="shared" si="154"/>
        <v>100</v>
      </c>
      <c r="H2966" s="6">
        <v>100</v>
      </c>
      <c r="I2966" s="26">
        <f t="shared" si="155"/>
        <v>0</v>
      </c>
      <c r="J2966" s="7" t="str">
        <f t="shared" si="156"/>
        <v>PAGADO</v>
      </c>
      <c r="K2966" s="9"/>
    </row>
    <row r="2967" spans="1:11" x14ac:dyDescent="0.25">
      <c r="A2967">
        <v>2025</v>
      </c>
      <c r="C2967" s="9" t="s">
        <v>2862</v>
      </c>
      <c r="D2967" s="9" t="s">
        <v>2863</v>
      </c>
      <c r="F2967" s="6">
        <v>50</v>
      </c>
      <c r="G2967" s="6">
        <f t="shared" si="154"/>
        <v>50</v>
      </c>
      <c r="H2967" s="6">
        <v>50</v>
      </c>
      <c r="I2967" s="26">
        <f t="shared" si="155"/>
        <v>0</v>
      </c>
      <c r="J2967" s="7" t="str">
        <f t="shared" si="156"/>
        <v>PAGADO</v>
      </c>
      <c r="K2967" s="9"/>
    </row>
    <row r="2968" spans="1:11" x14ac:dyDescent="0.25">
      <c r="A2968">
        <v>2025</v>
      </c>
      <c r="C2968" s="9" t="s">
        <v>2864</v>
      </c>
      <c r="D2968" s="9" t="s">
        <v>2018</v>
      </c>
      <c r="F2968" s="6">
        <v>40</v>
      </c>
      <c r="G2968" s="6">
        <f t="shared" si="154"/>
        <v>40</v>
      </c>
      <c r="H2968" s="6">
        <v>40</v>
      </c>
      <c r="I2968" s="26">
        <f t="shared" si="155"/>
        <v>0</v>
      </c>
      <c r="J2968" s="7" t="str">
        <f t="shared" si="156"/>
        <v>PAGADO</v>
      </c>
      <c r="K2968" s="33" t="s">
        <v>2258</v>
      </c>
    </row>
    <row r="2969" spans="1:11" x14ac:dyDescent="0.25">
      <c r="A2969">
        <v>2025</v>
      </c>
      <c r="C2969" s="9" t="s">
        <v>2865</v>
      </c>
      <c r="D2969" s="9" t="s">
        <v>2278</v>
      </c>
      <c r="F2969" s="6">
        <v>50</v>
      </c>
      <c r="G2969" s="6">
        <f t="shared" si="154"/>
        <v>50</v>
      </c>
      <c r="H2969" s="16">
        <f>25+25</f>
        <v>50</v>
      </c>
      <c r="I2969" s="26">
        <f t="shared" si="155"/>
        <v>0</v>
      </c>
      <c r="J2969" s="7" t="str">
        <f t="shared" si="156"/>
        <v>PAGADO</v>
      </c>
      <c r="K2969" s="33" t="s">
        <v>2258</v>
      </c>
    </row>
    <row r="2970" spans="1:11" x14ac:dyDescent="0.25">
      <c r="A2970">
        <v>2025</v>
      </c>
      <c r="C2970" s="9" t="s">
        <v>2866</v>
      </c>
      <c r="D2970" s="9" t="s">
        <v>1736</v>
      </c>
      <c r="F2970" s="26">
        <v>50</v>
      </c>
      <c r="G2970" s="26">
        <f t="shared" si="154"/>
        <v>50</v>
      </c>
      <c r="H2970" s="26">
        <v>50</v>
      </c>
      <c r="I2970" s="26">
        <f t="shared" si="155"/>
        <v>0</v>
      </c>
      <c r="J2970" s="7" t="str">
        <f t="shared" si="156"/>
        <v>PAGADO</v>
      </c>
      <c r="K2970" s="9"/>
    </row>
    <row r="2971" spans="1:11" x14ac:dyDescent="0.25">
      <c r="A2971">
        <v>2025</v>
      </c>
      <c r="C2971" s="9" t="s">
        <v>2867</v>
      </c>
      <c r="D2971" s="9" t="s">
        <v>1736</v>
      </c>
      <c r="F2971" s="26">
        <v>50</v>
      </c>
      <c r="G2971" s="26">
        <f t="shared" si="154"/>
        <v>50</v>
      </c>
      <c r="H2971" s="26">
        <v>50</v>
      </c>
      <c r="I2971" s="26">
        <f t="shared" si="155"/>
        <v>0</v>
      </c>
      <c r="J2971" s="7" t="str">
        <f t="shared" si="156"/>
        <v>PAGADO</v>
      </c>
      <c r="K2971" s="9"/>
    </row>
    <row r="2972" spans="1:11" x14ac:dyDescent="0.25">
      <c r="A2972">
        <v>2025</v>
      </c>
      <c r="C2972" s="9" t="s">
        <v>2868</v>
      </c>
      <c r="D2972" s="9" t="s">
        <v>1736</v>
      </c>
      <c r="F2972" s="26">
        <v>50</v>
      </c>
      <c r="G2972" s="26">
        <f t="shared" si="154"/>
        <v>50</v>
      </c>
      <c r="H2972" s="26">
        <v>50</v>
      </c>
      <c r="I2972" s="26">
        <f t="shared" si="155"/>
        <v>0</v>
      </c>
      <c r="J2972" s="7" t="str">
        <f t="shared" si="156"/>
        <v>PAGADO</v>
      </c>
      <c r="K2972" s="9"/>
    </row>
    <row r="2973" spans="1:11" x14ac:dyDescent="0.25">
      <c r="A2973">
        <v>2025</v>
      </c>
      <c r="C2973" s="9" t="s">
        <v>2869</v>
      </c>
      <c r="D2973" s="9" t="s">
        <v>2278</v>
      </c>
      <c r="F2973" s="6">
        <v>380</v>
      </c>
      <c r="G2973" s="6">
        <f t="shared" si="154"/>
        <v>380</v>
      </c>
      <c r="H2973" s="6">
        <v>380</v>
      </c>
      <c r="I2973" s="26">
        <f t="shared" si="155"/>
        <v>0</v>
      </c>
      <c r="J2973" s="7" t="str">
        <f t="shared" si="156"/>
        <v>PAGADO</v>
      </c>
      <c r="K2973" s="60" t="s">
        <v>693</v>
      </c>
    </row>
    <row r="2974" spans="1:11" x14ac:dyDescent="0.25">
      <c r="A2974">
        <v>2025</v>
      </c>
      <c r="C2974" s="9" t="s">
        <v>2870</v>
      </c>
      <c r="D2974" s="9" t="s">
        <v>238</v>
      </c>
      <c r="F2974" s="6">
        <v>80</v>
      </c>
      <c r="G2974" s="6">
        <f t="shared" si="154"/>
        <v>80</v>
      </c>
      <c r="H2974" s="6">
        <v>80</v>
      </c>
      <c r="I2974" s="26">
        <f t="shared" si="155"/>
        <v>0</v>
      </c>
      <c r="J2974" s="7" t="str">
        <f t="shared" si="156"/>
        <v>PAGADO</v>
      </c>
    </row>
    <row r="2975" spans="1:11" x14ac:dyDescent="0.25">
      <c r="A2975">
        <v>2025</v>
      </c>
      <c r="C2975" s="9" t="s">
        <v>2871</v>
      </c>
      <c r="D2975" s="9" t="s">
        <v>238</v>
      </c>
      <c r="F2975" s="6">
        <v>150</v>
      </c>
      <c r="G2975" s="6">
        <f t="shared" si="154"/>
        <v>150</v>
      </c>
      <c r="H2975" s="6">
        <v>150</v>
      </c>
      <c r="I2975" s="26">
        <f t="shared" si="155"/>
        <v>0</v>
      </c>
      <c r="J2975" s="7" t="str">
        <f t="shared" si="156"/>
        <v>PAGADO</v>
      </c>
      <c r="K2975" s="9" t="s">
        <v>2761</v>
      </c>
    </row>
    <row r="2976" spans="1:11" x14ac:dyDescent="0.25">
      <c r="A2976">
        <v>2025</v>
      </c>
      <c r="C2976" s="9" t="s">
        <v>2872</v>
      </c>
      <c r="D2976" s="9" t="s">
        <v>2363</v>
      </c>
      <c r="F2976" s="6">
        <v>50</v>
      </c>
      <c r="G2976" s="6">
        <f t="shared" si="154"/>
        <v>50</v>
      </c>
      <c r="H2976" s="6">
        <v>50</v>
      </c>
      <c r="I2976" s="26">
        <f t="shared" si="155"/>
        <v>0</v>
      </c>
      <c r="J2976" s="7" t="str">
        <f t="shared" si="156"/>
        <v>PAGADO</v>
      </c>
      <c r="K2976" s="33" t="s">
        <v>693</v>
      </c>
    </row>
    <row r="2977" spans="1:12" x14ac:dyDescent="0.25">
      <c r="A2977">
        <v>2025</v>
      </c>
      <c r="C2977" s="9" t="s">
        <v>2873</v>
      </c>
      <c r="D2977" s="9" t="s">
        <v>2363</v>
      </c>
      <c r="F2977" s="6">
        <v>50</v>
      </c>
      <c r="G2977" s="6">
        <f t="shared" si="154"/>
        <v>50</v>
      </c>
      <c r="H2977" s="6">
        <v>50</v>
      </c>
      <c r="I2977" s="26">
        <f t="shared" si="155"/>
        <v>0</v>
      </c>
      <c r="J2977" s="7" t="str">
        <f t="shared" si="156"/>
        <v>PAGADO</v>
      </c>
      <c r="K2977" s="33" t="s">
        <v>693</v>
      </c>
    </row>
    <row r="2978" spans="1:12" x14ac:dyDescent="0.25">
      <c r="A2978">
        <v>2025</v>
      </c>
      <c r="C2978" s="9" t="s">
        <v>2874</v>
      </c>
      <c r="D2978" s="9" t="s">
        <v>2363</v>
      </c>
      <c r="F2978" s="6">
        <v>75</v>
      </c>
      <c r="G2978" s="6">
        <f t="shared" si="154"/>
        <v>75</v>
      </c>
      <c r="H2978" s="6">
        <v>75</v>
      </c>
      <c r="I2978" s="26">
        <f t="shared" si="155"/>
        <v>0</v>
      </c>
      <c r="J2978" s="7" t="str">
        <f t="shared" si="156"/>
        <v>PAGADO</v>
      </c>
      <c r="K2978" s="33" t="s">
        <v>693</v>
      </c>
    </row>
    <row r="2979" spans="1:12" x14ac:dyDescent="0.25">
      <c r="A2979">
        <v>2025</v>
      </c>
      <c r="C2979" s="9" t="s">
        <v>2875</v>
      </c>
      <c r="D2979" s="9" t="s">
        <v>2876</v>
      </c>
      <c r="F2979" s="6">
        <v>85</v>
      </c>
      <c r="G2979" s="6">
        <f t="shared" si="154"/>
        <v>85</v>
      </c>
      <c r="H2979" s="6">
        <v>85</v>
      </c>
      <c r="I2979" s="26">
        <f t="shared" si="155"/>
        <v>0</v>
      </c>
      <c r="J2979" s="7" t="str">
        <f t="shared" si="156"/>
        <v>PAGADO</v>
      </c>
    </row>
    <row r="2980" spans="1:12" x14ac:dyDescent="0.25">
      <c r="A2980">
        <v>2025</v>
      </c>
      <c r="C2980" s="9" t="s">
        <v>2877</v>
      </c>
      <c r="D2980" s="9" t="s">
        <v>2878</v>
      </c>
      <c r="F2980" s="6">
        <v>80</v>
      </c>
      <c r="G2980" s="6">
        <f t="shared" si="154"/>
        <v>80</v>
      </c>
      <c r="H2980" s="6">
        <v>80</v>
      </c>
      <c r="I2980" s="26">
        <f t="shared" si="155"/>
        <v>0</v>
      </c>
      <c r="J2980" s="7" t="str">
        <f t="shared" si="156"/>
        <v>PAGADO</v>
      </c>
    </row>
    <row r="2981" spans="1:12" x14ac:dyDescent="0.25">
      <c r="A2981">
        <v>2025</v>
      </c>
      <c r="C2981" s="9" t="s">
        <v>2879</v>
      </c>
      <c r="D2981" s="9" t="s">
        <v>2878</v>
      </c>
      <c r="F2981" s="6">
        <v>60</v>
      </c>
      <c r="G2981" s="6">
        <f t="shared" si="154"/>
        <v>60</v>
      </c>
      <c r="H2981" s="6">
        <v>60</v>
      </c>
      <c r="I2981" s="26">
        <f t="shared" si="155"/>
        <v>0</v>
      </c>
      <c r="J2981" s="7" t="str">
        <f t="shared" si="156"/>
        <v>PAGADO</v>
      </c>
    </row>
    <row r="2982" spans="1:12" x14ac:dyDescent="0.25">
      <c r="A2982">
        <v>2025</v>
      </c>
      <c r="C2982" s="9" t="s">
        <v>2648</v>
      </c>
      <c r="D2982" s="9" t="s">
        <v>2878</v>
      </c>
      <c r="F2982" s="6">
        <v>60</v>
      </c>
      <c r="G2982" s="6">
        <f t="shared" si="154"/>
        <v>60</v>
      </c>
      <c r="H2982" s="6">
        <v>60</v>
      </c>
      <c r="I2982" s="26">
        <f t="shared" si="155"/>
        <v>0</v>
      </c>
      <c r="J2982" s="7" t="str">
        <f t="shared" si="156"/>
        <v>PAGADO</v>
      </c>
    </row>
    <row r="2983" spans="1:12" x14ac:dyDescent="0.25">
      <c r="A2983">
        <v>2025</v>
      </c>
      <c r="C2983" s="9" t="s">
        <v>2880</v>
      </c>
      <c r="D2983" s="9" t="s">
        <v>2878</v>
      </c>
      <c r="F2983" s="6">
        <v>60</v>
      </c>
      <c r="G2983" s="6">
        <f t="shared" si="154"/>
        <v>60</v>
      </c>
      <c r="H2983" s="6">
        <v>60</v>
      </c>
      <c r="I2983" s="26">
        <f t="shared" si="155"/>
        <v>0</v>
      </c>
      <c r="J2983" s="7" t="str">
        <f t="shared" si="156"/>
        <v>PAGADO</v>
      </c>
    </row>
    <row r="2984" spans="1:12" x14ac:dyDescent="0.25">
      <c r="A2984">
        <v>2025</v>
      </c>
      <c r="C2984" s="9" t="s">
        <v>2881</v>
      </c>
      <c r="D2984" s="9" t="s">
        <v>2878</v>
      </c>
      <c r="F2984" s="6">
        <v>110</v>
      </c>
      <c r="G2984" s="6">
        <f t="shared" si="154"/>
        <v>110</v>
      </c>
      <c r="H2984" s="6">
        <v>110</v>
      </c>
      <c r="I2984" s="26">
        <f t="shared" si="155"/>
        <v>0</v>
      </c>
      <c r="J2984" s="7" t="str">
        <f t="shared" si="156"/>
        <v>PAGADO</v>
      </c>
    </row>
    <row r="2985" spans="1:12" x14ac:dyDescent="0.25">
      <c r="A2985">
        <v>2025</v>
      </c>
      <c r="C2985" s="9" t="s">
        <v>2882</v>
      </c>
      <c r="D2985" s="9" t="s">
        <v>2878</v>
      </c>
      <c r="F2985" s="6">
        <v>50</v>
      </c>
      <c r="G2985" s="6">
        <f t="shared" si="154"/>
        <v>50</v>
      </c>
      <c r="H2985" s="6">
        <v>50</v>
      </c>
      <c r="I2985" s="26">
        <f t="shared" si="155"/>
        <v>0</v>
      </c>
      <c r="J2985" s="7" t="str">
        <f t="shared" si="156"/>
        <v>PAGADO</v>
      </c>
    </row>
    <row r="2986" spans="1:12" x14ac:dyDescent="0.25">
      <c r="A2986">
        <v>2025</v>
      </c>
      <c r="C2986" t="s">
        <v>2883</v>
      </c>
      <c r="D2986" s="9" t="s">
        <v>238</v>
      </c>
      <c r="F2986" s="6">
        <v>290</v>
      </c>
      <c r="G2986" s="6">
        <f t="shared" si="154"/>
        <v>290</v>
      </c>
      <c r="H2986" s="6">
        <v>290</v>
      </c>
      <c r="I2986" s="26">
        <f t="shared" si="155"/>
        <v>0</v>
      </c>
      <c r="J2986" s="7" t="str">
        <f t="shared" si="156"/>
        <v>PAGADO</v>
      </c>
      <c r="K2986" s="9" t="s">
        <v>2761</v>
      </c>
    </row>
    <row r="2987" spans="1:12" x14ac:dyDescent="0.25">
      <c r="A2987">
        <v>2025</v>
      </c>
      <c r="C2987" t="s">
        <v>2884</v>
      </c>
      <c r="D2987" s="9" t="s">
        <v>238</v>
      </c>
      <c r="F2987" s="6">
        <v>85</v>
      </c>
      <c r="G2987" s="6">
        <f t="shared" si="154"/>
        <v>85</v>
      </c>
      <c r="H2987" s="6">
        <v>85</v>
      </c>
      <c r="I2987" s="26">
        <f t="shared" si="155"/>
        <v>0</v>
      </c>
      <c r="J2987" s="7" t="str">
        <f t="shared" si="156"/>
        <v>PAGADO</v>
      </c>
      <c r="K2987" s="9" t="s">
        <v>2761</v>
      </c>
    </row>
    <row r="2988" spans="1:12" x14ac:dyDescent="0.25">
      <c r="A2988">
        <v>2025</v>
      </c>
      <c r="C2988" t="s">
        <v>2885</v>
      </c>
      <c r="D2988" s="9" t="s">
        <v>238</v>
      </c>
      <c r="F2988" s="6">
        <v>330</v>
      </c>
      <c r="G2988" s="6">
        <f t="shared" si="154"/>
        <v>330</v>
      </c>
      <c r="H2988" s="6">
        <v>330</v>
      </c>
      <c r="I2988" s="26">
        <f t="shared" si="155"/>
        <v>0</v>
      </c>
      <c r="J2988" s="7" t="str">
        <f t="shared" si="156"/>
        <v>PAGADO</v>
      </c>
      <c r="K2988" s="9" t="s">
        <v>2761</v>
      </c>
    </row>
    <row r="2989" spans="1:12" x14ac:dyDescent="0.25">
      <c r="A2989">
        <v>2025</v>
      </c>
      <c r="C2989" t="s">
        <v>2886</v>
      </c>
      <c r="D2989" s="9" t="s">
        <v>238</v>
      </c>
      <c r="F2989" s="6">
        <v>140</v>
      </c>
      <c r="G2989" s="6">
        <f t="shared" si="154"/>
        <v>140</v>
      </c>
      <c r="H2989" s="6">
        <v>140</v>
      </c>
      <c r="I2989" s="26">
        <f t="shared" si="155"/>
        <v>0</v>
      </c>
      <c r="J2989" s="7" t="str">
        <f t="shared" si="156"/>
        <v>PAGADO</v>
      </c>
      <c r="K2989" s="9" t="s">
        <v>2761</v>
      </c>
    </row>
    <row r="2990" spans="1:12" x14ac:dyDescent="0.25">
      <c r="A2990">
        <v>2025</v>
      </c>
      <c r="C2990" t="s">
        <v>2887</v>
      </c>
      <c r="D2990" s="9" t="s">
        <v>238</v>
      </c>
      <c r="F2990" s="6">
        <v>110</v>
      </c>
      <c r="G2990" s="6">
        <f t="shared" si="154"/>
        <v>110</v>
      </c>
      <c r="H2990" s="6">
        <v>110</v>
      </c>
      <c r="I2990" s="26">
        <f t="shared" si="155"/>
        <v>0</v>
      </c>
      <c r="J2990" s="7" t="str">
        <f t="shared" si="156"/>
        <v>PAGADO</v>
      </c>
      <c r="K2990" s="9" t="s">
        <v>2761</v>
      </c>
    </row>
    <row r="2991" spans="1:12" x14ac:dyDescent="0.25">
      <c r="A2991">
        <v>2025</v>
      </c>
      <c r="C2991" t="s">
        <v>2888</v>
      </c>
      <c r="D2991" s="9" t="s">
        <v>238</v>
      </c>
      <c r="F2991" s="6">
        <v>85</v>
      </c>
      <c r="G2991" s="6">
        <f t="shared" si="154"/>
        <v>85</v>
      </c>
      <c r="H2991" s="6">
        <v>85</v>
      </c>
      <c r="I2991" s="26">
        <f t="shared" si="155"/>
        <v>0</v>
      </c>
      <c r="J2991" s="7" t="str">
        <f t="shared" si="156"/>
        <v>PAGADO</v>
      </c>
      <c r="K2991" s="9" t="s">
        <v>2761</v>
      </c>
    </row>
    <row r="2992" spans="1:12" x14ac:dyDescent="0.25">
      <c r="A2992">
        <v>2025</v>
      </c>
      <c r="C2992" t="s">
        <v>2889</v>
      </c>
      <c r="D2992" s="9" t="s">
        <v>238</v>
      </c>
      <c r="F2992" s="6">
        <v>110</v>
      </c>
      <c r="G2992" s="6">
        <f t="shared" si="154"/>
        <v>110</v>
      </c>
      <c r="H2992" s="6">
        <v>110</v>
      </c>
      <c r="I2992" s="26">
        <f t="shared" si="155"/>
        <v>0</v>
      </c>
      <c r="J2992" s="7" t="str">
        <f t="shared" si="156"/>
        <v>PAGADO</v>
      </c>
      <c r="K2992" s="9" t="s">
        <v>2761</v>
      </c>
      <c r="L2992" s="9" t="s">
        <v>2890</v>
      </c>
    </row>
    <row r="2993" spans="1:12" x14ac:dyDescent="0.25">
      <c r="A2993">
        <v>2025</v>
      </c>
      <c r="C2993" t="s">
        <v>2891</v>
      </c>
      <c r="D2993" s="9" t="s">
        <v>238</v>
      </c>
      <c r="F2993" s="24">
        <v>140</v>
      </c>
      <c r="G2993" s="24">
        <f t="shared" si="154"/>
        <v>140</v>
      </c>
      <c r="H2993" s="24">
        <v>140</v>
      </c>
      <c r="I2993" s="26">
        <f t="shared" si="155"/>
        <v>0</v>
      </c>
      <c r="J2993" s="7" t="str">
        <f t="shared" si="156"/>
        <v>PAGADO</v>
      </c>
      <c r="K2993" s="9" t="s">
        <v>2761</v>
      </c>
      <c r="L2993" s="28"/>
    </row>
    <row r="2994" spans="1:12" x14ac:dyDescent="0.25">
      <c r="A2994">
        <v>2025</v>
      </c>
      <c r="C2994" s="9" t="s">
        <v>2892</v>
      </c>
      <c r="D2994" t="s">
        <v>816</v>
      </c>
      <c r="F2994" s="6">
        <v>50</v>
      </c>
      <c r="G2994" s="6">
        <f t="shared" si="154"/>
        <v>50</v>
      </c>
      <c r="H2994" s="6">
        <f>46+4</f>
        <v>50</v>
      </c>
      <c r="I2994" s="61">
        <f t="shared" si="155"/>
        <v>0</v>
      </c>
      <c r="J2994" s="7" t="str">
        <f t="shared" si="156"/>
        <v>PAGADO</v>
      </c>
    </row>
    <row r="2995" spans="1:12" x14ac:dyDescent="0.25">
      <c r="A2995">
        <v>2025</v>
      </c>
      <c r="C2995" s="9" t="s">
        <v>2893</v>
      </c>
      <c r="D2995" s="9" t="s">
        <v>1504</v>
      </c>
      <c r="F2995" s="6">
        <v>200</v>
      </c>
      <c r="G2995" s="6">
        <f t="shared" si="154"/>
        <v>200</v>
      </c>
      <c r="H2995" s="6">
        <v>200</v>
      </c>
      <c r="I2995" s="26">
        <f t="shared" si="155"/>
        <v>0</v>
      </c>
      <c r="J2995" s="7" t="str">
        <f t="shared" si="156"/>
        <v>PAGADO</v>
      </c>
      <c r="K2995" t="s">
        <v>693</v>
      </c>
    </row>
    <row r="2996" spans="1:12" x14ac:dyDescent="0.25">
      <c r="A2996">
        <v>2025</v>
      </c>
      <c r="C2996" s="9" t="s">
        <v>2894</v>
      </c>
      <c r="D2996" s="9" t="s">
        <v>2278</v>
      </c>
      <c r="F2996" s="6">
        <v>300</v>
      </c>
      <c r="G2996" s="6">
        <f t="shared" si="154"/>
        <v>300</v>
      </c>
      <c r="H2996" s="6">
        <v>300</v>
      </c>
      <c r="I2996" s="26">
        <f t="shared" si="155"/>
        <v>0</v>
      </c>
      <c r="J2996" s="7" t="str">
        <f t="shared" si="156"/>
        <v>PAGADO</v>
      </c>
      <c r="K2996" s="60" t="s">
        <v>693</v>
      </c>
    </row>
    <row r="2997" spans="1:12" x14ac:dyDescent="0.25">
      <c r="A2997">
        <v>2025</v>
      </c>
      <c r="C2997" s="9" t="s">
        <v>2895</v>
      </c>
      <c r="D2997" s="9" t="s">
        <v>2278</v>
      </c>
      <c r="F2997" s="6">
        <v>210</v>
      </c>
      <c r="G2997" s="6">
        <f t="shared" si="154"/>
        <v>210</v>
      </c>
      <c r="H2997" s="6">
        <v>210</v>
      </c>
      <c r="I2997" s="26">
        <f t="shared" si="155"/>
        <v>0</v>
      </c>
      <c r="J2997" s="7" t="str">
        <f t="shared" si="156"/>
        <v>PAGADO</v>
      </c>
      <c r="K2997" s="60" t="s">
        <v>693</v>
      </c>
    </row>
    <row r="2998" spans="1:12" x14ac:dyDescent="0.25">
      <c r="A2998">
        <v>2025</v>
      </c>
      <c r="C2998" s="9" t="s">
        <v>2896</v>
      </c>
      <c r="D2998" s="9" t="s">
        <v>597</v>
      </c>
      <c r="F2998" s="6">
        <v>40</v>
      </c>
      <c r="G2998" s="6">
        <f t="shared" si="154"/>
        <v>40</v>
      </c>
      <c r="H2998" s="6">
        <v>40</v>
      </c>
      <c r="I2998" s="26">
        <f t="shared" si="155"/>
        <v>0</v>
      </c>
      <c r="J2998" s="7" t="str">
        <f t="shared" si="156"/>
        <v>PAGADO</v>
      </c>
    </row>
    <row r="2999" spans="1:12" x14ac:dyDescent="0.25">
      <c r="A2999">
        <v>2025</v>
      </c>
      <c r="C2999" s="9" t="s">
        <v>2897</v>
      </c>
      <c r="D2999" s="9" t="s">
        <v>2278</v>
      </c>
      <c r="F2999" s="6">
        <v>24</v>
      </c>
      <c r="G2999" s="6">
        <f t="shared" si="154"/>
        <v>24</v>
      </c>
      <c r="H2999" s="6">
        <v>24</v>
      </c>
      <c r="I2999" s="26">
        <f t="shared" si="155"/>
        <v>0</v>
      </c>
      <c r="J2999" s="7" t="str">
        <f t="shared" si="156"/>
        <v>PAGADO</v>
      </c>
      <c r="K2999" s="60" t="s">
        <v>693</v>
      </c>
    </row>
    <row r="3000" spans="1:12" x14ac:dyDescent="0.25">
      <c r="A3000">
        <v>2025</v>
      </c>
      <c r="C3000" s="9" t="s">
        <v>2880</v>
      </c>
      <c r="D3000" s="9" t="s">
        <v>2878</v>
      </c>
      <c r="F3000" s="6">
        <v>60</v>
      </c>
      <c r="G3000" s="6">
        <f t="shared" si="154"/>
        <v>60</v>
      </c>
      <c r="H3000" s="6">
        <v>60</v>
      </c>
      <c r="I3000" s="26">
        <f t="shared" si="155"/>
        <v>0</v>
      </c>
      <c r="J3000" s="7" t="str">
        <f t="shared" si="156"/>
        <v>PAGADO</v>
      </c>
    </row>
    <row r="3001" spans="1:12" x14ac:dyDescent="0.25">
      <c r="A3001">
        <v>2025</v>
      </c>
      <c r="C3001" s="9" t="s">
        <v>2898</v>
      </c>
      <c r="D3001" s="9" t="s">
        <v>2878</v>
      </c>
      <c r="F3001" s="6">
        <v>60</v>
      </c>
      <c r="G3001" s="6">
        <f t="shared" si="154"/>
        <v>60</v>
      </c>
      <c r="H3001" s="6">
        <v>60</v>
      </c>
      <c r="I3001" s="26">
        <f t="shared" si="155"/>
        <v>0</v>
      </c>
      <c r="J3001" s="7" t="str">
        <f t="shared" si="156"/>
        <v>PAGADO</v>
      </c>
    </row>
    <row r="3002" spans="1:12" x14ac:dyDescent="0.25">
      <c r="A3002">
        <v>2025</v>
      </c>
      <c r="C3002" t="s">
        <v>2899</v>
      </c>
      <c r="D3002" s="9" t="s">
        <v>2900</v>
      </c>
      <c r="F3002" s="6">
        <v>70</v>
      </c>
      <c r="G3002" s="6">
        <f t="shared" si="154"/>
        <v>70</v>
      </c>
      <c r="H3002" s="6">
        <v>70</v>
      </c>
      <c r="I3002" s="26">
        <f t="shared" si="155"/>
        <v>0</v>
      </c>
      <c r="J3002" s="7" t="str">
        <f t="shared" si="156"/>
        <v>PAGADO</v>
      </c>
    </row>
    <row r="3003" spans="1:12" x14ac:dyDescent="0.25">
      <c r="A3003">
        <v>2025</v>
      </c>
      <c r="C3003" t="s">
        <v>1699</v>
      </c>
      <c r="D3003" s="9" t="s">
        <v>2900</v>
      </c>
      <c r="F3003" s="6">
        <v>110</v>
      </c>
      <c r="G3003" s="6">
        <f t="shared" si="154"/>
        <v>110</v>
      </c>
      <c r="H3003" s="6">
        <v>110</v>
      </c>
      <c r="I3003" s="26">
        <f t="shared" si="155"/>
        <v>0</v>
      </c>
      <c r="J3003" s="7" t="str">
        <f t="shared" si="156"/>
        <v>PAGADO</v>
      </c>
    </row>
    <row r="3004" spans="1:12" x14ac:dyDescent="0.25">
      <c r="A3004">
        <v>2025</v>
      </c>
      <c r="C3004" t="s">
        <v>2901</v>
      </c>
      <c r="D3004" s="9" t="s">
        <v>2900</v>
      </c>
      <c r="F3004" s="6">
        <v>80</v>
      </c>
      <c r="G3004" s="6">
        <f t="shared" si="154"/>
        <v>80</v>
      </c>
      <c r="H3004" s="6">
        <v>80</v>
      </c>
      <c r="I3004" s="26">
        <f t="shared" si="155"/>
        <v>0</v>
      </c>
      <c r="J3004" s="7" t="str">
        <f t="shared" si="156"/>
        <v>PAGADO</v>
      </c>
    </row>
    <row r="3005" spans="1:12" x14ac:dyDescent="0.25">
      <c r="A3005">
        <v>2025</v>
      </c>
      <c r="C3005" t="s">
        <v>2902</v>
      </c>
      <c r="D3005" s="9" t="s">
        <v>2900</v>
      </c>
      <c r="F3005" s="6">
        <v>60</v>
      </c>
      <c r="G3005" s="6">
        <f t="shared" si="154"/>
        <v>60</v>
      </c>
      <c r="H3005" s="6">
        <v>60</v>
      </c>
      <c r="I3005" s="26">
        <f t="shared" si="155"/>
        <v>0</v>
      </c>
      <c r="J3005" s="7" t="str">
        <f t="shared" si="156"/>
        <v>PAGADO</v>
      </c>
    </row>
    <row r="3006" spans="1:12" x14ac:dyDescent="0.25">
      <c r="A3006">
        <v>2025</v>
      </c>
      <c r="C3006" t="s">
        <v>2141</v>
      </c>
      <c r="D3006" s="9" t="s">
        <v>2900</v>
      </c>
      <c r="F3006" s="6">
        <v>70</v>
      </c>
      <c r="G3006" s="6">
        <f t="shared" ref="G3006:G3069" si="157">F3006-E3006</f>
        <v>70</v>
      </c>
      <c r="H3006" s="6">
        <v>70</v>
      </c>
      <c r="I3006" s="26">
        <f t="shared" si="155"/>
        <v>0</v>
      </c>
      <c r="J3006" s="7" t="str">
        <f t="shared" si="156"/>
        <v>PAGADO</v>
      </c>
    </row>
    <row r="3007" spans="1:12" x14ac:dyDescent="0.25">
      <c r="A3007">
        <v>2025</v>
      </c>
      <c r="C3007" t="s">
        <v>1439</v>
      </c>
      <c r="D3007" s="9" t="s">
        <v>2903</v>
      </c>
      <c r="F3007" s="6">
        <v>110</v>
      </c>
      <c r="G3007" s="6">
        <f t="shared" si="157"/>
        <v>110</v>
      </c>
      <c r="H3007" s="6">
        <v>110</v>
      </c>
      <c r="I3007" s="26">
        <f t="shared" si="155"/>
        <v>0</v>
      </c>
      <c r="J3007" s="7" t="str">
        <f t="shared" si="156"/>
        <v>PAGADO</v>
      </c>
    </row>
    <row r="3008" spans="1:12" x14ac:dyDescent="0.25">
      <c r="A3008">
        <v>2025</v>
      </c>
      <c r="C3008" t="s">
        <v>2904</v>
      </c>
      <c r="D3008" s="9" t="s">
        <v>2903</v>
      </c>
      <c r="F3008" s="6">
        <v>90</v>
      </c>
      <c r="G3008" s="6">
        <f t="shared" si="157"/>
        <v>90</v>
      </c>
      <c r="H3008" s="6">
        <v>90</v>
      </c>
      <c r="I3008" s="26">
        <f t="shared" si="155"/>
        <v>0</v>
      </c>
      <c r="J3008" s="7" t="str">
        <f t="shared" si="156"/>
        <v>PAGADO</v>
      </c>
    </row>
    <row r="3009" spans="1:11" x14ac:dyDescent="0.25">
      <c r="A3009">
        <v>2025</v>
      </c>
      <c r="C3009" s="9" t="s">
        <v>2905</v>
      </c>
      <c r="D3009" s="9" t="s">
        <v>2906</v>
      </c>
      <c r="F3009" s="6">
        <v>75</v>
      </c>
      <c r="G3009" s="6">
        <f t="shared" si="157"/>
        <v>75</v>
      </c>
      <c r="H3009" s="6">
        <v>75</v>
      </c>
      <c r="I3009" s="26">
        <f t="shared" si="155"/>
        <v>0</v>
      </c>
      <c r="J3009" s="7" t="str">
        <f t="shared" si="156"/>
        <v>PAGADO</v>
      </c>
    </row>
    <row r="3010" spans="1:11" x14ac:dyDescent="0.25">
      <c r="A3010">
        <v>2025</v>
      </c>
      <c r="C3010" s="9" t="s">
        <v>1814</v>
      </c>
      <c r="D3010" s="9" t="s">
        <v>2031</v>
      </c>
      <c r="F3010" s="6">
        <v>95</v>
      </c>
      <c r="G3010" s="6">
        <f t="shared" si="157"/>
        <v>95</v>
      </c>
      <c r="H3010" s="6">
        <f>50+45</f>
        <v>95</v>
      </c>
      <c r="I3010" s="26">
        <f t="shared" si="155"/>
        <v>0</v>
      </c>
      <c r="J3010" s="7" t="str">
        <f t="shared" si="156"/>
        <v>PAGADO</v>
      </c>
      <c r="K3010" s="33" t="s">
        <v>1815</v>
      </c>
    </row>
    <row r="3011" spans="1:11" x14ac:dyDescent="0.25">
      <c r="A3011">
        <v>2025</v>
      </c>
      <c r="C3011" s="9" t="s">
        <v>2907</v>
      </c>
      <c r="D3011" s="9" t="s">
        <v>488</v>
      </c>
      <c r="F3011" s="6">
        <v>250</v>
      </c>
      <c r="G3011" s="6">
        <f t="shared" si="157"/>
        <v>250</v>
      </c>
      <c r="H3011" s="6">
        <v>250</v>
      </c>
      <c r="I3011" s="16">
        <f t="shared" si="155"/>
        <v>0</v>
      </c>
      <c r="J3011" s="7" t="str">
        <f t="shared" si="156"/>
        <v>PAGADO</v>
      </c>
      <c r="K3011" s="33" t="s">
        <v>1815</v>
      </c>
    </row>
    <row r="3012" spans="1:11" x14ac:dyDescent="0.25">
      <c r="A3012">
        <v>2025</v>
      </c>
      <c r="C3012" s="9" t="s">
        <v>2908</v>
      </c>
      <c r="D3012" s="9" t="s">
        <v>1736</v>
      </c>
      <c r="F3012" s="26">
        <v>20</v>
      </c>
      <c r="G3012" s="26">
        <f t="shared" si="157"/>
        <v>20</v>
      </c>
      <c r="H3012" s="26">
        <v>20</v>
      </c>
      <c r="I3012" s="26">
        <f t="shared" si="155"/>
        <v>0</v>
      </c>
      <c r="J3012" s="7" t="str">
        <f t="shared" si="156"/>
        <v>PAGADO</v>
      </c>
    </row>
    <row r="3013" spans="1:11" x14ac:dyDescent="0.25">
      <c r="A3013">
        <v>2025</v>
      </c>
      <c r="C3013" s="9" t="s">
        <v>2909</v>
      </c>
      <c r="D3013" s="9" t="s">
        <v>1736</v>
      </c>
      <c r="F3013" s="26">
        <v>35</v>
      </c>
      <c r="G3013" s="26">
        <f t="shared" si="157"/>
        <v>35</v>
      </c>
      <c r="H3013" s="26">
        <v>35</v>
      </c>
      <c r="I3013" s="26">
        <f t="shared" si="155"/>
        <v>0</v>
      </c>
      <c r="J3013" s="7" t="str">
        <f t="shared" si="156"/>
        <v>PAGADO</v>
      </c>
    </row>
    <row r="3014" spans="1:11" x14ac:dyDescent="0.25">
      <c r="A3014">
        <v>2025</v>
      </c>
      <c r="C3014" s="9" t="s">
        <v>2910</v>
      </c>
      <c r="D3014" s="9" t="s">
        <v>1736</v>
      </c>
      <c r="F3014" s="26">
        <v>20</v>
      </c>
      <c r="G3014" s="26">
        <f t="shared" si="157"/>
        <v>20</v>
      </c>
      <c r="H3014" s="26">
        <v>20</v>
      </c>
      <c r="I3014" s="26">
        <f t="shared" si="155"/>
        <v>0</v>
      </c>
      <c r="J3014" s="7" t="str">
        <f t="shared" si="156"/>
        <v>PAGADO</v>
      </c>
    </row>
    <row r="3015" spans="1:11" x14ac:dyDescent="0.25">
      <c r="A3015">
        <v>2025</v>
      </c>
      <c r="C3015" s="9" t="s">
        <v>2911</v>
      </c>
      <c r="D3015" s="9" t="s">
        <v>80</v>
      </c>
      <c r="F3015" s="6">
        <v>65</v>
      </c>
      <c r="G3015" s="6">
        <f t="shared" si="157"/>
        <v>65</v>
      </c>
      <c r="H3015" s="6">
        <v>65</v>
      </c>
      <c r="I3015" s="26">
        <f t="shared" si="155"/>
        <v>0</v>
      </c>
      <c r="J3015" s="7" t="str">
        <f t="shared" si="156"/>
        <v>PAGADO</v>
      </c>
    </row>
    <row r="3016" spans="1:11" x14ac:dyDescent="0.25">
      <c r="A3016">
        <v>2025</v>
      </c>
      <c r="C3016" s="9" t="s">
        <v>2912</v>
      </c>
      <c r="D3016" s="9" t="s">
        <v>2913</v>
      </c>
      <c r="F3016" s="6">
        <v>20</v>
      </c>
      <c r="G3016" s="6">
        <f t="shared" si="157"/>
        <v>20</v>
      </c>
      <c r="H3016" s="6">
        <v>20</v>
      </c>
      <c r="I3016" s="26">
        <f t="shared" si="155"/>
        <v>0</v>
      </c>
      <c r="J3016" s="7" t="str">
        <f t="shared" si="156"/>
        <v>PAGADO</v>
      </c>
    </row>
    <row r="3017" spans="1:11" x14ac:dyDescent="0.25">
      <c r="A3017">
        <v>2025</v>
      </c>
      <c r="C3017" s="9" t="s">
        <v>2914</v>
      </c>
      <c r="D3017" s="9" t="s">
        <v>2913</v>
      </c>
      <c r="F3017" s="6">
        <v>20</v>
      </c>
      <c r="G3017" s="6">
        <f t="shared" si="157"/>
        <v>20</v>
      </c>
      <c r="H3017" s="6">
        <v>20</v>
      </c>
      <c r="I3017" s="26">
        <f t="shared" si="155"/>
        <v>0</v>
      </c>
      <c r="J3017" s="7" t="str">
        <f t="shared" si="156"/>
        <v>PAGADO</v>
      </c>
    </row>
    <row r="3018" spans="1:11" x14ac:dyDescent="0.25">
      <c r="A3018">
        <v>2025</v>
      </c>
      <c r="C3018" s="9" t="s">
        <v>2915</v>
      </c>
      <c r="D3018" s="9" t="s">
        <v>2913</v>
      </c>
      <c r="F3018" s="6">
        <v>20</v>
      </c>
      <c r="G3018" s="6">
        <f t="shared" si="157"/>
        <v>20</v>
      </c>
      <c r="H3018" s="6">
        <v>20</v>
      </c>
      <c r="I3018" s="26">
        <f t="shared" si="155"/>
        <v>0</v>
      </c>
      <c r="J3018" s="7" t="str">
        <f t="shared" si="156"/>
        <v>PAGADO</v>
      </c>
    </row>
    <row r="3019" spans="1:11" x14ac:dyDescent="0.25">
      <c r="A3019">
        <v>2025</v>
      </c>
      <c r="C3019" s="9" t="s">
        <v>2916</v>
      </c>
      <c r="D3019" s="9" t="s">
        <v>2913</v>
      </c>
      <c r="F3019" s="6">
        <v>15</v>
      </c>
      <c r="G3019" s="6">
        <f t="shared" si="157"/>
        <v>15</v>
      </c>
      <c r="H3019" s="6">
        <v>15</v>
      </c>
      <c r="I3019" s="26">
        <f t="shared" si="155"/>
        <v>0</v>
      </c>
      <c r="J3019" s="7" t="str">
        <f t="shared" si="156"/>
        <v>PAGADO</v>
      </c>
    </row>
    <row r="3020" spans="1:11" x14ac:dyDescent="0.25">
      <c r="A3020">
        <v>2025</v>
      </c>
      <c r="C3020" s="9" t="s">
        <v>2917</v>
      </c>
      <c r="D3020" s="9" t="s">
        <v>2918</v>
      </c>
      <c r="F3020" s="6">
        <v>15</v>
      </c>
      <c r="G3020" s="6">
        <f t="shared" si="157"/>
        <v>15</v>
      </c>
      <c r="H3020" s="6">
        <v>15</v>
      </c>
      <c r="I3020" s="26">
        <f t="shared" si="155"/>
        <v>0</v>
      </c>
      <c r="J3020" s="7" t="str">
        <f t="shared" si="156"/>
        <v>PAGADO</v>
      </c>
    </row>
    <row r="3021" spans="1:11" x14ac:dyDescent="0.25">
      <c r="A3021">
        <v>2025</v>
      </c>
      <c r="C3021" s="9" t="s">
        <v>2919</v>
      </c>
      <c r="D3021" s="9" t="s">
        <v>2918</v>
      </c>
      <c r="F3021" s="6">
        <v>15</v>
      </c>
      <c r="G3021" s="6">
        <f t="shared" si="157"/>
        <v>15</v>
      </c>
      <c r="H3021" s="6">
        <v>15</v>
      </c>
      <c r="I3021" s="26">
        <f t="shared" si="155"/>
        <v>0</v>
      </c>
      <c r="J3021" s="7" t="str">
        <f t="shared" si="156"/>
        <v>PAGADO</v>
      </c>
    </row>
    <row r="3022" spans="1:11" x14ac:dyDescent="0.25">
      <c r="A3022">
        <v>2025</v>
      </c>
      <c r="C3022" s="9" t="s">
        <v>723</v>
      </c>
      <c r="D3022" s="9" t="s">
        <v>2920</v>
      </c>
      <c r="F3022" s="6">
        <v>55</v>
      </c>
      <c r="G3022" s="6">
        <f t="shared" si="157"/>
        <v>55</v>
      </c>
      <c r="H3022" s="6">
        <v>55</v>
      </c>
      <c r="I3022" s="26">
        <f t="shared" si="155"/>
        <v>0</v>
      </c>
      <c r="J3022" s="7" t="str">
        <f t="shared" si="156"/>
        <v>PAGADO</v>
      </c>
    </row>
    <row r="3023" spans="1:11" x14ac:dyDescent="0.25">
      <c r="A3023">
        <v>2025</v>
      </c>
      <c r="C3023" s="9" t="s">
        <v>2921</v>
      </c>
      <c r="D3023" s="9" t="s">
        <v>2922</v>
      </c>
      <c r="F3023" s="6">
        <v>25</v>
      </c>
      <c r="G3023" s="6">
        <f t="shared" si="157"/>
        <v>25</v>
      </c>
      <c r="H3023" s="6">
        <f>5+20</f>
        <v>25</v>
      </c>
      <c r="I3023" s="26">
        <f t="shared" si="155"/>
        <v>0</v>
      </c>
      <c r="J3023" s="7" t="str">
        <f t="shared" si="156"/>
        <v>PAGADO</v>
      </c>
    </row>
    <row r="3024" spans="1:11" x14ac:dyDescent="0.25">
      <c r="A3024">
        <v>2025</v>
      </c>
      <c r="B3024" s="9"/>
      <c r="C3024" s="9" t="s">
        <v>2688</v>
      </c>
      <c r="D3024" s="9" t="s">
        <v>2923</v>
      </c>
      <c r="F3024" s="6">
        <v>75</v>
      </c>
      <c r="G3024" s="6">
        <f t="shared" si="157"/>
        <v>75</v>
      </c>
      <c r="H3024" s="6">
        <f>20+55</f>
        <v>75</v>
      </c>
      <c r="I3024" s="26">
        <f t="shared" si="155"/>
        <v>0</v>
      </c>
      <c r="J3024" s="7" t="str">
        <f t="shared" si="156"/>
        <v>PAGADO</v>
      </c>
    </row>
    <row r="3025" spans="1:11" x14ac:dyDescent="0.25">
      <c r="A3025">
        <v>2025</v>
      </c>
      <c r="C3025" s="9" t="s">
        <v>1798</v>
      </c>
      <c r="D3025" s="9" t="s">
        <v>2924</v>
      </c>
      <c r="F3025" s="6">
        <v>75</v>
      </c>
      <c r="G3025" s="6">
        <f t="shared" si="157"/>
        <v>75</v>
      </c>
      <c r="H3025" s="6">
        <f>10+65</f>
        <v>75</v>
      </c>
      <c r="I3025" s="26">
        <f t="shared" si="155"/>
        <v>0</v>
      </c>
      <c r="J3025" s="7" t="str">
        <f t="shared" si="156"/>
        <v>PAGADO</v>
      </c>
    </row>
    <row r="3026" spans="1:11" x14ac:dyDescent="0.25">
      <c r="A3026">
        <v>2025</v>
      </c>
      <c r="C3026" s="9" t="s">
        <v>2925</v>
      </c>
      <c r="D3026" s="9" t="s">
        <v>2105</v>
      </c>
      <c r="F3026" s="6">
        <v>80</v>
      </c>
      <c r="G3026" s="6">
        <f t="shared" si="157"/>
        <v>80</v>
      </c>
      <c r="H3026" s="6">
        <v>80</v>
      </c>
      <c r="I3026" s="26">
        <f t="shared" ref="I3026:I3089" si="158">F3026-H3026</f>
        <v>0</v>
      </c>
      <c r="J3026" s="7" t="str">
        <f t="shared" ref="J3026:J3089" si="159">IF(I3026&gt;0,"DEBE","PAGADO")</f>
        <v>PAGADO</v>
      </c>
      <c r="K3026" s="33" t="s">
        <v>1815</v>
      </c>
    </row>
    <row r="3027" spans="1:11" x14ac:dyDescent="0.25">
      <c r="A3027">
        <v>2025</v>
      </c>
      <c r="C3027" s="9" t="s">
        <v>2013</v>
      </c>
      <c r="D3027" s="9" t="s">
        <v>2926</v>
      </c>
      <c r="F3027" s="6">
        <v>90</v>
      </c>
      <c r="G3027" s="6">
        <f t="shared" si="157"/>
        <v>90</v>
      </c>
      <c r="H3027" s="6">
        <v>90</v>
      </c>
      <c r="I3027" s="26">
        <f t="shared" si="158"/>
        <v>0</v>
      </c>
      <c r="J3027" s="7" t="str">
        <f t="shared" si="159"/>
        <v>PAGADO</v>
      </c>
    </row>
    <row r="3028" spans="1:11" x14ac:dyDescent="0.25">
      <c r="A3028">
        <v>2025</v>
      </c>
      <c r="C3028" s="9" t="s">
        <v>2927</v>
      </c>
      <c r="D3028" s="9" t="s">
        <v>2928</v>
      </c>
      <c r="F3028" s="6">
        <v>65</v>
      </c>
      <c r="G3028" s="6">
        <f t="shared" si="157"/>
        <v>65</v>
      </c>
      <c r="H3028" s="6">
        <v>65</v>
      </c>
      <c r="I3028" s="26">
        <f t="shared" si="158"/>
        <v>0</v>
      </c>
      <c r="J3028" s="7" t="str">
        <f t="shared" si="159"/>
        <v>PAGADO</v>
      </c>
    </row>
    <row r="3029" spans="1:11" x14ac:dyDescent="0.25">
      <c r="A3029">
        <v>2025</v>
      </c>
      <c r="C3029" s="9" t="s">
        <v>2929</v>
      </c>
      <c r="D3029" t="s">
        <v>1640</v>
      </c>
      <c r="F3029" s="6">
        <v>24</v>
      </c>
      <c r="G3029" s="6">
        <f t="shared" si="157"/>
        <v>24</v>
      </c>
      <c r="H3029" s="6">
        <v>24</v>
      </c>
      <c r="I3029" s="26">
        <f t="shared" si="158"/>
        <v>0</v>
      </c>
      <c r="J3029" s="7" t="str">
        <f t="shared" si="159"/>
        <v>PAGADO</v>
      </c>
    </row>
    <row r="3030" spans="1:11" x14ac:dyDescent="0.25">
      <c r="A3030">
        <v>2025</v>
      </c>
      <c r="C3030" s="9" t="s">
        <v>1699</v>
      </c>
      <c r="D3030" t="s">
        <v>2930</v>
      </c>
      <c r="F3030" s="6">
        <v>100</v>
      </c>
      <c r="G3030" s="6">
        <f t="shared" si="157"/>
        <v>100</v>
      </c>
      <c r="H3030" s="6">
        <v>100</v>
      </c>
      <c r="I3030" s="26">
        <f t="shared" si="158"/>
        <v>0</v>
      </c>
      <c r="J3030" s="7" t="str">
        <f t="shared" si="159"/>
        <v>PAGADO</v>
      </c>
    </row>
    <row r="3031" spans="1:11" x14ac:dyDescent="0.25">
      <c r="A3031">
        <v>2025</v>
      </c>
      <c r="C3031" s="9" t="s">
        <v>2931</v>
      </c>
      <c r="D3031" t="s">
        <v>70</v>
      </c>
      <c r="F3031" s="6">
        <v>55</v>
      </c>
      <c r="G3031" s="6">
        <f t="shared" si="157"/>
        <v>55</v>
      </c>
      <c r="H3031" s="6">
        <v>55</v>
      </c>
      <c r="I3031" s="26">
        <f t="shared" si="158"/>
        <v>0</v>
      </c>
      <c r="J3031" s="7" t="str">
        <f t="shared" si="159"/>
        <v>PAGADO</v>
      </c>
    </row>
    <row r="3032" spans="1:11" x14ac:dyDescent="0.25">
      <c r="A3032">
        <v>2025</v>
      </c>
      <c r="C3032" s="9" t="s">
        <v>2932</v>
      </c>
      <c r="D3032" s="9" t="s">
        <v>2933</v>
      </c>
      <c r="F3032" s="6">
        <v>60</v>
      </c>
      <c r="G3032" s="6">
        <f t="shared" si="157"/>
        <v>60</v>
      </c>
      <c r="H3032" s="6">
        <f>10+50</f>
        <v>60</v>
      </c>
      <c r="I3032" s="26">
        <f t="shared" si="158"/>
        <v>0</v>
      </c>
      <c r="J3032" s="7" t="str">
        <f t="shared" si="159"/>
        <v>PAGADO</v>
      </c>
    </row>
    <row r="3033" spans="1:11" x14ac:dyDescent="0.25">
      <c r="A3033">
        <v>2025</v>
      </c>
      <c r="C3033" s="9" t="s">
        <v>2934</v>
      </c>
      <c r="D3033" s="9" t="s">
        <v>2935</v>
      </c>
      <c r="F3033" s="6">
        <v>70</v>
      </c>
      <c r="G3033" s="6">
        <f t="shared" si="157"/>
        <v>70</v>
      </c>
      <c r="H3033" s="6">
        <f>10+60</f>
        <v>70</v>
      </c>
      <c r="I3033" s="26">
        <f t="shared" si="158"/>
        <v>0</v>
      </c>
      <c r="J3033" s="7" t="str">
        <f t="shared" si="159"/>
        <v>PAGADO</v>
      </c>
    </row>
    <row r="3034" spans="1:11" x14ac:dyDescent="0.25">
      <c r="A3034">
        <v>2025</v>
      </c>
      <c r="C3034" t="s">
        <v>2936</v>
      </c>
      <c r="D3034" s="9" t="s">
        <v>2906</v>
      </c>
      <c r="F3034" s="6">
        <v>55</v>
      </c>
      <c r="G3034" s="6">
        <f t="shared" si="157"/>
        <v>55</v>
      </c>
      <c r="H3034" s="6">
        <v>55</v>
      </c>
      <c r="I3034" s="26">
        <f t="shared" si="158"/>
        <v>0</v>
      </c>
      <c r="J3034" s="7" t="str">
        <f t="shared" si="159"/>
        <v>PAGADO</v>
      </c>
    </row>
    <row r="3035" spans="1:11" x14ac:dyDescent="0.25">
      <c r="A3035">
        <v>2025</v>
      </c>
      <c r="C3035" t="s">
        <v>2648</v>
      </c>
      <c r="D3035" s="9" t="s">
        <v>2906</v>
      </c>
      <c r="F3035" s="6">
        <v>70</v>
      </c>
      <c r="G3035" s="6">
        <f t="shared" si="157"/>
        <v>70</v>
      </c>
      <c r="H3035" s="6">
        <v>70</v>
      </c>
      <c r="I3035" s="26">
        <f t="shared" si="158"/>
        <v>0</v>
      </c>
      <c r="J3035" s="7" t="str">
        <f t="shared" si="159"/>
        <v>PAGADO</v>
      </c>
    </row>
    <row r="3036" spans="1:11" x14ac:dyDescent="0.25">
      <c r="A3036">
        <v>2025</v>
      </c>
      <c r="C3036" t="s">
        <v>2937</v>
      </c>
      <c r="D3036" s="9" t="s">
        <v>2906</v>
      </c>
      <c r="F3036" s="6">
        <v>50</v>
      </c>
      <c r="G3036" s="6">
        <f t="shared" si="157"/>
        <v>50</v>
      </c>
      <c r="H3036" s="6">
        <v>50</v>
      </c>
      <c r="I3036" s="26">
        <f t="shared" si="158"/>
        <v>0</v>
      </c>
      <c r="J3036" s="7" t="str">
        <f t="shared" si="159"/>
        <v>PAGADO</v>
      </c>
    </row>
    <row r="3037" spans="1:11" x14ac:dyDescent="0.25">
      <c r="A3037">
        <v>2025</v>
      </c>
      <c r="C3037" s="9" t="s">
        <v>2938</v>
      </c>
      <c r="D3037" s="9" t="s">
        <v>1460</v>
      </c>
      <c r="F3037" s="6">
        <v>130</v>
      </c>
      <c r="G3037" s="6">
        <f t="shared" si="157"/>
        <v>130</v>
      </c>
      <c r="H3037" s="6">
        <f>65+65</f>
        <v>130</v>
      </c>
      <c r="I3037" s="6">
        <f t="shared" si="158"/>
        <v>0</v>
      </c>
      <c r="J3037" s="7" t="str">
        <f t="shared" si="159"/>
        <v>PAGADO</v>
      </c>
      <c r="K3037" s="33" t="s">
        <v>1815</v>
      </c>
    </row>
    <row r="3038" spans="1:11" x14ac:dyDescent="0.25">
      <c r="A3038">
        <v>2025</v>
      </c>
      <c r="C3038" t="s">
        <v>2939</v>
      </c>
      <c r="D3038" s="9" t="s">
        <v>2923</v>
      </c>
      <c r="F3038" s="6">
        <v>70</v>
      </c>
      <c r="G3038" s="6">
        <f t="shared" si="157"/>
        <v>70</v>
      </c>
      <c r="H3038" s="6">
        <v>70</v>
      </c>
      <c r="I3038" s="26">
        <f t="shared" si="158"/>
        <v>0</v>
      </c>
      <c r="J3038" s="7" t="str">
        <f t="shared" si="159"/>
        <v>PAGADO</v>
      </c>
    </row>
    <row r="3039" spans="1:11" x14ac:dyDescent="0.25">
      <c r="A3039">
        <v>2025</v>
      </c>
      <c r="C3039" t="s">
        <v>2940</v>
      </c>
      <c r="D3039" s="9" t="s">
        <v>2923</v>
      </c>
      <c r="F3039" s="6">
        <v>70</v>
      </c>
      <c r="G3039" s="6">
        <f t="shared" si="157"/>
        <v>70</v>
      </c>
      <c r="H3039" s="6">
        <v>70</v>
      </c>
      <c r="I3039" s="26">
        <f t="shared" si="158"/>
        <v>0</v>
      </c>
      <c r="J3039" s="7" t="str">
        <f t="shared" si="159"/>
        <v>PAGADO</v>
      </c>
    </row>
    <row r="3040" spans="1:11" x14ac:dyDescent="0.25">
      <c r="A3040">
        <v>2025</v>
      </c>
      <c r="C3040" s="9" t="s">
        <v>2941</v>
      </c>
      <c r="D3040" t="s">
        <v>816</v>
      </c>
      <c r="F3040" s="6">
        <v>75</v>
      </c>
      <c r="G3040" s="6">
        <f t="shared" si="157"/>
        <v>75</v>
      </c>
      <c r="H3040" s="6">
        <f>60+15</f>
        <v>75</v>
      </c>
      <c r="I3040" s="74">
        <f t="shared" si="158"/>
        <v>0</v>
      </c>
      <c r="J3040" s="7" t="str">
        <f t="shared" si="159"/>
        <v>PAGADO</v>
      </c>
    </row>
    <row r="3041" spans="1:11" x14ac:dyDescent="0.25">
      <c r="A3041">
        <v>2025</v>
      </c>
      <c r="C3041" s="9" t="s">
        <v>2942</v>
      </c>
      <c r="D3041" t="s">
        <v>816</v>
      </c>
      <c r="F3041" s="6">
        <v>75</v>
      </c>
      <c r="G3041" s="6">
        <f t="shared" si="157"/>
        <v>75</v>
      </c>
      <c r="H3041" s="6">
        <f>60+15</f>
        <v>75</v>
      </c>
      <c r="I3041" s="74">
        <f t="shared" si="158"/>
        <v>0</v>
      </c>
      <c r="J3041" s="7" t="str">
        <f t="shared" si="159"/>
        <v>PAGADO</v>
      </c>
    </row>
    <row r="3042" spans="1:11" x14ac:dyDescent="0.25">
      <c r="A3042">
        <v>2025</v>
      </c>
      <c r="C3042" s="9" t="s">
        <v>2943</v>
      </c>
      <c r="D3042" s="9" t="s">
        <v>680</v>
      </c>
      <c r="F3042" s="6">
        <v>40</v>
      </c>
      <c r="G3042" s="6">
        <f t="shared" si="157"/>
        <v>40</v>
      </c>
      <c r="H3042" s="6">
        <v>40</v>
      </c>
      <c r="I3042" s="26">
        <f t="shared" si="158"/>
        <v>0</v>
      </c>
      <c r="J3042" s="7" t="str">
        <f t="shared" si="159"/>
        <v>PAGADO</v>
      </c>
    </row>
    <row r="3043" spans="1:11" x14ac:dyDescent="0.25">
      <c r="A3043">
        <v>2025</v>
      </c>
      <c r="C3043" s="9" t="s">
        <v>2756</v>
      </c>
      <c r="D3043" s="9" t="s">
        <v>1476</v>
      </c>
      <c r="F3043" s="6">
        <v>75</v>
      </c>
      <c r="G3043" s="6">
        <f t="shared" si="157"/>
        <v>75</v>
      </c>
      <c r="H3043" s="6">
        <v>75</v>
      </c>
      <c r="I3043" s="26">
        <f t="shared" si="158"/>
        <v>0</v>
      </c>
      <c r="J3043" s="7" t="str">
        <f t="shared" si="159"/>
        <v>PAGADO</v>
      </c>
    </row>
    <row r="3044" spans="1:11" x14ac:dyDescent="0.25">
      <c r="A3044">
        <v>2025</v>
      </c>
      <c r="C3044" s="9" t="s">
        <v>2944</v>
      </c>
      <c r="D3044" s="9" t="s">
        <v>1476</v>
      </c>
      <c r="F3044" s="6">
        <v>75</v>
      </c>
      <c r="G3044" s="6">
        <f t="shared" si="157"/>
        <v>75</v>
      </c>
      <c r="H3044" s="6">
        <v>75</v>
      </c>
      <c r="I3044" s="26">
        <f t="shared" si="158"/>
        <v>0</v>
      </c>
      <c r="J3044" s="7" t="str">
        <f t="shared" si="159"/>
        <v>PAGADO</v>
      </c>
    </row>
    <row r="3045" spans="1:11" x14ac:dyDescent="0.25">
      <c r="A3045">
        <v>2025</v>
      </c>
      <c r="C3045" s="9" t="s">
        <v>2873</v>
      </c>
      <c r="D3045" s="9" t="s">
        <v>1476</v>
      </c>
      <c r="F3045" s="6">
        <v>60</v>
      </c>
      <c r="G3045" s="6">
        <f t="shared" si="157"/>
        <v>60</v>
      </c>
      <c r="H3045" s="6">
        <v>60</v>
      </c>
      <c r="I3045" s="26">
        <f t="shared" si="158"/>
        <v>0</v>
      </c>
      <c r="J3045" s="7" t="str">
        <f t="shared" si="159"/>
        <v>PAGADO</v>
      </c>
    </row>
    <row r="3046" spans="1:11" x14ac:dyDescent="0.25">
      <c r="A3046">
        <v>2025</v>
      </c>
      <c r="C3046" s="9" t="s">
        <v>2945</v>
      </c>
      <c r="D3046" s="9" t="s">
        <v>1476</v>
      </c>
      <c r="F3046" s="6">
        <v>90</v>
      </c>
      <c r="G3046" s="6">
        <f t="shared" si="157"/>
        <v>90</v>
      </c>
      <c r="H3046" s="6">
        <v>90</v>
      </c>
      <c r="I3046" s="26">
        <f t="shared" si="158"/>
        <v>0</v>
      </c>
      <c r="J3046" s="7" t="str">
        <f t="shared" si="159"/>
        <v>PAGADO</v>
      </c>
    </row>
    <row r="3047" spans="1:11" x14ac:dyDescent="0.25">
      <c r="A3047">
        <v>2025</v>
      </c>
      <c r="C3047" s="9" t="s">
        <v>2946</v>
      </c>
      <c r="D3047" s="9" t="s">
        <v>1476</v>
      </c>
      <c r="F3047" s="6">
        <v>80</v>
      </c>
      <c r="G3047" s="6">
        <f t="shared" si="157"/>
        <v>80</v>
      </c>
      <c r="H3047" s="6">
        <v>80</v>
      </c>
      <c r="I3047" s="26">
        <f t="shared" si="158"/>
        <v>0</v>
      </c>
      <c r="J3047" s="7" t="str">
        <f t="shared" si="159"/>
        <v>PAGADO</v>
      </c>
    </row>
    <row r="3048" spans="1:11" x14ac:dyDescent="0.25">
      <c r="A3048">
        <v>2025</v>
      </c>
      <c r="C3048" s="9" t="s">
        <v>2947</v>
      </c>
      <c r="D3048" s="9" t="s">
        <v>2948</v>
      </c>
      <c r="F3048" s="6">
        <v>65</v>
      </c>
      <c r="G3048" s="6">
        <f t="shared" si="157"/>
        <v>65</v>
      </c>
      <c r="H3048" s="6">
        <v>65</v>
      </c>
      <c r="I3048" s="26">
        <f t="shared" si="158"/>
        <v>0</v>
      </c>
      <c r="J3048" s="7" t="str">
        <f t="shared" si="159"/>
        <v>PAGADO</v>
      </c>
    </row>
    <row r="3049" spans="1:11" x14ac:dyDescent="0.25">
      <c r="A3049">
        <v>2025</v>
      </c>
      <c r="C3049" s="9" t="s">
        <v>2949</v>
      </c>
      <c r="D3049" s="9" t="s">
        <v>2948</v>
      </c>
      <c r="F3049" s="6">
        <v>65</v>
      </c>
      <c r="G3049" s="6">
        <f t="shared" si="157"/>
        <v>65</v>
      </c>
      <c r="H3049" s="6">
        <v>65</v>
      </c>
      <c r="I3049" s="26">
        <f t="shared" si="158"/>
        <v>0</v>
      </c>
      <c r="J3049" s="7" t="str">
        <f t="shared" si="159"/>
        <v>PAGADO</v>
      </c>
    </row>
    <row r="3050" spans="1:11" x14ac:dyDescent="0.25">
      <c r="A3050">
        <v>2025</v>
      </c>
      <c r="C3050" t="s">
        <v>2950</v>
      </c>
      <c r="D3050" t="s">
        <v>700</v>
      </c>
      <c r="F3050" s="6">
        <v>70</v>
      </c>
      <c r="G3050" s="6">
        <f t="shared" si="157"/>
        <v>70</v>
      </c>
      <c r="H3050" s="6">
        <v>70</v>
      </c>
      <c r="I3050" s="26">
        <f t="shared" si="158"/>
        <v>0</v>
      </c>
      <c r="J3050" s="7" t="str">
        <f t="shared" si="159"/>
        <v>PAGADO</v>
      </c>
      <c r="K3050" s="33" t="s">
        <v>2258</v>
      </c>
    </row>
    <row r="3051" spans="1:11" x14ac:dyDescent="0.25">
      <c r="A3051">
        <v>2025</v>
      </c>
      <c r="C3051" t="s">
        <v>2951</v>
      </c>
      <c r="D3051" t="s">
        <v>2031</v>
      </c>
      <c r="F3051" s="6">
        <v>80</v>
      </c>
      <c r="G3051" s="6">
        <f t="shared" si="157"/>
        <v>80</v>
      </c>
      <c r="H3051" s="6">
        <f>40+40</f>
        <v>80</v>
      </c>
      <c r="I3051" s="26">
        <f t="shared" si="158"/>
        <v>0</v>
      </c>
      <c r="J3051" s="7" t="str">
        <f t="shared" si="159"/>
        <v>PAGADO</v>
      </c>
      <c r="K3051" s="33" t="s">
        <v>1815</v>
      </c>
    </row>
    <row r="3052" spans="1:11" x14ac:dyDescent="0.25">
      <c r="A3052">
        <v>2025</v>
      </c>
      <c r="C3052" t="s">
        <v>2952</v>
      </c>
      <c r="D3052" t="s">
        <v>2105</v>
      </c>
      <c r="F3052" s="6">
        <v>80</v>
      </c>
      <c r="G3052" s="6">
        <f t="shared" si="157"/>
        <v>80</v>
      </c>
      <c r="H3052" s="6">
        <v>80</v>
      </c>
      <c r="I3052" s="26">
        <f t="shared" si="158"/>
        <v>0</v>
      </c>
      <c r="J3052" s="7" t="str">
        <f t="shared" si="159"/>
        <v>PAGADO</v>
      </c>
      <c r="K3052" s="33" t="s">
        <v>1815</v>
      </c>
    </row>
    <row r="3053" spans="1:11" x14ac:dyDescent="0.25">
      <c r="A3053">
        <v>2025</v>
      </c>
      <c r="C3053" s="9" t="s">
        <v>2953</v>
      </c>
      <c r="D3053" s="9" t="s">
        <v>18</v>
      </c>
      <c r="F3053" s="6">
        <v>130</v>
      </c>
      <c r="G3053" s="6">
        <f t="shared" si="157"/>
        <v>130</v>
      </c>
      <c r="H3053" s="6">
        <f>50+50+30</f>
        <v>130</v>
      </c>
      <c r="I3053" s="26">
        <f t="shared" si="158"/>
        <v>0</v>
      </c>
      <c r="J3053" s="7" t="str">
        <f t="shared" si="159"/>
        <v>PAGADO</v>
      </c>
      <c r="K3053" s="9"/>
    </row>
    <row r="3054" spans="1:11" x14ac:dyDescent="0.25">
      <c r="A3054">
        <v>2025</v>
      </c>
      <c r="C3054" s="9" t="s">
        <v>1814</v>
      </c>
      <c r="D3054" s="9" t="s">
        <v>1510</v>
      </c>
      <c r="F3054" s="6">
        <v>95</v>
      </c>
      <c r="G3054" s="6">
        <f t="shared" si="157"/>
        <v>95</v>
      </c>
      <c r="H3054" s="26">
        <v>95</v>
      </c>
      <c r="I3054" s="26">
        <f t="shared" si="158"/>
        <v>0</v>
      </c>
      <c r="J3054" s="7" t="str">
        <f t="shared" si="159"/>
        <v>PAGADO</v>
      </c>
      <c r="K3054" s="33" t="s">
        <v>1815</v>
      </c>
    </row>
    <row r="3055" spans="1:11" x14ac:dyDescent="0.25">
      <c r="A3055">
        <v>2025</v>
      </c>
      <c r="C3055" s="9" t="s">
        <v>1814</v>
      </c>
      <c r="D3055" s="9" t="s">
        <v>1510</v>
      </c>
      <c r="F3055" s="6">
        <v>95</v>
      </c>
      <c r="G3055" s="6">
        <f t="shared" si="157"/>
        <v>95</v>
      </c>
      <c r="H3055" s="26">
        <v>95</v>
      </c>
      <c r="I3055" s="26">
        <f t="shared" si="158"/>
        <v>0</v>
      </c>
      <c r="J3055" s="7" t="str">
        <f t="shared" si="159"/>
        <v>PAGADO</v>
      </c>
      <c r="K3055" s="33" t="s">
        <v>1815</v>
      </c>
    </row>
    <row r="3056" spans="1:11" x14ac:dyDescent="0.25">
      <c r="A3056">
        <v>2025</v>
      </c>
      <c r="C3056" s="9" t="s">
        <v>2954</v>
      </c>
      <c r="D3056" s="9" t="s">
        <v>1510</v>
      </c>
      <c r="F3056" s="26">
        <v>85</v>
      </c>
      <c r="G3056" s="26">
        <f t="shared" si="157"/>
        <v>85</v>
      </c>
      <c r="H3056" s="26">
        <v>85</v>
      </c>
      <c r="I3056" s="26">
        <f t="shared" si="158"/>
        <v>0</v>
      </c>
      <c r="J3056" s="7" t="str">
        <f t="shared" si="159"/>
        <v>PAGADO</v>
      </c>
      <c r="K3056" s="33" t="s">
        <v>2479</v>
      </c>
    </row>
    <row r="3057" spans="1:11" x14ac:dyDescent="0.25">
      <c r="A3057">
        <v>2025</v>
      </c>
      <c r="C3057" s="9" t="s">
        <v>2954</v>
      </c>
      <c r="D3057" s="9" t="s">
        <v>1510</v>
      </c>
      <c r="F3057" s="26">
        <v>85</v>
      </c>
      <c r="G3057" s="26">
        <f t="shared" si="157"/>
        <v>85</v>
      </c>
      <c r="H3057" s="26">
        <v>85</v>
      </c>
      <c r="I3057" s="26">
        <f t="shared" si="158"/>
        <v>0</v>
      </c>
      <c r="J3057" s="7" t="str">
        <f t="shared" si="159"/>
        <v>PAGADO</v>
      </c>
      <c r="K3057" s="33" t="s">
        <v>2479</v>
      </c>
    </row>
    <row r="3058" spans="1:11" x14ac:dyDescent="0.25">
      <c r="A3058">
        <v>2025</v>
      </c>
      <c r="C3058" s="9" t="s">
        <v>2954</v>
      </c>
      <c r="D3058" s="9" t="s">
        <v>1510</v>
      </c>
      <c r="F3058" s="26">
        <v>85</v>
      </c>
      <c r="G3058" s="26">
        <f t="shared" si="157"/>
        <v>85</v>
      </c>
      <c r="H3058" s="26">
        <v>85</v>
      </c>
      <c r="I3058" s="26">
        <f t="shared" si="158"/>
        <v>0</v>
      </c>
      <c r="J3058" s="7" t="str">
        <f t="shared" si="159"/>
        <v>PAGADO</v>
      </c>
      <c r="K3058" s="33" t="s">
        <v>2479</v>
      </c>
    </row>
    <row r="3059" spans="1:11" x14ac:dyDescent="0.25">
      <c r="A3059">
        <v>2025</v>
      </c>
      <c r="C3059" s="9" t="s">
        <v>2955</v>
      </c>
      <c r="D3059" s="9" t="s">
        <v>1510</v>
      </c>
      <c r="F3059" s="6">
        <v>90</v>
      </c>
      <c r="G3059" s="6">
        <f t="shared" si="157"/>
        <v>90</v>
      </c>
      <c r="H3059" s="26">
        <v>90</v>
      </c>
      <c r="I3059" s="26">
        <f t="shared" si="158"/>
        <v>0</v>
      </c>
      <c r="J3059" s="7" t="str">
        <f t="shared" si="159"/>
        <v>PAGADO</v>
      </c>
      <c r="K3059" s="33" t="s">
        <v>1815</v>
      </c>
    </row>
    <row r="3060" spans="1:11" x14ac:dyDescent="0.25">
      <c r="A3060">
        <v>2025</v>
      </c>
      <c r="C3060" s="9" t="s">
        <v>2956</v>
      </c>
      <c r="D3060" s="9" t="s">
        <v>1510</v>
      </c>
      <c r="F3060" s="6">
        <v>90</v>
      </c>
      <c r="G3060" s="6">
        <f t="shared" si="157"/>
        <v>90</v>
      </c>
      <c r="H3060" s="26">
        <v>90</v>
      </c>
      <c r="I3060" s="26">
        <f t="shared" si="158"/>
        <v>0</v>
      </c>
      <c r="J3060" s="7" t="str">
        <f t="shared" si="159"/>
        <v>PAGADO</v>
      </c>
      <c r="K3060" s="33" t="s">
        <v>1815</v>
      </c>
    </row>
    <row r="3061" spans="1:11" x14ac:dyDescent="0.25">
      <c r="A3061">
        <v>2025</v>
      </c>
      <c r="C3061" s="9" t="s">
        <v>2957</v>
      </c>
      <c r="D3061" s="9" t="s">
        <v>1145</v>
      </c>
      <c r="F3061" s="6">
        <v>16</v>
      </c>
      <c r="G3061" s="6">
        <f t="shared" si="157"/>
        <v>16</v>
      </c>
      <c r="H3061" s="6">
        <v>16</v>
      </c>
      <c r="I3061" s="26">
        <f t="shared" si="158"/>
        <v>0</v>
      </c>
      <c r="J3061" s="7" t="str">
        <f t="shared" si="159"/>
        <v>PAGADO</v>
      </c>
      <c r="K3061" s="33" t="s">
        <v>1815</v>
      </c>
    </row>
    <row r="3062" spans="1:11" x14ac:dyDescent="0.25">
      <c r="A3062">
        <v>2025</v>
      </c>
      <c r="C3062" s="9" t="s">
        <v>2958</v>
      </c>
      <c r="D3062" s="9" t="s">
        <v>1466</v>
      </c>
      <c r="F3062" s="6">
        <v>25</v>
      </c>
      <c r="G3062" s="6">
        <f t="shared" si="157"/>
        <v>25</v>
      </c>
      <c r="H3062" s="6">
        <v>25</v>
      </c>
      <c r="I3062" s="26">
        <f t="shared" si="158"/>
        <v>0</v>
      </c>
      <c r="J3062" s="7" t="str">
        <f t="shared" si="159"/>
        <v>PAGADO</v>
      </c>
      <c r="K3062" s="9" t="s">
        <v>2959</v>
      </c>
    </row>
    <row r="3063" spans="1:11" x14ac:dyDescent="0.25">
      <c r="A3063">
        <v>2025</v>
      </c>
      <c r="C3063" s="9" t="s">
        <v>2960</v>
      </c>
      <c r="D3063" s="9" t="s">
        <v>1736</v>
      </c>
      <c r="F3063" s="26">
        <v>140</v>
      </c>
      <c r="G3063" s="26">
        <f t="shared" si="157"/>
        <v>140</v>
      </c>
      <c r="H3063" s="26">
        <f>70+70</f>
        <v>140</v>
      </c>
      <c r="I3063" s="26">
        <f t="shared" si="158"/>
        <v>0</v>
      </c>
      <c r="J3063" s="7" t="str">
        <f t="shared" si="159"/>
        <v>PAGADO</v>
      </c>
      <c r="K3063" s="33" t="s">
        <v>1815</v>
      </c>
    </row>
    <row r="3064" spans="1:11" x14ac:dyDescent="0.25">
      <c r="A3064">
        <v>2025</v>
      </c>
      <c r="C3064" s="9" t="s">
        <v>2961</v>
      </c>
      <c r="D3064" s="9" t="s">
        <v>1510</v>
      </c>
      <c r="F3064" s="6">
        <v>130</v>
      </c>
      <c r="G3064" s="6">
        <f t="shared" si="157"/>
        <v>130</v>
      </c>
      <c r="H3064" s="26">
        <f>65+65</f>
        <v>130</v>
      </c>
      <c r="I3064" s="26">
        <f t="shared" si="158"/>
        <v>0</v>
      </c>
      <c r="J3064" s="7" t="str">
        <f t="shared" si="159"/>
        <v>PAGADO</v>
      </c>
      <c r="K3064" s="33" t="s">
        <v>1815</v>
      </c>
    </row>
    <row r="3065" spans="1:11" x14ac:dyDescent="0.25">
      <c r="A3065">
        <v>2025</v>
      </c>
      <c r="C3065" s="9" t="s">
        <v>2962</v>
      </c>
      <c r="D3065" s="9" t="s">
        <v>2278</v>
      </c>
      <c r="F3065" s="6">
        <v>220</v>
      </c>
      <c r="G3065" s="6">
        <f t="shared" si="157"/>
        <v>220</v>
      </c>
      <c r="H3065" s="16">
        <f>110+110</f>
        <v>220</v>
      </c>
      <c r="I3065" s="48">
        <f t="shared" si="158"/>
        <v>0</v>
      </c>
      <c r="J3065" s="7" t="str">
        <f t="shared" si="159"/>
        <v>PAGADO</v>
      </c>
      <c r="K3065" s="60" t="s">
        <v>693</v>
      </c>
    </row>
    <row r="3066" spans="1:11" x14ac:dyDescent="0.25">
      <c r="A3066">
        <v>2025</v>
      </c>
      <c r="C3066" s="9" t="s">
        <v>2963</v>
      </c>
      <c r="D3066" s="9" t="s">
        <v>2105</v>
      </c>
      <c r="F3066" s="6">
        <v>60</v>
      </c>
      <c r="G3066" s="6">
        <f t="shared" si="157"/>
        <v>60</v>
      </c>
      <c r="H3066" s="6">
        <v>60</v>
      </c>
      <c r="I3066" s="26">
        <f t="shared" si="158"/>
        <v>0</v>
      </c>
      <c r="J3066" s="7" t="str">
        <f t="shared" si="159"/>
        <v>PAGADO</v>
      </c>
    </row>
    <row r="3067" spans="1:11" x14ac:dyDescent="0.25">
      <c r="A3067">
        <v>2025</v>
      </c>
      <c r="C3067" s="9" t="s">
        <v>2964</v>
      </c>
      <c r="D3067" s="9" t="s">
        <v>2965</v>
      </c>
      <c r="F3067" s="6">
        <v>65</v>
      </c>
      <c r="G3067" s="6">
        <f t="shared" si="157"/>
        <v>65</v>
      </c>
      <c r="H3067" s="6">
        <v>65</v>
      </c>
      <c r="I3067" s="26">
        <f t="shared" si="158"/>
        <v>0</v>
      </c>
      <c r="J3067" s="7" t="str">
        <f t="shared" si="159"/>
        <v>PAGADO</v>
      </c>
      <c r="K3067" s="33" t="s">
        <v>2258</v>
      </c>
    </row>
    <row r="3068" spans="1:11" x14ac:dyDescent="0.25">
      <c r="A3068">
        <v>2025</v>
      </c>
      <c r="C3068" s="9" t="s">
        <v>2966</v>
      </c>
      <c r="D3068" s="9" t="s">
        <v>2965</v>
      </c>
      <c r="F3068" s="6">
        <v>65</v>
      </c>
      <c r="G3068" s="6">
        <f t="shared" si="157"/>
        <v>65</v>
      </c>
      <c r="H3068" s="6">
        <v>65</v>
      </c>
      <c r="I3068" s="26">
        <f t="shared" si="158"/>
        <v>0</v>
      </c>
      <c r="J3068" s="7" t="str">
        <f t="shared" si="159"/>
        <v>PAGADO</v>
      </c>
      <c r="K3068" s="33" t="s">
        <v>2258</v>
      </c>
    </row>
    <row r="3069" spans="1:11" x14ac:dyDescent="0.25">
      <c r="A3069">
        <v>2025</v>
      </c>
      <c r="C3069" s="9" t="s">
        <v>2725</v>
      </c>
      <c r="D3069" s="9" t="s">
        <v>2965</v>
      </c>
      <c r="F3069" s="6">
        <v>65</v>
      </c>
      <c r="G3069" s="6">
        <f t="shared" si="157"/>
        <v>65</v>
      </c>
      <c r="H3069" s="6">
        <f>32.5+32.5</f>
        <v>65</v>
      </c>
      <c r="I3069" s="26">
        <f t="shared" si="158"/>
        <v>0</v>
      </c>
      <c r="J3069" s="7" t="str">
        <f t="shared" si="159"/>
        <v>PAGADO</v>
      </c>
      <c r="K3069" s="33" t="s">
        <v>1815</v>
      </c>
    </row>
    <row r="3070" spans="1:11" x14ac:dyDescent="0.25">
      <c r="A3070">
        <v>2025</v>
      </c>
      <c r="C3070" s="9" t="s">
        <v>2967</v>
      </c>
      <c r="D3070" s="9" t="s">
        <v>2965</v>
      </c>
      <c r="F3070" s="6">
        <v>80</v>
      </c>
      <c r="G3070" s="6">
        <f t="shared" ref="G3070:G3133" si="160">F3070-E3070</f>
        <v>80</v>
      </c>
      <c r="H3070" s="6">
        <f>40+40</f>
        <v>80</v>
      </c>
      <c r="I3070" s="26">
        <f t="shared" si="158"/>
        <v>0</v>
      </c>
      <c r="J3070" s="7" t="str">
        <f t="shared" si="159"/>
        <v>PAGADO</v>
      </c>
      <c r="K3070" s="33" t="s">
        <v>2968</v>
      </c>
    </row>
    <row r="3071" spans="1:11" x14ac:dyDescent="0.25">
      <c r="A3071">
        <v>2025</v>
      </c>
      <c r="C3071" s="9" t="s">
        <v>2719</v>
      </c>
      <c r="D3071" s="9" t="s">
        <v>2969</v>
      </c>
      <c r="F3071" s="6">
        <v>150</v>
      </c>
      <c r="G3071" s="6">
        <f t="shared" si="160"/>
        <v>150</v>
      </c>
      <c r="H3071" s="6">
        <v>150</v>
      </c>
      <c r="I3071" s="26">
        <f t="shared" si="158"/>
        <v>0</v>
      </c>
      <c r="J3071" s="7" t="str">
        <f t="shared" si="159"/>
        <v>PAGADO</v>
      </c>
    </row>
    <row r="3072" spans="1:11" x14ac:dyDescent="0.25">
      <c r="A3072">
        <v>2025</v>
      </c>
      <c r="C3072" s="9" t="s">
        <v>2970</v>
      </c>
      <c r="D3072" s="9" t="s">
        <v>2969</v>
      </c>
      <c r="F3072" s="6">
        <v>60</v>
      </c>
      <c r="G3072" s="6">
        <f t="shared" si="160"/>
        <v>60</v>
      </c>
      <c r="H3072" s="6">
        <v>60</v>
      </c>
      <c r="I3072" s="26">
        <f t="shared" si="158"/>
        <v>0</v>
      </c>
      <c r="J3072" s="7" t="str">
        <f t="shared" si="159"/>
        <v>PAGADO</v>
      </c>
    </row>
    <row r="3073" spans="1:11" x14ac:dyDescent="0.25">
      <c r="A3073">
        <v>2025</v>
      </c>
      <c r="C3073" s="9" t="s">
        <v>2719</v>
      </c>
      <c r="D3073" s="9" t="s">
        <v>2971</v>
      </c>
      <c r="F3073" s="6">
        <v>150</v>
      </c>
      <c r="G3073" s="6">
        <f t="shared" si="160"/>
        <v>150</v>
      </c>
      <c r="H3073" s="6">
        <v>150</v>
      </c>
      <c r="I3073" s="26">
        <f t="shared" si="158"/>
        <v>0</v>
      </c>
      <c r="J3073" s="7" t="str">
        <f t="shared" si="159"/>
        <v>PAGADO</v>
      </c>
    </row>
    <row r="3074" spans="1:11" x14ac:dyDescent="0.25">
      <c r="A3074">
        <v>2025</v>
      </c>
      <c r="C3074" s="9" t="s">
        <v>2972</v>
      </c>
      <c r="D3074" s="9" t="s">
        <v>2973</v>
      </c>
      <c r="F3074" s="6">
        <v>55</v>
      </c>
      <c r="G3074" s="6">
        <f t="shared" si="160"/>
        <v>55</v>
      </c>
      <c r="H3074" s="6">
        <v>55</v>
      </c>
      <c r="I3074" s="26">
        <f t="shared" si="158"/>
        <v>0</v>
      </c>
      <c r="J3074" s="7" t="str">
        <f t="shared" si="159"/>
        <v>PAGADO</v>
      </c>
    </row>
    <row r="3075" spans="1:11" x14ac:dyDescent="0.25">
      <c r="A3075">
        <v>2025</v>
      </c>
      <c r="C3075" s="9" t="s">
        <v>2974</v>
      </c>
      <c r="D3075" s="9" t="s">
        <v>2973</v>
      </c>
      <c r="F3075" s="6">
        <v>60</v>
      </c>
      <c r="G3075" s="6">
        <f t="shared" si="160"/>
        <v>60</v>
      </c>
      <c r="H3075" s="6">
        <v>60</v>
      </c>
      <c r="I3075" s="26">
        <f t="shared" si="158"/>
        <v>0</v>
      </c>
      <c r="J3075" s="7" t="str">
        <f t="shared" si="159"/>
        <v>PAGADO</v>
      </c>
    </row>
    <row r="3076" spans="1:11" x14ac:dyDescent="0.25">
      <c r="A3076">
        <v>2025</v>
      </c>
      <c r="C3076" s="9" t="s">
        <v>2975</v>
      </c>
      <c r="D3076" s="9" t="s">
        <v>2973</v>
      </c>
      <c r="F3076" s="6">
        <v>70</v>
      </c>
      <c r="G3076" s="6">
        <f t="shared" si="160"/>
        <v>70</v>
      </c>
      <c r="H3076" s="6">
        <v>70</v>
      </c>
      <c r="I3076" s="26">
        <f t="shared" si="158"/>
        <v>0</v>
      </c>
      <c r="J3076" s="7" t="str">
        <f t="shared" si="159"/>
        <v>PAGADO</v>
      </c>
    </row>
    <row r="3077" spans="1:11" x14ac:dyDescent="0.25">
      <c r="A3077">
        <v>2025</v>
      </c>
      <c r="C3077" s="9" t="s">
        <v>637</v>
      </c>
      <c r="D3077" s="9" t="s">
        <v>2973</v>
      </c>
      <c r="F3077" s="6">
        <v>55</v>
      </c>
      <c r="G3077" s="6">
        <f t="shared" si="160"/>
        <v>55</v>
      </c>
      <c r="H3077" s="6">
        <v>55</v>
      </c>
      <c r="I3077" s="26">
        <f t="shared" si="158"/>
        <v>0</v>
      </c>
      <c r="J3077" s="7" t="str">
        <f t="shared" si="159"/>
        <v>PAGADO</v>
      </c>
    </row>
    <row r="3078" spans="1:11" x14ac:dyDescent="0.25">
      <c r="A3078">
        <v>2025</v>
      </c>
      <c r="C3078" t="s">
        <v>2976</v>
      </c>
      <c r="D3078" s="9" t="s">
        <v>2906</v>
      </c>
      <c r="F3078" s="6">
        <v>140</v>
      </c>
      <c r="G3078" s="6">
        <f t="shared" si="160"/>
        <v>140</v>
      </c>
      <c r="H3078" s="6">
        <v>140</v>
      </c>
      <c r="I3078" s="26">
        <f t="shared" si="158"/>
        <v>0</v>
      </c>
      <c r="J3078" s="7" t="str">
        <f t="shared" si="159"/>
        <v>PAGADO</v>
      </c>
    </row>
    <row r="3079" spans="1:11" x14ac:dyDescent="0.25">
      <c r="A3079">
        <v>2025</v>
      </c>
      <c r="C3079" s="9" t="s">
        <v>2977</v>
      </c>
      <c r="D3079" t="s">
        <v>1640</v>
      </c>
      <c r="E3079" s="6"/>
      <c r="F3079" s="6">
        <v>30</v>
      </c>
      <c r="G3079" s="6">
        <f t="shared" si="160"/>
        <v>30</v>
      </c>
      <c r="H3079" s="6">
        <v>30</v>
      </c>
      <c r="I3079" s="26">
        <f t="shared" si="158"/>
        <v>0</v>
      </c>
      <c r="J3079" s="7" t="str">
        <f t="shared" si="159"/>
        <v>PAGADO</v>
      </c>
    </row>
    <row r="3080" spans="1:11" x14ac:dyDescent="0.25">
      <c r="A3080">
        <v>2025</v>
      </c>
      <c r="C3080" s="9" t="s">
        <v>2978</v>
      </c>
      <c r="D3080" t="s">
        <v>2979</v>
      </c>
      <c r="F3080" s="6">
        <v>50</v>
      </c>
      <c r="G3080" s="6">
        <f t="shared" si="160"/>
        <v>50</v>
      </c>
      <c r="H3080" s="6">
        <v>50</v>
      </c>
      <c r="I3080" s="26">
        <f t="shared" si="158"/>
        <v>0</v>
      </c>
      <c r="J3080" s="7" t="str">
        <f t="shared" si="159"/>
        <v>PAGADO</v>
      </c>
    </row>
    <row r="3081" spans="1:11" x14ac:dyDescent="0.25">
      <c r="A3081">
        <v>2025</v>
      </c>
      <c r="C3081" s="9" t="s">
        <v>2980</v>
      </c>
      <c r="D3081" t="s">
        <v>2979</v>
      </c>
      <c r="F3081" s="6">
        <v>50</v>
      </c>
      <c r="G3081" s="6">
        <f t="shared" si="160"/>
        <v>50</v>
      </c>
      <c r="H3081" s="6">
        <v>50</v>
      </c>
      <c r="I3081" s="26">
        <f t="shared" si="158"/>
        <v>0</v>
      </c>
      <c r="J3081" s="7" t="str">
        <f t="shared" si="159"/>
        <v>PAGADO</v>
      </c>
    </row>
    <row r="3082" spans="1:11" x14ac:dyDescent="0.25">
      <c r="A3082">
        <v>2025</v>
      </c>
      <c r="C3082" s="9" t="s">
        <v>2981</v>
      </c>
      <c r="D3082" t="s">
        <v>2979</v>
      </c>
      <c r="F3082" s="6">
        <v>50</v>
      </c>
      <c r="G3082" s="6">
        <f t="shared" si="160"/>
        <v>50</v>
      </c>
      <c r="H3082" s="6">
        <v>50</v>
      </c>
      <c r="I3082" s="26">
        <f t="shared" si="158"/>
        <v>0</v>
      </c>
      <c r="J3082" s="7" t="str">
        <f t="shared" si="159"/>
        <v>PAGADO</v>
      </c>
    </row>
    <row r="3083" spans="1:11" x14ac:dyDescent="0.25">
      <c r="A3083">
        <v>2025</v>
      </c>
      <c r="C3083" s="9" t="s">
        <v>2982</v>
      </c>
      <c r="D3083" t="s">
        <v>2983</v>
      </c>
      <c r="F3083" s="6">
        <v>15</v>
      </c>
      <c r="G3083" s="6">
        <f t="shared" si="160"/>
        <v>15</v>
      </c>
      <c r="H3083" s="6">
        <v>15</v>
      </c>
      <c r="I3083" s="26">
        <f t="shared" si="158"/>
        <v>0</v>
      </c>
      <c r="J3083" s="7" t="str">
        <f t="shared" si="159"/>
        <v>PAGADO</v>
      </c>
    </row>
    <row r="3084" spans="1:11" x14ac:dyDescent="0.25">
      <c r="A3084">
        <v>2025</v>
      </c>
      <c r="C3084" s="9" t="s">
        <v>1814</v>
      </c>
      <c r="D3084" s="9" t="s">
        <v>2969</v>
      </c>
      <c r="F3084" s="6">
        <v>95</v>
      </c>
      <c r="G3084" s="6">
        <f t="shared" si="160"/>
        <v>95</v>
      </c>
      <c r="H3084" s="6">
        <v>95</v>
      </c>
      <c r="I3084" s="26">
        <f t="shared" si="158"/>
        <v>0</v>
      </c>
      <c r="J3084" s="7" t="str">
        <f t="shared" si="159"/>
        <v>PAGADO</v>
      </c>
      <c r="K3084" s="33" t="s">
        <v>1815</v>
      </c>
    </row>
    <row r="3085" spans="1:11" x14ac:dyDescent="0.25">
      <c r="A3085">
        <v>2025</v>
      </c>
      <c r="C3085" s="9" t="s">
        <v>2984</v>
      </c>
      <c r="D3085" s="9" t="s">
        <v>2969</v>
      </c>
      <c r="F3085" s="6">
        <v>65</v>
      </c>
      <c r="G3085" s="6">
        <f t="shared" si="160"/>
        <v>65</v>
      </c>
      <c r="H3085" s="6">
        <v>65</v>
      </c>
      <c r="I3085" s="26">
        <f t="shared" si="158"/>
        <v>0</v>
      </c>
      <c r="J3085" s="7" t="str">
        <f t="shared" si="159"/>
        <v>PAGADO</v>
      </c>
      <c r="K3085" s="33" t="s">
        <v>1815</v>
      </c>
    </row>
    <row r="3086" spans="1:11" x14ac:dyDescent="0.25">
      <c r="A3086">
        <v>2025</v>
      </c>
      <c r="C3086" s="9" t="s">
        <v>2985</v>
      </c>
      <c r="D3086" s="9" t="s">
        <v>2969</v>
      </c>
      <c r="F3086" s="6">
        <v>75</v>
      </c>
      <c r="G3086" s="6">
        <f t="shared" si="160"/>
        <v>75</v>
      </c>
      <c r="H3086" s="6">
        <v>75</v>
      </c>
      <c r="I3086" s="26">
        <f t="shared" si="158"/>
        <v>0</v>
      </c>
      <c r="J3086" s="7" t="str">
        <f t="shared" si="159"/>
        <v>PAGADO</v>
      </c>
      <c r="K3086" s="33" t="s">
        <v>1815</v>
      </c>
    </row>
    <row r="3087" spans="1:11" x14ac:dyDescent="0.25">
      <c r="A3087">
        <v>2025</v>
      </c>
      <c r="C3087" s="9" t="s">
        <v>2986</v>
      </c>
      <c r="D3087" s="9" t="s">
        <v>2969</v>
      </c>
      <c r="F3087" s="6">
        <v>100</v>
      </c>
      <c r="G3087" s="6">
        <f t="shared" si="160"/>
        <v>100</v>
      </c>
      <c r="H3087" s="6">
        <v>100</v>
      </c>
      <c r="I3087" s="26">
        <f t="shared" si="158"/>
        <v>0</v>
      </c>
      <c r="J3087" s="7" t="str">
        <f t="shared" si="159"/>
        <v>PAGADO</v>
      </c>
      <c r="K3087" s="9" t="s">
        <v>570</v>
      </c>
    </row>
    <row r="3088" spans="1:11" x14ac:dyDescent="0.25">
      <c r="A3088">
        <v>2025</v>
      </c>
      <c r="C3088" s="9" t="s">
        <v>2970</v>
      </c>
      <c r="D3088" s="9" t="s">
        <v>2969</v>
      </c>
      <c r="F3088" s="6">
        <v>55</v>
      </c>
      <c r="G3088" s="6">
        <f t="shared" si="160"/>
        <v>55</v>
      </c>
      <c r="H3088" s="6">
        <v>55</v>
      </c>
      <c r="I3088" s="26">
        <f t="shared" si="158"/>
        <v>0</v>
      </c>
      <c r="J3088" s="7" t="str">
        <f t="shared" si="159"/>
        <v>PAGADO</v>
      </c>
      <c r="K3088" s="9" t="s">
        <v>570</v>
      </c>
    </row>
    <row r="3089" spans="1:11" x14ac:dyDescent="0.25">
      <c r="A3089">
        <v>2025</v>
      </c>
      <c r="C3089" t="s">
        <v>2987</v>
      </c>
      <c r="D3089" s="9" t="s">
        <v>238</v>
      </c>
      <c r="F3089" s="6">
        <v>150</v>
      </c>
      <c r="G3089" s="6">
        <f t="shared" si="160"/>
        <v>150</v>
      </c>
      <c r="H3089" s="6">
        <v>150</v>
      </c>
      <c r="I3089" s="26">
        <f t="shared" si="158"/>
        <v>0</v>
      </c>
      <c r="J3089" s="7" t="str">
        <f t="shared" si="159"/>
        <v>PAGADO</v>
      </c>
      <c r="K3089" s="9" t="s">
        <v>2761</v>
      </c>
    </row>
    <row r="3090" spans="1:11" x14ac:dyDescent="0.25">
      <c r="A3090">
        <v>2025</v>
      </c>
      <c r="C3090" t="s">
        <v>2988</v>
      </c>
      <c r="D3090" s="9" t="s">
        <v>238</v>
      </c>
      <c r="F3090" s="6">
        <v>140</v>
      </c>
      <c r="G3090" s="6">
        <f t="shared" si="160"/>
        <v>140</v>
      </c>
      <c r="H3090" s="6">
        <v>140</v>
      </c>
      <c r="I3090" s="26">
        <f t="shared" ref="I3090:I3153" si="161">F3090-H3090</f>
        <v>0</v>
      </c>
      <c r="J3090" s="7" t="str">
        <f t="shared" ref="J3090:J3153" si="162">IF(I3090&gt;0,"DEBE","PAGADO")</f>
        <v>PAGADO</v>
      </c>
      <c r="K3090" s="9" t="s">
        <v>2761</v>
      </c>
    </row>
    <row r="3091" spans="1:11" x14ac:dyDescent="0.25">
      <c r="A3091">
        <v>2025</v>
      </c>
      <c r="C3091" t="s">
        <v>2989</v>
      </c>
      <c r="D3091" s="9" t="s">
        <v>238</v>
      </c>
      <c r="F3091" s="6">
        <v>100</v>
      </c>
      <c r="G3091" s="6">
        <f t="shared" si="160"/>
        <v>100</v>
      </c>
      <c r="H3091" s="6">
        <v>100</v>
      </c>
      <c r="I3091" s="26">
        <f t="shared" si="161"/>
        <v>0</v>
      </c>
      <c r="J3091" s="7" t="str">
        <f t="shared" si="162"/>
        <v>PAGADO</v>
      </c>
      <c r="K3091" s="9" t="s">
        <v>2761</v>
      </c>
    </row>
    <row r="3092" spans="1:11" x14ac:dyDescent="0.25">
      <c r="A3092">
        <v>2025</v>
      </c>
      <c r="C3092" t="s">
        <v>2990</v>
      </c>
      <c r="D3092" s="9" t="s">
        <v>238</v>
      </c>
      <c r="F3092" s="6">
        <v>1400</v>
      </c>
      <c r="G3092" s="6">
        <f t="shared" si="160"/>
        <v>1400</v>
      </c>
      <c r="H3092" s="6">
        <v>1400</v>
      </c>
      <c r="I3092" s="26">
        <f t="shared" si="161"/>
        <v>0</v>
      </c>
      <c r="J3092" s="7" t="str">
        <f t="shared" si="162"/>
        <v>PAGADO</v>
      </c>
      <c r="K3092" s="9" t="s">
        <v>2761</v>
      </c>
    </row>
    <row r="3093" spans="1:11" x14ac:dyDescent="0.25">
      <c r="A3093">
        <v>2025</v>
      </c>
      <c r="C3093" s="9" t="s">
        <v>2991</v>
      </c>
      <c r="D3093" s="9" t="s">
        <v>2992</v>
      </c>
      <c r="F3093" s="6">
        <v>60</v>
      </c>
      <c r="G3093" s="6">
        <f t="shared" si="160"/>
        <v>60</v>
      </c>
      <c r="H3093" s="6">
        <v>60</v>
      </c>
      <c r="I3093" s="26">
        <f t="shared" si="161"/>
        <v>0</v>
      </c>
      <c r="J3093" s="7" t="str">
        <f t="shared" si="162"/>
        <v>PAGADO</v>
      </c>
    </row>
    <row r="3094" spans="1:11" x14ac:dyDescent="0.25">
      <c r="A3094">
        <v>2025</v>
      </c>
      <c r="C3094" s="9" t="s">
        <v>2993</v>
      </c>
      <c r="D3094" s="9" t="s">
        <v>2992</v>
      </c>
      <c r="F3094" s="6">
        <v>50</v>
      </c>
      <c r="G3094" s="6">
        <f t="shared" si="160"/>
        <v>50</v>
      </c>
      <c r="H3094" s="6">
        <v>50</v>
      </c>
      <c r="I3094" s="26">
        <f t="shared" si="161"/>
        <v>0</v>
      </c>
      <c r="J3094" s="7" t="str">
        <f t="shared" si="162"/>
        <v>PAGADO</v>
      </c>
    </row>
    <row r="3095" spans="1:11" x14ac:dyDescent="0.25">
      <c r="A3095">
        <v>2025</v>
      </c>
      <c r="C3095" s="9" t="s">
        <v>2013</v>
      </c>
      <c r="D3095" t="s">
        <v>2930</v>
      </c>
      <c r="F3095" s="6">
        <v>75</v>
      </c>
      <c r="G3095" s="6">
        <f t="shared" si="160"/>
        <v>75</v>
      </c>
      <c r="H3095" s="6">
        <v>75</v>
      </c>
      <c r="I3095" s="26">
        <f t="shared" si="161"/>
        <v>0</v>
      </c>
      <c r="J3095" s="7" t="str">
        <f t="shared" si="162"/>
        <v>PAGADO</v>
      </c>
    </row>
    <row r="3096" spans="1:11" x14ac:dyDescent="0.25">
      <c r="A3096">
        <v>2025</v>
      </c>
      <c r="C3096" s="9" t="s">
        <v>2994</v>
      </c>
      <c r="D3096" s="9" t="s">
        <v>2995</v>
      </c>
      <c r="F3096" s="6">
        <v>40</v>
      </c>
      <c r="G3096" s="6">
        <f t="shared" si="160"/>
        <v>40</v>
      </c>
      <c r="H3096" s="6">
        <v>40</v>
      </c>
      <c r="I3096" s="26">
        <f t="shared" si="161"/>
        <v>0</v>
      </c>
      <c r="J3096" s="7" t="str">
        <f t="shared" si="162"/>
        <v>PAGADO</v>
      </c>
    </row>
    <row r="3097" spans="1:11" x14ac:dyDescent="0.25">
      <c r="A3097">
        <v>2025</v>
      </c>
      <c r="C3097" s="9" t="s">
        <v>2996</v>
      </c>
      <c r="D3097" s="9" t="s">
        <v>2926</v>
      </c>
      <c r="F3097" s="6">
        <v>80</v>
      </c>
      <c r="G3097" s="6">
        <f t="shared" si="160"/>
        <v>80</v>
      </c>
      <c r="H3097" s="6">
        <f>20+60</f>
        <v>80</v>
      </c>
      <c r="I3097" s="26">
        <f t="shared" si="161"/>
        <v>0</v>
      </c>
      <c r="J3097" s="7" t="str">
        <f t="shared" si="162"/>
        <v>PAGADO</v>
      </c>
    </row>
    <row r="3098" spans="1:11" x14ac:dyDescent="0.25">
      <c r="A3098">
        <v>2025</v>
      </c>
      <c r="C3098" s="9" t="s">
        <v>2637</v>
      </c>
      <c r="D3098" s="9" t="s">
        <v>2903</v>
      </c>
      <c r="F3098" s="6">
        <v>80</v>
      </c>
      <c r="G3098" s="6">
        <f t="shared" si="160"/>
        <v>80</v>
      </c>
      <c r="H3098" s="6">
        <f>40+40</f>
        <v>80</v>
      </c>
      <c r="I3098" s="26">
        <f t="shared" si="161"/>
        <v>0</v>
      </c>
      <c r="J3098" s="7" t="str">
        <f t="shared" si="162"/>
        <v>PAGADO</v>
      </c>
      <c r="K3098" s="59" t="s">
        <v>1823</v>
      </c>
    </row>
    <row r="3099" spans="1:11" x14ac:dyDescent="0.25">
      <c r="A3099">
        <v>2025</v>
      </c>
      <c r="C3099" s="9" t="s">
        <v>2997</v>
      </c>
      <c r="D3099" s="9" t="s">
        <v>1145</v>
      </c>
      <c r="F3099" s="6">
        <v>60</v>
      </c>
      <c r="G3099" s="6">
        <f t="shared" si="160"/>
        <v>60</v>
      </c>
      <c r="H3099" s="6">
        <v>60</v>
      </c>
      <c r="I3099" s="26">
        <f t="shared" si="161"/>
        <v>0</v>
      </c>
      <c r="J3099" s="7" t="str">
        <f t="shared" si="162"/>
        <v>PAGADO</v>
      </c>
    </row>
    <row r="3100" spans="1:11" x14ac:dyDescent="0.25">
      <c r="A3100">
        <v>2025</v>
      </c>
      <c r="C3100" s="9" t="s">
        <v>2967</v>
      </c>
      <c r="D3100" s="9" t="s">
        <v>2530</v>
      </c>
      <c r="F3100" s="6">
        <v>90</v>
      </c>
      <c r="G3100" s="6">
        <f t="shared" si="160"/>
        <v>90</v>
      </c>
      <c r="H3100" s="75">
        <f>45+45</f>
        <v>90</v>
      </c>
      <c r="I3100" s="26">
        <f t="shared" si="161"/>
        <v>0</v>
      </c>
      <c r="J3100" s="7" t="str">
        <f t="shared" si="162"/>
        <v>PAGADO</v>
      </c>
      <c r="K3100" s="33" t="s">
        <v>2968</v>
      </c>
    </row>
    <row r="3101" spans="1:11" x14ac:dyDescent="0.25">
      <c r="A3101">
        <v>2025</v>
      </c>
      <c r="C3101" s="9" t="s">
        <v>2967</v>
      </c>
      <c r="D3101" s="9" t="s">
        <v>2275</v>
      </c>
      <c r="F3101" s="6">
        <v>80</v>
      </c>
      <c r="G3101" s="6">
        <f t="shared" si="160"/>
        <v>80</v>
      </c>
      <c r="H3101" s="6">
        <f>50+30</f>
        <v>80</v>
      </c>
      <c r="I3101" s="26">
        <f t="shared" si="161"/>
        <v>0</v>
      </c>
      <c r="J3101" s="7" t="str">
        <f t="shared" si="162"/>
        <v>PAGADO</v>
      </c>
      <c r="K3101" s="33" t="s">
        <v>2968</v>
      </c>
    </row>
    <row r="3102" spans="1:11" x14ac:dyDescent="0.25">
      <c r="A3102">
        <v>2025</v>
      </c>
      <c r="C3102" s="9" t="s">
        <v>2967</v>
      </c>
      <c r="D3102" s="9" t="s">
        <v>2363</v>
      </c>
      <c r="F3102" s="6">
        <v>80</v>
      </c>
      <c r="G3102" s="6">
        <f t="shared" si="160"/>
        <v>80</v>
      </c>
      <c r="H3102" s="6">
        <f>40+40</f>
        <v>80</v>
      </c>
      <c r="I3102" s="26">
        <f t="shared" si="161"/>
        <v>0</v>
      </c>
      <c r="J3102" s="7" t="str">
        <f t="shared" si="162"/>
        <v>PAGADO</v>
      </c>
      <c r="K3102" s="33" t="s">
        <v>693</v>
      </c>
    </row>
    <row r="3103" spans="1:11" x14ac:dyDescent="0.25">
      <c r="A3103">
        <v>2025</v>
      </c>
      <c r="C3103" s="9" t="s">
        <v>2998</v>
      </c>
      <c r="D3103" s="9" t="s">
        <v>2363</v>
      </c>
      <c r="F3103" s="6">
        <v>75</v>
      </c>
      <c r="G3103" s="6">
        <f t="shared" si="160"/>
        <v>75</v>
      </c>
      <c r="H3103" s="6">
        <f>37.5+37.5</f>
        <v>75</v>
      </c>
      <c r="I3103" s="26">
        <f t="shared" si="161"/>
        <v>0</v>
      </c>
      <c r="J3103" s="7" t="str">
        <f t="shared" si="162"/>
        <v>PAGADO</v>
      </c>
      <c r="K3103" s="33" t="s">
        <v>693</v>
      </c>
    </row>
    <row r="3104" spans="1:11" x14ac:dyDescent="0.25">
      <c r="A3104">
        <v>2025</v>
      </c>
      <c r="C3104" s="9" t="s">
        <v>2999</v>
      </c>
      <c r="D3104" s="9" t="s">
        <v>2757</v>
      </c>
      <c r="F3104" s="6">
        <v>75</v>
      </c>
      <c r="G3104" s="6">
        <f t="shared" si="160"/>
        <v>75</v>
      </c>
      <c r="H3104" s="6">
        <f>35+40</f>
        <v>75</v>
      </c>
      <c r="I3104" s="26">
        <f t="shared" si="161"/>
        <v>0</v>
      </c>
      <c r="J3104" s="7" t="str">
        <f t="shared" si="162"/>
        <v>PAGADO</v>
      </c>
      <c r="K3104" s="9"/>
    </row>
    <row r="3105" spans="1:11" x14ac:dyDescent="0.25">
      <c r="A3105">
        <v>2025</v>
      </c>
      <c r="C3105" s="9" t="s">
        <v>3000</v>
      </c>
      <c r="D3105" s="9" t="s">
        <v>2278</v>
      </c>
      <c r="F3105" s="6">
        <v>130</v>
      </c>
      <c r="G3105" s="6">
        <f t="shared" si="160"/>
        <v>130</v>
      </c>
      <c r="H3105" s="6">
        <v>130</v>
      </c>
      <c r="I3105" s="26">
        <f t="shared" si="161"/>
        <v>0</v>
      </c>
      <c r="J3105" s="7" t="str">
        <f t="shared" si="162"/>
        <v>PAGADO</v>
      </c>
      <c r="K3105" s="60" t="s">
        <v>693</v>
      </c>
    </row>
    <row r="3106" spans="1:11" x14ac:dyDescent="0.25">
      <c r="A3106">
        <v>2025</v>
      </c>
      <c r="C3106" s="9" t="s">
        <v>3001</v>
      </c>
      <c r="D3106" s="9" t="s">
        <v>2278</v>
      </c>
      <c r="F3106" s="6">
        <v>150</v>
      </c>
      <c r="G3106" s="6">
        <f t="shared" si="160"/>
        <v>150</v>
      </c>
      <c r="H3106" s="6">
        <v>150</v>
      </c>
      <c r="I3106" s="26">
        <f t="shared" si="161"/>
        <v>0</v>
      </c>
      <c r="J3106" s="7" t="str">
        <f t="shared" si="162"/>
        <v>PAGADO</v>
      </c>
      <c r="K3106" s="60" t="s">
        <v>693</v>
      </c>
    </row>
    <row r="3107" spans="1:11" x14ac:dyDescent="0.25">
      <c r="A3107">
        <v>2025</v>
      </c>
      <c r="C3107" t="s">
        <v>3002</v>
      </c>
      <c r="D3107" s="9" t="s">
        <v>2935</v>
      </c>
      <c r="F3107" s="6">
        <v>60</v>
      </c>
      <c r="G3107" s="6">
        <f t="shared" si="160"/>
        <v>60</v>
      </c>
      <c r="H3107" s="6">
        <f>30+30</f>
        <v>60</v>
      </c>
      <c r="I3107" s="26">
        <f t="shared" si="161"/>
        <v>0</v>
      </c>
      <c r="J3107" s="7" t="str">
        <f t="shared" si="162"/>
        <v>PAGADO</v>
      </c>
      <c r="K3107" s="33" t="s">
        <v>2479</v>
      </c>
    </row>
    <row r="3108" spans="1:11" x14ac:dyDescent="0.25">
      <c r="A3108">
        <v>2025</v>
      </c>
      <c r="C3108" s="9" t="s">
        <v>3003</v>
      </c>
      <c r="D3108" s="9" t="s">
        <v>2903</v>
      </c>
      <c r="F3108" s="6">
        <v>60</v>
      </c>
      <c r="G3108" s="6">
        <f t="shared" si="160"/>
        <v>60</v>
      </c>
      <c r="H3108" s="6">
        <f>30+30</f>
        <v>60</v>
      </c>
      <c r="I3108" s="26">
        <f t="shared" si="161"/>
        <v>0</v>
      </c>
      <c r="J3108" s="7" t="str">
        <f t="shared" si="162"/>
        <v>PAGADO</v>
      </c>
      <c r="K3108" s="33" t="s">
        <v>2258</v>
      </c>
    </row>
    <row r="3109" spans="1:11" x14ac:dyDescent="0.25">
      <c r="A3109">
        <v>2025</v>
      </c>
      <c r="C3109" s="9" t="s">
        <v>3004</v>
      </c>
      <c r="D3109" s="9" t="s">
        <v>1425</v>
      </c>
      <c r="F3109" s="6">
        <v>52</v>
      </c>
      <c r="G3109" s="6">
        <f t="shared" si="160"/>
        <v>52</v>
      </c>
      <c r="H3109" s="6">
        <v>52</v>
      </c>
      <c r="I3109" s="26">
        <f t="shared" si="161"/>
        <v>0</v>
      </c>
      <c r="J3109" s="7" t="str">
        <f t="shared" si="162"/>
        <v>PAGADO</v>
      </c>
    </row>
    <row r="3110" spans="1:11" x14ac:dyDescent="0.25">
      <c r="A3110">
        <v>2025</v>
      </c>
      <c r="C3110" s="9" t="s">
        <v>2645</v>
      </c>
      <c r="D3110" s="9" t="s">
        <v>882</v>
      </c>
      <c r="F3110" s="6">
        <v>60</v>
      </c>
      <c r="G3110" s="6">
        <f t="shared" si="160"/>
        <v>60</v>
      </c>
      <c r="H3110" s="6">
        <f>30+30</f>
        <v>60</v>
      </c>
      <c r="I3110" s="26">
        <f t="shared" si="161"/>
        <v>0</v>
      </c>
      <c r="J3110" s="7" t="str">
        <f t="shared" si="162"/>
        <v>PAGADO</v>
      </c>
    </row>
    <row r="3111" spans="1:11" x14ac:dyDescent="0.25">
      <c r="A3111">
        <v>2025</v>
      </c>
      <c r="C3111" s="9" t="s">
        <v>2241</v>
      </c>
      <c r="D3111" s="9" t="s">
        <v>2906</v>
      </c>
      <c r="F3111" s="6">
        <v>100</v>
      </c>
      <c r="G3111" s="6">
        <f t="shared" si="160"/>
        <v>100</v>
      </c>
      <c r="H3111" s="6">
        <v>100</v>
      </c>
      <c r="I3111" s="26">
        <f t="shared" si="161"/>
        <v>0</v>
      </c>
      <c r="J3111" s="7" t="str">
        <f t="shared" si="162"/>
        <v>PAGADO</v>
      </c>
    </row>
    <row r="3112" spans="1:11" x14ac:dyDescent="0.25">
      <c r="A3112">
        <v>2025</v>
      </c>
      <c r="C3112" s="9" t="s">
        <v>3005</v>
      </c>
      <c r="D3112" s="9" t="s">
        <v>3006</v>
      </c>
      <c r="F3112" s="6">
        <v>150</v>
      </c>
      <c r="G3112" s="6">
        <f t="shared" si="160"/>
        <v>150</v>
      </c>
      <c r="H3112" s="6">
        <v>150</v>
      </c>
      <c r="I3112" s="26">
        <f t="shared" si="161"/>
        <v>0</v>
      </c>
      <c r="J3112" s="7" t="str">
        <f t="shared" si="162"/>
        <v>PAGADO</v>
      </c>
    </row>
    <row r="3113" spans="1:11" x14ac:dyDescent="0.25">
      <c r="A3113">
        <v>2025</v>
      </c>
      <c r="C3113" s="9" t="s">
        <v>3007</v>
      </c>
      <c r="D3113" s="9" t="s">
        <v>3008</v>
      </c>
      <c r="F3113" s="6">
        <v>60</v>
      </c>
      <c r="G3113" s="6">
        <f t="shared" si="160"/>
        <v>60</v>
      </c>
      <c r="H3113" s="6">
        <v>60</v>
      </c>
      <c r="I3113" s="26">
        <f t="shared" si="161"/>
        <v>0</v>
      </c>
      <c r="J3113" s="7" t="str">
        <f t="shared" si="162"/>
        <v>PAGADO</v>
      </c>
    </row>
    <row r="3114" spans="1:11" x14ac:dyDescent="0.25">
      <c r="A3114">
        <v>2025</v>
      </c>
      <c r="C3114" s="9" t="s">
        <v>1699</v>
      </c>
      <c r="D3114" s="9" t="s">
        <v>1370</v>
      </c>
      <c r="F3114" s="6">
        <v>110</v>
      </c>
      <c r="G3114" s="6">
        <f t="shared" si="160"/>
        <v>110</v>
      </c>
      <c r="H3114" s="6">
        <f>50+60</f>
        <v>110</v>
      </c>
      <c r="I3114" s="26">
        <f t="shared" si="161"/>
        <v>0</v>
      </c>
      <c r="J3114" s="7" t="str">
        <f t="shared" si="162"/>
        <v>PAGADO</v>
      </c>
    </row>
    <row r="3115" spans="1:11" x14ac:dyDescent="0.25">
      <c r="A3115">
        <v>2025</v>
      </c>
      <c r="C3115" s="9" t="s">
        <v>3009</v>
      </c>
      <c r="D3115" s="9" t="s">
        <v>2973</v>
      </c>
      <c r="F3115" s="6">
        <v>80</v>
      </c>
      <c r="G3115" s="6">
        <f t="shared" si="160"/>
        <v>80</v>
      </c>
      <c r="H3115" s="6">
        <v>80</v>
      </c>
      <c r="I3115" s="26">
        <f t="shared" si="161"/>
        <v>0</v>
      </c>
      <c r="J3115" s="7" t="str">
        <f t="shared" si="162"/>
        <v>PAGADO</v>
      </c>
    </row>
    <row r="3116" spans="1:11" x14ac:dyDescent="0.25">
      <c r="A3116">
        <v>2025</v>
      </c>
      <c r="C3116" s="9" t="s">
        <v>3010</v>
      </c>
      <c r="D3116" s="9" t="s">
        <v>2973</v>
      </c>
      <c r="F3116" s="6">
        <v>50</v>
      </c>
      <c r="G3116" s="6">
        <f t="shared" si="160"/>
        <v>50</v>
      </c>
      <c r="H3116" s="6">
        <v>50</v>
      </c>
      <c r="I3116" s="26">
        <f t="shared" si="161"/>
        <v>0</v>
      </c>
      <c r="J3116" s="7" t="str">
        <f t="shared" si="162"/>
        <v>PAGADO</v>
      </c>
    </row>
    <row r="3117" spans="1:11" x14ac:dyDescent="0.25">
      <c r="A3117">
        <v>2025</v>
      </c>
      <c r="C3117" s="9" t="s">
        <v>3011</v>
      </c>
      <c r="D3117" s="9" t="s">
        <v>2969</v>
      </c>
      <c r="F3117" s="6">
        <v>150</v>
      </c>
      <c r="G3117" s="6">
        <f t="shared" si="160"/>
        <v>150</v>
      </c>
      <c r="H3117" s="6">
        <v>150</v>
      </c>
      <c r="I3117" s="26">
        <f t="shared" si="161"/>
        <v>0</v>
      </c>
      <c r="J3117" s="7" t="str">
        <f t="shared" si="162"/>
        <v>PAGADO</v>
      </c>
      <c r="K3117" s="33" t="s">
        <v>1815</v>
      </c>
    </row>
    <row r="3118" spans="1:11" x14ac:dyDescent="0.25">
      <c r="A3118">
        <v>2025</v>
      </c>
      <c r="C3118" s="9" t="s">
        <v>2539</v>
      </c>
      <c r="D3118" s="9" t="s">
        <v>3012</v>
      </c>
      <c r="F3118" s="6">
        <v>110</v>
      </c>
      <c r="G3118" s="6">
        <f t="shared" si="160"/>
        <v>110</v>
      </c>
      <c r="H3118" s="6">
        <v>110</v>
      </c>
      <c r="I3118" s="26">
        <f t="shared" si="161"/>
        <v>0</v>
      </c>
      <c r="J3118" s="7" t="str">
        <f t="shared" si="162"/>
        <v>PAGADO</v>
      </c>
    </row>
    <row r="3119" spans="1:11" x14ac:dyDescent="0.25">
      <c r="A3119">
        <v>2025</v>
      </c>
      <c r="C3119" s="9" t="s">
        <v>3013</v>
      </c>
      <c r="D3119" s="9" t="s">
        <v>3012</v>
      </c>
      <c r="F3119" s="6">
        <v>100</v>
      </c>
      <c r="G3119" s="6">
        <f t="shared" si="160"/>
        <v>100</v>
      </c>
      <c r="H3119" s="6">
        <v>100</v>
      </c>
      <c r="I3119" s="26">
        <f t="shared" si="161"/>
        <v>0</v>
      </c>
      <c r="J3119" s="7" t="str">
        <f t="shared" si="162"/>
        <v>PAGADO</v>
      </c>
    </row>
    <row r="3120" spans="1:11" x14ac:dyDescent="0.25">
      <c r="A3120">
        <v>2025</v>
      </c>
      <c r="C3120" s="9" t="s">
        <v>1914</v>
      </c>
      <c r="D3120" s="9" t="s">
        <v>3012</v>
      </c>
      <c r="F3120" s="6">
        <v>110</v>
      </c>
      <c r="G3120" s="6">
        <f t="shared" si="160"/>
        <v>110</v>
      </c>
      <c r="H3120" s="6">
        <v>110</v>
      </c>
      <c r="I3120" s="26">
        <f t="shared" si="161"/>
        <v>0</v>
      </c>
      <c r="J3120" s="7" t="str">
        <f t="shared" si="162"/>
        <v>PAGADO</v>
      </c>
    </row>
    <row r="3121" spans="1:11" x14ac:dyDescent="0.25">
      <c r="A3121">
        <v>2025</v>
      </c>
      <c r="C3121" s="9" t="s">
        <v>3014</v>
      </c>
      <c r="D3121" s="9" t="s">
        <v>2739</v>
      </c>
      <c r="F3121" s="6">
        <v>70</v>
      </c>
      <c r="G3121" s="6">
        <f t="shared" si="160"/>
        <v>70</v>
      </c>
      <c r="H3121" s="6">
        <f>35+35</f>
        <v>70</v>
      </c>
      <c r="I3121" s="26">
        <f t="shared" si="161"/>
        <v>0</v>
      </c>
      <c r="J3121" s="7" t="str">
        <f t="shared" si="162"/>
        <v>PAGADO</v>
      </c>
      <c r="K3121" s="33" t="s">
        <v>1815</v>
      </c>
    </row>
    <row r="3122" spans="1:11" x14ac:dyDescent="0.25">
      <c r="A3122">
        <v>2025</v>
      </c>
      <c r="C3122" t="s">
        <v>3015</v>
      </c>
      <c r="D3122" s="9" t="s">
        <v>2906</v>
      </c>
      <c r="F3122" s="6">
        <v>70</v>
      </c>
      <c r="G3122" s="6">
        <f t="shared" si="160"/>
        <v>70</v>
      </c>
      <c r="H3122" s="6">
        <v>70</v>
      </c>
      <c r="I3122" s="26">
        <f t="shared" si="161"/>
        <v>0</v>
      </c>
      <c r="J3122" s="7" t="str">
        <f t="shared" si="162"/>
        <v>PAGADO</v>
      </c>
    </row>
    <row r="3123" spans="1:11" x14ac:dyDescent="0.25">
      <c r="A3123">
        <v>2025</v>
      </c>
      <c r="C3123" t="s">
        <v>3016</v>
      </c>
      <c r="D3123" s="9" t="s">
        <v>2906</v>
      </c>
      <c r="F3123" s="6">
        <v>55</v>
      </c>
      <c r="G3123" s="6">
        <f t="shared" si="160"/>
        <v>55</v>
      </c>
      <c r="H3123" s="6">
        <v>55</v>
      </c>
      <c r="I3123" s="26">
        <f t="shared" si="161"/>
        <v>0</v>
      </c>
      <c r="J3123" s="7" t="str">
        <f t="shared" si="162"/>
        <v>PAGADO</v>
      </c>
    </row>
    <row r="3124" spans="1:11" x14ac:dyDescent="0.25">
      <c r="A3124">
        <v>2025</v>
      </c>
      <c r="C3124" t="s">
        <v>3017</v>
      </c>
      <c r="D3124" s="9" t="s">
        <v>3018</v>
      </c>
      <c r="F3124" s="6">
        <v>80</v>
      </c>
      <c r="G3124" s="6">
        <f t="shared" si="160"/>
        <v>80</v>
      </c>
      <c r="H3124" s="6">
        <v>80</v>
      </c>
      <c r="I3124" s="26">
        <f t="shared" si="161"/>
        <v>0</v>
      </c>
      <c r="J3124" s="7" t="str">
        <f t="shared" si="162"/>
        <v>PAGADO</v>
      </c>
    </row>
    <row r="3125" spans="1:11" x14ac:dyDescent="0.25">
      <c r="A3125">
        <v>2025</v>
      </c>
      <c r="C3125" t="s">
        <v>1699</v>
      </c>
      <c r="D3125" s="9" t="s">
        <v>3018</v>
      </c>
      <c r="F3125" s="6">
        <v>110</v>
      </c>
      <c r="G3125" s="6">
        <f t="shared" si="160"/>
        <v>110</v>
      </c>
      <c r="H3125" s="6">
        <v>110</v>
      </c>
      <c r="I3125" s="26">
        <f t="shared" si="161"/>
        <v>0</v>
      </c>
      <c r="J3125" s="7" t="str">
        <f t="shared" si="162"/>
        <v>PAGADO</v>
      </c>
    </row>
    <row r="3126" spans="1:11" x14ac:dyDescent="0.25">
      <c r="A3126">
        <v>2025</v>
      </c>
      <c r="C3126" t="s">
        <v>2141</v>
      </c>
      <c r="D3126" s="9" t="s">
        <v>3018</v>
      </c>
      <c r="F3126" s="6">
        <v>70</v>
      </c>
      <c r="G3126" s="6">
        <f t="shared" si="160"/>
        <v>70</v>
      </c>
      <c r="H3126" s="6">
        <v>70</v>
      </c>
      <c r="I3126" s="26">
        <f t="shared" si="161"/>
        <v>0</v>
      </c>
      <c r="J3126" s="7" t="str">
        <f t="shared" si="162"/>
        <v>PAGADO</v>
      </c>
    </row>
    <row r="3127" spans="1:11" x14ac:dyDescent="0.25">
      <c r="A3127">
        <v>2025</v>
      </c>
      <c r="C3127" t="s">
        <v>1696</v>
      </c>
      <c r="D3127" s="9" t="s">
        <v>3018</v>
      </c>
      <c r="F3127" s="6">
        <v>60</v>
      </c>
      <c r="G3127" s="6">
        <f t="shared" si="160"/>
        <v>60</v>
      </c>
      <c r="H3127" s="6">
        <v>60</v>
      </c>
      <c r="I3127" s="26">
        <f t="shared" si="161"/>
        <v>0</v>
      </c>
      <c r="J3127" s="7" t="str">
        <f t="shared" si="162"/>
        <v>PAGADO</v>
      </c>
    </row>
    <row r="3128" spans="1:11" x14ac:dyDescent="0.25">
      <c r="A3128">
        <v>2025</v>
      </c>
      <c r="C3128" t="s">
        <v>2141</v>
      </c>
      <c r="D3128" s="9" t="s">
        <v>3019</v>
      </c>
      <c r="F3128" s="6">
        <v>65</v>
      </c>
      <c r="G3128" s="6">
        <f t="shared" si="160"/>
        <v>65</v>
      </c>
      <c r="H3128" s="6">
        <v>65</v>
      </c>
      <c r="I3128" s="26">
        <f t="shared" si="161"/>
        <v>0</v>
      </c>
      <c r="J3128" s="7" t="str">
        <f t="shared" si="162"/>
        <v>PAGADO</v>
      </c>
    </row>
    <row r="3129" spans="1:11" x14ac:dyDescent="0.25">
      <c r="A3129">
        <v>2025</v>
      </c>
      <c r="C3129" s="9" t="s">
        <v>2963</v>
      </c>
      <c r="D3129" s="9" t="s">
        <v>2018</v>
      </c>
      <c r="F3129" s="6">
        <v>65</v>
      </c>
      <c r="G3129" s="6">
        <f t="shared" si="160"/>
        <v>65</v>
      </c>
      <c r="H3129" s="6">
        <f>35+30</f>
        <v>65</v>
      </c>
      <c r="I3129" s="26">
        <f t="shared" si="161"/>
        <v>0</v>
      </c>
      <c r="J3129" s="7" t="str">
        <f t="shared" si="162"/>
        <v>PAGADO</v>
      </c>
      <c r="K3129" s="9" t="s">
        <v>3020</v>
      </c>
    </row>
    <row r="3130" spans="1:11" x14ac:dyDescent="0.25">
      <c r="A3130">
        <v>2025</v>
      </c>
      <c r="C3130" s="9" t="s">
        <v>3021</v>
      </c>
      <c r="D3130" s="9" t="s">
        <v>80</v>
      </c>
      <c r="F3130" s="6">
        <v>80</v>
      </c>
      <c r="G3130" s="6">
        <f t="shared" si="160"/>
        <v>80</v>
      </c>
      <c r="H3130" s="6">
        <v>80</v>
      </c>
      <c r="I3130" s="26">
        <f t="shared" si="161"/>
        <v>0</v>
      </c>
      <c r="J3130" s="7" t="str">
        <f t="shared" si="162"/>
        <v>PAGADO</v>
      </c>
    </row>
    <row r="3131" spans="1:11" x14ac:dyDescent="0.25">
      <c r="A3131">
        <v>2025</v>
      </c>
      <c r="C3131" s="9" t="s">
        <v>3022</v>
      </c>
      <c r="D3131" s="9" t="s">
        <v>2363</v>
      </c>
      <c r="F3131" s="6">
        <v>60</v>
      </c>
      <c r="G3131" s="6">
        <f t="shared" si="160"/>
        <v>60</v>
      </c>
      <c r="H3131" s="6">
        <f>30+30</f>
        <v>60</v>
      </c>
      <c r="I3131" s="26">
        <f t="shared" si="161"/>
        <v>0</v>
      </c>
      <c r="J3131" s="7" t="str">
        <f t="shared" si="162"/>
        <v>PAGADO</v>
      </c>
      <c r="K3131" s="33" t="s">
        <v>693</v>
      </c>
    </row>
    <row r="3132" spans="1:11" x14ac:dyDescent="0.25">
      <c r="A3132">
        <v>2025</v>
      </c>
      <c r="C3132" s="9" t="s">
        <v>3023</v>
      </c>
      <c r="D3132" s="9" t="s">
        <v>2363</v>
      </c>
      <c r="F3132" s="6">
        <v>60</v>
      </c>
      <c r="G3132" s="6">
        <f t="shared" si="160"/>
        <v>60</v>
      </c>
      <c r="H3132" s="6">
        <f>30+30</f>
        <v>60</v>
      </c>
      <c r="I3132" s="26">
        <f t="shared" si="161"/>
        <v>0</v>
      </c>
      <c r="J3132" s="7" t="str">
        <f t="shared" si="162"/>
        <v>PAGADO</v>
      </c>
      <c r="K3132" s="33" t="s">
        <v>693</v>
      </c>
    </row>
    <row r="3133" spans="1:11" x14ac:dyDescent="0.25">
      <c r="A3133">
        <v>2025</v>
      </c>
      <c r="C3133" s="9" t="s">
        <v>3024</v>
      </c>
      <c r="D3133" s="9" t="s">
        <v>2363</v>
      </c>
      <c r="F3133" s="6">
        <v>150</v>
      </c>
      <c r="G3133" s="6">
        <f t="shared" si="160"/>
        <v>150</v>
      </c>
      <c r="H3133" s="6">
        <f>75+75</f>
        <v>150</v>
      </c>
      <c r="I3133" s="26">
        <f t="shared" si="161"/>
        <v>0</v>
      </c>
      <c r="J3133" s="7" t="str">
        <f t="shared" si="162"/>
        <v>PAGADO</v>
      </c>
      <c r="K3133" s="33" t="s">
        <v>693</v>
      </c>
    </row>
    <row r="3134" spans="1:11" x14ac:dyDescent="0.25">
      <c r="A3134">
        <v>2025</v>
      </c>
      <c r="C3134" s="9" t="s">
        <v>3025</v>
      </c>
      <c r="D3134" s="9" t="s">
        <v>3026</v>
      </c>
      <c r="F3134" s="6">
        <v>70</v>
      </c>
      <c r="G3134" s="6">
        <f t="shared" ref="G3134:G3197" si="163">F3134-E3134</f>
        <v>70</v>
      </c>
      <c r="H3134" s="6">
        <v>70</v>
      </c>
      <c r="I3134" s="26">
        <f t="shared" si="161"/>
        <v>0</v>
      </c>
      <c r="J3134" s="7" t="str">
        <f t="shared" si="162"/>
        <v>PAGADO</v>
      </c>
    </row>
    <row r="3135" spans="1:11" x14ac:dyDescent="0.25">
      <c r="A3135">
        <v>2025</v>
      </c>
      <c r="C3135" s="9" t="s">
        <v>3027</v>
      </c>
      <c r="D3135" s="9" t="s">
        <v>3026</v>
      </c>
      <c r="F3135" s="6">
        <v>60</v>
      </c>
      <c r="G3135" s="6">
        <f t="shared" si="163"/>
        <v>60</v>
      </c>
      <c r="H3135" s="6">
        <v>60</v>
      </c>
      <c r="I3135" s="26">
        <f t="shared" si="161"/>
        <v>0</v>
      </c>
      <c r="J3135" s="7" t="str">
        <f t="shared" si="162"/>
        <v>PAGADO</v>
      </c>
    </row>
    <row r="3136" spans="1:11" x14ac:dyDescent="0.25">
      <c r="A3136">
        <v>2025</v>
      </c>
      <c r="C3136" s="9" t="s">
        <v>3028</v>
      </c>
      <c r="D3136" s="9" t="s">
        <v>3029</v>
      </c>
      <c r="F3136" s="6">
        <v>90</v>
      </c>
      <c r="G3136" s="6">
        <f t="shared" si="163"/>
        <v>90</v>
      </c>
      <c r="H3136" s="6">
        <f>20+70</f>
        <v>90</v>
      </c>
      <c r="I3136" s="26">
        <f t="shared" si="161"/>
        <v>0</v>
      </c>
      <c r="J3136" s="7" t="str">
        <f t="shared" si="162"/>
        <v>PAGADO</v>
      </c>
    </row>
    <row r="3137" spans="1:12" x14ac:dyDescent="0.25">
      <c r="A3137">
        <v>2025</v>
      </c>
      <c r="C3137" s="9" t="s">
        <v>3030</v>
      </c>
      <c r="D3137" s="9" t="s">
        <v>2407</v>
      </c>
      <c r="F3137" s="6">
        <v>65</v>
      </c>
      <c r="G3137" s="6">
        <f t="shared" si="163"/>
        <v>65</v>
      </c>
      <c r="H3137" s="6">
        <f>32.5+32.5</f>
        <v>65</v>
      </c>
      <c r="I3137" s="26">
        <f t="shared" si="161"/>
        <v>0</v>
      </c>
      <c r="J3137" s="7" t="str">
        <f t="shared" si="162"/>
        <v>PAGADO</v>
      </c>
      <c r="K3137" s="33" t="s">
        <v>1815</v>
      </c>
    </row>
    <row r="3138" spans="1:12" x14ac:dyDescent="0.25">
      <c r="A3138">
        <v>2025</v>
      </c>
      <c r="C3138" s="9" t="s">
        <v>3031</v>
      </c>
      <c r="D3138" s="9" t="s">
        <v>1504</v>
      </c>
      <c r="F3138" s="6">
        <v>30</v>
      </c>
      <c r="G3138" s="6">
        <f t="shared" si="163"/>
        <v>30</v>
      </c>
      <c r="H3138" s="6">
        <v>30</v>
      </c>
      <c r="I3138" s="26">
        <f t="shared" si="161"/>
        <v>0</v>
      </c>
      <c r="J3138" s="7" t="str">
        <f t="shared" si="162"/>
        <v>PAGADO</v>
      </c>
      <c r="K3138" t="s">
        <v>693</v>
      </c>
    </row>
    <row r="3139" spans="1:12" x14ac:dyDescent="0.25">
      <c r="A3139">
        <v>2025</v>
      </c>
      <c r="C3139" s="9" t="s">
        <v>2176</v>
      </c>
      <c r="D3139" s="9" t="s">
        <v>1504</v>
      </c>
      <c r="F3139" s="6">
        <v>70</v>
      </c>
      <c r="G3139" s="6">
        <f t="shared" si="163"/>
        <v>70</v>
      </c>
      <c r="H3139" s="6">
        <v>70</v>
      </c>
      <c r="I3139" s="26">
        <f t="shared" si="161"/>
        <v>0</v>
      </c>
      <c r="J3139" s="7" t="str">
        <f t="shared" si="162"/>
        <v>PAGADO</v>
      </c>
      <c r="K3139" s="28" t="s">
        <v>1823</v>
      </c>
    </row>
    <row r="3140" spans="1:12" x14ac:dyDescent="0.25">
      <c r="A3140">
        <v>2025</v>
      </c>
      <c r="C3140" s="9" t="s">
        <v>3032</v>
      </c>
      <c r="D3140" s="9" t="s">
        <v>2278</v>
      </c>
      <c r="F3140" s="6">
        <v>140</v>
      </c>
      <c r="G3140" s="6">
        <f t="shared" si="163"/>
        <v>140</v>
      </c>
      <c r="H3140" s="6">
        <f>113+27</f>
        <v>140</v>
      </c>
      <c r="I3140" s="26">
        <f t="shared" si="161"/>
        <v>0</v>
      </c>
      <c r="J3140" s="7" t="str">
        <f t="shared" si="162"/>
        <v>PAGADO</v>
      </c>
      <c r="K3140" s="33" t="s">
        <v>1815</v>
      </c>
    </row>
    <row r="3141" spans="1:12" x14ac:dyDescent="0.25">
      <c r="A3141">
        <v>2025</v>
      </c>
      <c r="C3141" s="9" t="s">
        <v>2954</v>
      </c>
      <c r="D3141" s="9" t="s">
        <v>1055</v>
      </c>
      <c r="F3141" s="6">
        <v>80</v>
      </c>
      <c r="G3141" s="6">
        <f t="shared" si="163"/>
        <v>80</v>
      </c>
      <c r="H3141" s="6">
        <f>20+20+15+5+20</f>
        <v>80</v>
      </c>
      <c r="I3141" s="26">
        <f t="shared" si="161"/>
        <v>0</v>
      </c>
      <c r="J3141" s="7" t="str">
        <f t="shared" si="162"/>
        <v>PAGADO</v>
      </c>
      <c r="K3141" s="33" t="s">
        <v>2714</v>
      </c>
    </row>
    <row r="3142" spans="1:12" x14ac:dyDescent="0.25">
      <c r="A3142">
        <v>2025</v>
      </c>
      <c r="C3142" s="9" t="s">
        <v>3033</v>
      </c>
      <c r="D3142" s="9" t="s">
        <v>1055</v>
      </c>
      <c r="F3142" s="6">
        <v>90</v>
      </c>
      <c r="G3142" s="6">
        <f t="shared" si="163"/>
        <v>90</v>
      </c>
      <c r="H3142" s="6">
        <f>20+20+15+35</f>
        <v>90</v>
      </c>
      <c r="I3142" s="26">
        <f t="shared" si="161"/>
        <v>0</v>
      </c>
      <c r="J3142" s="7" t="str">
        <f t="shared" si="162"/>
        <v>PAGADO</v>
      </c>
      <c r="K3142" s="33" t="s">
        <v>2714</v>
      </c>
    </row>
    <row r="3143" spans="1:12" x14ac:dyDescent="0.25">
      <c r="A3143">
        <v>2025</v>
      </c>
      <c r="C3143" s="9" t="s">
        <v>3034</v>
      </c>
      <c r="D3143" s="9" t="s">
        <v>1078</v>
      </c>
      <c r="F3143" s="6">
        <v>45</v>
      </c>
      <c r="G3143" s="6">
        <f t="shared" si="163"/>
        <v>45</v>
      </c>
      <c r="H3143" s="6">
        <v>45</v>
      </c>
      <c r="I3143" s="26">
        <f t="shared" si="161"/>
        <v>0</v>
      </c>
      <c r="J3143" s="7" t="str">
        <f t="shared" si="162"/>
        <v>PAGADO</v>
      </c>
      <c r="K3143" s="33" t="s">
        <v>2640</v>
      </c>
    </row>
    <row r="3144" spans="1:12" x14ac:dyDescent="0.25">
      <c r="A3144">
        <v>2025</v>
      </c>
      <c r="C3144" s="9" t="s">
        <v>3035</v>
      </c>
      <c r="D3144" s="9" t="s">
        <v>1078</v>
      </c>
      <c r="F3144" s="6">
        <f>25*6</f>
        <v>150</v>
      </c>
      <c r="G3144" s="6">
        <f t="shared" si="163"/>
        <v>150</v>
      </c>
      <c r="H3144" s="6">
        <v>150</v>
      </c>
      <c r="I3144" s="26">
        <f t="shared" si="161"/>
        <v>0</v>
      </c>
      <c r="J3144" s="7" t="str">
        <f t="shared" si="162"/>
        <v>PAGADO</v>
      </c>
      <c r="K3144" s="33" t="s">
        <v>2640</v>
      </c>
    </row>
    <row r="3145" spans="1:12" x14ac:dyDescent="0.25">
      <c r="A3145">
        <v>2025</v>
      </c>
      <c r="C3145" s="9" t="s">
        <v>683</v>
      </c>
      <c r="D3145" s="9" t="s">
        <v>2153</v>
      </c>
      <c r="F3145" s="6">
        <v>50</v>
      </c>
      <c r="G3145" s="6">
        <f t="shared" si="163"/>
        <v>50</v>
      </c>
      <c r="H3145" s="6">
        <f>25+25</f>
        <v>50</v>
      </c>
      <c r="I3145" s="26">
        <f t="shared" si="161"/>
        <v>0</v>
      </c>
      <c r="J3145" s="7" t="str">
        <f t="shared" si="162"/>
        <v>PAGADO</v>
      </c>
      <c r="K3145" s="33" t="s">
        <v>2640</v>
      </c>
    </row>
    <row r="3146" spans="1:12" x14ac:dyDescent="0.25">
      <c r="A3146">
        <v>2025</v>
      </c>
      <c r="C3146" s="9" t="s">
        <v>2797</v>
      </c>
      <c r="D3146" s="9" t="s">
        <v>80</v>
      </c>
      <c r="F3146" s="6">
        <v>65</v>
      </c>
      <c r="G3146" s="6">
        <f t="shared" si="163"/>
        <v>65</v>
      </c>
      <c r="H3146" s="6">
        <v>65</v>
      </c>
      <c r="I3146" s="26">
        <f t="shared" si="161"/>
        <v>0</v>
      </c>
      <c r="J3146" s="7" t="str">
        <f t="shared" si="162"/>
        <v>PAGADO</v>
      </c>
      <c r="K3146" s="33" t="s">
        <v>2639</v>
      </c>
      <c r="L3146" s="71"/>
    </row>
    <row r="3147" spans="1:12" x14ac:dyDescent="0.25">
      <c r="A3147">
        <v>2025</v>
      </c>
      <c r="C3147" s="9" t="s">
        <v>3036</v>
      </c>
      <c r="D3147" t="s">
        <v>816</v>
      </c>
      <c r="F3147" s="6">
        <v>450</v>
      </c>
      <c r="G3147" s="6">
        <f t="shared" si="163"/>
        <v>450</v>
      </c>
      <c r="H3147" s="6">
        <f>280+170</f>
        <v>450</v>
      </c>
      <c r="I3147" s="61">
        <f t="shared" si="161"/>
        <v>0</v>
      </c>
      <c r="J3147" s="7" t="str">
        <f t="shared" si="162"/>
        <v>PAGADO</v>
      </c>
      <c r="K3147" s="33" t="s">
        <v>2640</v>
      </c>
      <c r="L3147" s="9"/>
    </row>
    <row r="3148" spans="1:12" x14ac:dyDescent="0.25">
      <c r="A3148">
        <v>2025</v>
      </c>
      <c r="C3148" t="s">
        <v>3037</v>
      </c>
      <c r="D3148" t="s">
        <v>3038</v>
      </c>
      <c r="F3148" s="6">
        <v>60</v>
      </c>
      <c r="G3148" s="6">
        <f t="shared" si="163"/>
        <v>60</v>
      </c>
      <c r="H3148" s="6">
        <v>60</v>
      </c>
      <c r="I3148" s="26">
        <f t="shared" si="161"/>
        <v>0</v>
      </c>
      <c r="J3148" s="7" t="str">
        <f t="shared" si="162"/>
        <v>PAGADO</v>
      </c>
      <c r="K3148" s="33" t="s">
        <v>1815</v>
      </c>
    </row>
    <row r="3149" spans="1:12" x14ac:dyDescent="0.25">
      <c r="A3149">
        <v>2025</v>
      </c>
      <c r="C3149" t="s">
        <v>3039</v>
      </c>
      <c r="D3149" t="s">
        <v>3038</v>
      </c>
      <c r="F3149" s="6">
        <v>60</v>
      </c>
      <c r="G3149" s="6">
        <f t="shared" si="163"/>
        <v>60</v>
      </c>
      <c r="H3149" s="6">
        <v>60</v>
      </c>
      <c r="I3149" s="26">
        <f t="shared" si="161"/>
        <v>0</v>
      </c>
      <c r="J3149" s="7" t="str">
        <f t="shared" si="162"/>
        <v>PAGADO</v>
      </c>
      <c r="K3149" s="33" t="s">
        <v>1815</v>
      </c>
    </row>
    <row r="3150" spans="1:12" x14ac:dyDescent="0.25">
      <c r="A3150">
        <v>2025</v>
      </c>
      <c r="C3150" s="9" t="s">
        <v>3040</v>
      </c>
      <c r="D3150" t="s">
        <v>2685</v>
      </c>
      <c r="F3150" s="6">
        <v>65</v>
      </c>
      <c r="G3150" s="26">
        <f t="shared" si="163"/>
        <v>65</v>
      </c>
      <c r="H3150" s="26">
        <v>0</v>
      </c>
      <c r="I3150" s="26">
        <f t="shared" si="161"/>
        <v>65</v>
      </c>
      <c r="J3150" s="7" t="str">
        <f t="shared" si="162"/>
        <v>DEBE</v>
      </c>
      <c r="K3150" s="9" t="s">
        <v>2791</v>
      </c>
    </row>
    <row r="3151" spans="1:12" x14ac:dyDescent="0.25">
      <c r="A3151">
        <v>2025</v>
      </c>
      <c r="C3151" t="s">
        <v>2224</v>
      </c>
      <c r="D3151" s="9" t="s">
        <v>2906</v>
      </c>
      <c r="F3151" s="6">
        <v>70</v>
      </c>
      <c r="G3151" s="6">
        <f t="shared" si="163"/>
        <v>70</v>
      </c>
      <c r="H3151" s="6">
        <v>70</v>
      </c>
      <c r="I3151" s="26">
        <f t="shared" si="161"/>
        <v>0</v>
      </c>
      <c r="J3151" s="7" t="str">
        <f t="shared" si="162"/>
        <v>PAGADO</v>
      </c>
      <c r="K3151" s="33" t="s">
        <v>2640</v>
      </c>
    </row>
    <row r="3152" spans="1:12" x14ac:dyDescent="0.25">
      <c r="A3152">
        <v>2025</v>
      </c>
      <c r="C3152" s="9" t="s">
        <v>3041</v>
      </c>
      <c r="D3152" t="s">
        <v>2685</v>
      </c>
      <c r="F3152" s="6">
        <v>55</v>
      </c>
      <c r="G3152" s="6">
        <f t="shared" si="163"/>
        <v>55</v>
      </c>
      <c r="H3152" s="6">
        <v>0</v>
      </c>
      <c r="I3152" s="26">
        <f t="shared" si="161"/>
        <v>55</v>
      </c>
      <c r="J3152" s="7" t="str">
        <f t="shared" si="162"/>
        <v>DEBE</v>
      </c>
      <c r="K3152" s="9" t="s">
        <v>3042</v>
      </c>
    </row>
    <row r="3153" spans="1:12" x14ac:dyDescent="0.25">
      <c r="A3153">
        <v>2025</v>
      </c>
      <c r="C3153" t="s">
        <v>3043</v>
      </c>
      <c r="D3153" s="9" t="s">
        <v>238</v>
      </c>
      <c r="F3153" s="6">
        <v>130</v>
      </c>
      <c r="G3153" s="6">
        <f t="shared" si="163"/>
        <v>130</v>
      </c>
      <c r="H3153" s="6">
        <v>130</v>
      </c>
      <c r="I3153" s="26">
        <f t="shared" si="161"/>
        <v>0</v>
      </c>
      <c r="J3153" s="7" t="str">
        <f t="shared" si="162"/>
        <v>PAGADO</v>
      </c>
      <c r="K3153" s="9" t="s">
        <v>2761</v>
      </c>
      <c r="L3153" s="9"/>
    </row>
    <row r="3154" spans="1:12" x14ac:dyDescent="0.25">
      <c r="A3154">
        <v>2025</v>
      </c>
      <c r="C3154" s="9" t="s">
        <v>3044</v>
      </c>
      <c r="D3154" s="9" t="s">
        <v>941</v>
      </c>
      <c r="F3154" s="6">
        <v>190</v>
      </c>
      <c r="G3154" s="6">
        <f t="shared" si="163"/>
        <v>190</v>
      </c>
      <c r="H3154" s="6">
        <f>95+95</f>
        <v>190</v>
      </c>
      <c r="I3154" s="26">
        <f t="shared" ref="I3154:I3217" si="164">F3154-H3154</f>
        <v>0</v>
      </c>
      <c r="J3154" s="7" t="str">
        <f t="shared" ref="J3154:J3217" si="165">IF(I3154&gt;0,"DEBE","PAGADO")</f>
        <v>PAGADO</v>
      </c>
    </row>
    <row r="3155" spans="1:12" x14ac:dyDescent="0.25">
      <c r="A3155">
        <v>2025</v>
      </c>
      <c r="C3155" s="9" t="s">
        <v>3045</v>
      </c>
      <c r="D3155" s="9" t="s">
        <v>1504</v>
      </c>
      <c r="F3155" s="6">
        <v>280</v>
      </c>
      <c r="G3155" s="6">
        <f t="shared" si="163"/>
        <v>280</v>
      </c>
      <c r="H3155" s="6">
        <v>280</v>
      </c>
      <c r="I3155" s="26">
        <f t="shared" si="164"/>
        <v>0</v>
      </c>
      <c r="J3155" s="7" t="str">
        <f t="shared" si="165"/>
        <v>PAGADO</v>
      </c>
      <c r="K3155" s="33" t="s">
        <v>693</v>
      </c>
    </row>
    <row r="3156" spans="1:12" x14ac:dyDescent="0.25">
      <c r="A3156">
        <v>2025</v>
      </c>
      <c r="C3156" s="9" t="s">
        <v>3046</v>
      </c>
      <c r="D3156" s="9" t="s">
        <v>1504</v>
      </c>
      <c r="F3156" s="6">
        <v>280</v>
      </c>
      <c r="G3156" s="6">
        <f t="shared" si="163"/>
        <v>280</v>
      </c>
      <c r="H3156" s="6">
        <v>280</v>
      </c>
      <c r="I3156" s="26">
        <f t="shared" si="164"/>
        <v>0</v>
      </c>
      <c r="J3156" s="7" t="str">
        <f t="shared" si="165"/>
        <v>PAGADO</v>
      </c>
      <c r="K3156" t="s">
        <v>693</v>
      </c>
    </row>
    <row r="3157" spans="1:12" x14ac:dyDescent="0.25">
      <c r="A3157">
        <v>2025</v>
      </c>
      <c r="C3157" s="9" t="s">
        <v>3047</v>
      </c>
      <c r="D3157" s="9" t="s">
        <v>3048</v>
      </c>
      <c r="F3157" s="6">
        <v>40</v>
      </c>
      <c r="G3157" s="6">
        <f t="shared" si="163"/>
        <v>40</v>
      </c>
      <c r="H3157" s="6">
        <v>40</v>
      </c>
      <c r="I3157" s="26">
        <f t="shared" si="164"/>
        <v>0</v>
      </c>
      <c r="J3157" s="7" t="str">
        <f t="shared" si="165"/>
        <v>PAGADO</v>
      </c>
    </row>
    <row r="3158" spans="1:12" x14ac:dyDescent="0.25">
      <c r="A3158">
        <v>2025</v>
      </c>
      <c r="C3158" t="s">
        <v>3049</v>
      </c>
      <c r="D3158" s="9" t="s">
        <v>2857</v>
      </c>
      <c r="F3158" s="6">
        <v>290</v>
      </c>
      <c r="G3158" s="6">
        <f t="shared" si="163"/>
        <v>290</v>
      </c>
      <c r="H3158" s="6">
        <v>290</v>
      </c>
      <c r="I3158" s="26">
        <f t="shared" si="164"/>
        <v>0</v>
      </c>
      <c r="J3158" s="7" t="str">
        <f t="shared" si="165"/>
        <v>PAGADO</v>
      </c>
    </row>
    <row r="3159" spans="1:12" x14ac:dyDescent="0.25">
      <c r="A3159">
        <v>2025</v>
      </c>
      <c r="C3159" s="9" t="s">
        <v>3050</v>
      </c>
      <c r="D3159" s="9" t="s">
        <v>680</v>
      </c>
      <c r="F3159" s="6">
        <v>25</v>
      </c>
      <c r="G3159" s="6">
        <f t="shared" si="163"/>
        <v>25</v>
      </c>
      <c r="H3159" s="6">
        <v>25</v>
      </c>
      <c r="I3159" s="26">
        <f t="shared" si="164"/>
        <v>0</v>
      </c>
      <c r="J3159" s="7" t="str">
        <f t="shared" si="165"/>
        <v>PAGADO</v>
      </c>
    </row>
    <row r="3160" spans="1:12" x14ac:dyDescent="0.25">
      <c r="A3160">
        <v>2025</v>
      </c>
      <c r="C3160" s="9" t="s">
        <v>3051</v>
      </c>
      <c r="D3160" s="9" t="s">
        <v>2973</v>
      </c>
      <c r="F3160" s="6">
        <v>90</v>
      </c>
      <c r="G3160" s="6">
        <f t="shared" si="163"/>
        <v>90</v>
      </c>
      <c r="H3160" s="6">
        <v>90</v>
      </c>
      <c r="I3160" s="26">
        <f t="shared" si="164"/>
        <v>0</v>
      </c>
      <c r="J3160" s="7" t="str">
        <f t="shared" si="165"/>
        <v>PAGADO</v>
      </c>
    </row>
    <row r="3161" spans="1:12" x14ac:dyDescent="0.25">
      <c r="A3161">
        <v>2025</v>
      </c>
      <c r="C3161" t="s">
        <v>1952</v>
      </c>
      <c r="D3161" t="s">
        <v>2744</v>
      </c>
      <c r="F3161" s="6">
        <v>150</v>
      </c>
      <c r="G3161" s="6">
        <f t="shared" si="163"/>
        <v>150</v>
      </c>
      <c r="H3161" s="6">
        <f>50+100</f>
        <v>150</v>
      </c>
      <c r="I3161" s="26">
        <f t="shared" si="164"/>
        <v>0</v>
      </c>
      <c r="J3161" s="7" t="str">
        <f t="shared" si="165"/>
        <v>PAGADO</v>
      </c>
    </row>
    <row r="3162" spans="1:12" x14ac:dyDescent="0.25">
      <c r="A3162">
        <v>2025</v>
      </c>
      <c r="C3162" t="s">
        <v>3052</v>
      </c>
      <c r="D3162" t="s">
        <v>2744</v>
      </c>
      <c r="F3162" s="6">
        <v>150</v>
      </c>
      <c r="G3162" s="6">
        <f t="shared" si="163"/>
        <v>150</v>
      </c>
      <c r="H3162" s="6">
        <f>50+100</f>
        <v>150</v>
      </c>
      <c r="I3162" s="26">
        <f t="shared" si="164"/>
        <v>0</v>
      </c>
      <c r="J3162" s="7" t="str">
        <f t="shared" si="165"/>
        <v>PAGADO</v>
      </c>
    </row>
    <row r="3163" spans="1:12" x14ac:dyDescent="0.25">
      <c r="A3163">
        <v>2025</v>
      </c>
      <c r="C3163" t="s">
        <v>3053</v>
      </c>
      <c r="D3163" t="s">
        <v>2468</v>
      </c>
      <c r="F3163" s="6">
        <v>65</v>
      </c>
      <c r="G3163" s="6">
        <f t="shared" si="163"/>
        <v>65</v>
      </c>
      <c r="H3163" s="6">
        <v>65</v>
      </c>
      <c r="I3163" s="26">
        <f t="shared" si="164"/>
        <v>0</v>
      </c>
      <c r="J3163" s="7" t="str">
        <f t="shared" si="165"/>
        <v>PAGADO</v>
      </c>
    </row>
    <row r="3164" spans="1:12" x14ac:dyDescent="0.25">
      <c r="A3164">
        <v>2025</v>
      </c>
      <c r="C3164" s="9" t="s">
        <v>3054</v>
      </c>
      <c r="D3164" s="9" t="s">
        <v>2018</v>
      </c>
      <c r="F3164" s="6">
        <v>180</v>
      </c>
      <c r="G3164" s="6">
        <f t="shared" si="163"/>
        <v>180</v>
      </c>
      <c r="H3164" s="6">
        <f>50+130</f>
        <v>180</v>
      </c>
      <c r="I3164" s="26">
        <f t="shared" si="164"/>
        <v>0</v>
      </c>
      <c r="J3164" s="7" t="str">
        <f t="shared" si="165"/>
        <v>PAGADO</v>
      </c>
    </row>
    <row r="3165" spans="1:12" x14ac:dyDescent="0.25">
      <c r="A3165">
        <v>2025</v>
      </c>
      <c r="C3165" s="9" t="s">
        <v>3055</v>
      </c>
      <c r="D3165" s="9" t="s">
        <v>2973</v>
      </c>
      <c r="F3165" s="6">
        <v>80</v>
      </c>
      <c r="G3165" s="6">
        <f t="shared" si="163"/>
        <v>80</v>
      </c>
      <c r="H3165" s="6">
        <v>80</v>
      </c>
      <c r="I3165" s="26">
        <f t="shared" si="164"/>
        <v>0</v>
      </c>
      <c r="J3165" s="7" t="str">
        <f t="shared" si="165"/>
        <v>PAGADO</v>
      </c>
      <c r="K3165" s="33" t="s">
        <v>2640</v>
      </c>
    </row>
    <row r="3166" spans="1:12" x14ac:dyDescent="0.25">
      <c r="A3166">
        <v>2025</v>
      </c>
      <c r="C3166" s="9" t="s">
        <v>3056</v>
      </c>
      <c r="D3166" s="9" t="s">
        <v>2973</v>
      </c>
      <c r="F3166" s="6">
        <v>60</v>
      </c>
      <c r="G3166" s="6">
        <f t="shared" si="163"/>
        <v>60</v>
      </c>
      <c r="H3166" s="6">
        <v>60</v>
      </c>
      <c r="I3166" s="26">
        <f t="shared" si="164"/>
        <v>0</v>
      </c>
      <c r="J3166" s="7" t="str">
        <f t="shared" si="165"/>
        <v>PAGADO</v>
      </c>
      <c r="K3166" s="33" t="s">
        <v>2640</v>
      </c>
    </row>
    <row r="3167" spans="1:12" x14ac:dyDescent="0.25">
      <c r="A3167">
        <v>2025</v>
      </c>
      <c r="C3167" s="9" t="s">
        <v>3057</v>
      </c>
      <c r="D3167" s="9" t="s">
        <v>2973</v>
      </c>
      <c r="F3167" s="6">
        <v>60</v>
      </c>
      <c r="G3167" s="6">
        <f t="shared" si="163"/>
        <v>60</v>
      </c>
      <c r="H3167" s="6">
        <v>60</v>
      </c>
      <c r="I3167" s="26">
        <f t="shared" si="164"/>
        <v>0</v>
      </c>
      <c r="J3167" s="7" t="str">
        <f t="shared" si="165"/>
        <v>PAGADO</v>
      </c>
      <c r="K3167" s="33" t="s">
        <v>2640</v>
      </c>
    </row>
    <row r="3168" spans="1:12" x14ac:dyDescent="0.25">
      <c r="A3168">
        <v>2025</v>
      </c>
      <c r="C3168" s="9" t="s">
        <v>3058</v>
      </c>
      <c r="D3168" s="9" t="s">
        <v>1849</v>
      </c>
      <c r="F3168" s="6">
        <v>350</v>
      </c>
      <c r="G3168" s="6">
        <f t="shared" si="163"/>
        <v>350</v>
      </c>
      <c r="H3168" s="6">
        <f>50+300</f>
        <v>350</v>
      </c>
      <c r="I3168" s="26">
        <f t="shared" si="164"/>
        <v>0</v>
      </c>
      <c r="J3168" s="7" t="str">
        <f t="shared" si="165"/>
        <v>PAGADO</v>
      </c>
    </row>
    <row r="3169" spans="1:11" x14ac:dyDescent="0.25">
      <c r="A3169">
        <v>2025</v>
      </c>
      <c r="C3169" s="9" t="s">
        <v>3059</v>
      </c>
      <c r="D3169" s="9" t="s">
        <v>3060</v>
      </c>
      <c r="F3169" s="6">
        <v>35</v>
      </c>
      <c r="G3169" s="6">
        <f t="shared" si="163"/>
        <v>35</v>
      </c>
      <c r="H3169" s="6">
        <f>15+20</f>
        <v>35</v>
      </c>
      <c r="I3169" s="26">
        <f t="shared" si="164"/>
        <v>0</v>
      </c>
      <c r="J3169" s="7" t="str">
        <f t="shared" si="165"/>
        <v>PAGADO</v>
      </c>
    </row>
    <row r="3170" spans="1:11" x14ac:dyDescent="0.25">
      <c r="A3170">
        <v>2025</v>
      </c>
      <c r="C3170" s="9" t="s">
        <v>3061</v>
      </c>
      <c r="D3170" s="9" t="s">
        <v>1504</v>
      </c>
      <c r="F3170" s="6">
        <v>160</v>
      </c>
      <c r="G3170" s="6">
        <f t="shared" si="163"/>
        <v>160</v>
      </c>
      <c r="H3170" s="6">
        <v>160</v>
      </c>
      <c r="I3170" s="26">
        <f t="shared" si="164"/>
        <v>0</v>
      </c>
      <c r="J3170" s="7" t="str">
        <f t="shared" si="165"/>
        <v>PAGADO</v>
      </c>
      <c r="K3170" t="s">
        <v>693</v>
      </c>
    </row>
    <row r="3171" spans="1:11" x14ac:dyDescent="0.25">
      <c r="A3171">
        <v>2025</v>
      </c>
      <c r="C3171" t="s">
        <v>3062</v>
      </c>
      <c r="D3171" s="9" t="s">
        <v>1504</v>
      </c>
      <c r="F3171" s="6">
        <f>65*3</f>
        <v>195</v>
      </c>
      <c r="G3171" s="6">
        <f t="shared" si="163"/>
        <v>195</v>
      </c>
      <c r="H3171" s="6">
        <v>195</v>
      </c>
      <c r="I3171" s="26">
        <f t="shared" si="164"/>
        <v>0</v>
      </c>
      <c r="J3171" s="7" t="str">
        <f t="shared" si="165"/>
        <v>PAGADO</v>
      </c>
      <c r="K3171" s="33" t="s">
        <v>693</v>
      </c>
    </row>
    <row r="3172" spans="1:11" x14ac:dyDescent="0.25">
      <c r="A3172">
        <v>2025</v>
      </c>
      <c r="C3172" s="9" t="s">
        <v>3063</v>
      </c>
      <c r="D3172" t="s">
        <v>816</v>
      </c>
      <c r="F3172" s="6">
        <v>160</v>
      </c>
      <c r="G3172" s="6">
        <f t="shared" si="163"/>
        <v>160</v>
      </c>
      <c r="H3172" s="6">
        <v>160</v>
      </c>
      <c r="I3172" s="26">
        <f t="shared" si="164"/>
        <v>0</v>
      </c>
      <c r="J3172" s="7" t="str">
        <f t="shared" si="165"/>
        <v>PAGADO</v>
      </c>
    </row>
    <row r="3173" spans="1:11" x14ac:dyDescent="0.25">
      <c r="A3173">
        <v>2025</v>
      </c>
      <c r="C3173" s="9" t="s">
        <v>3064</v>
      </c>
      <c r="D3173" s="9" t="s">
        <v>2278</v>
      </c>
      <c r="F3173" s="6">
        <v>50</v>
      </c>
      <c r="G3173" s="6">
        <f t="shared" si="163"/>
        <v>50</v>
      </c>
      <c r="H3173" s="6">
        <v>50</v>
      </c>
      <c r="I3173" s="57">
        <f t="shared" si="164"/>
        <v>0</v>
      </c>
      <c r="J3173" s="7" t="str">
        <f t="shared" si="165"/>
        <v>PAGADO</v>
      </c>
      <c r="K3173" s="60" t="s">
        <v>693</v>
      </c>
    </row>
    <row r="3174" spans="1:11" x14ac:dyDescent="0.25">
      <c r="A3174">
        <v>2025</v>
      </c>
      <c r="C3174" s="9" t="s">
        <v>3065</v>
      </c>
      <c r="D3174" s="9" t="s">
        <v>2278</v>
      </c>
      <c r="F3174" s="6">
        <f>65*3</f>
        <v>195</v>
      </c>
      <c r="G3174" s="6">
        <f t="shared" si="163"/>
        <v>195</v>
      </c>
      <c r="H3174" s="6">
        <v>195</v>
      </c>
      <c r="I3174" s="48">
        <f t="shared" si="164"/>
        <v>0</v>
      </c>
      <c r="J3174" s="7" t="str">
        <f t="shared" si="165"/>
        <v>PAGADO</v>
      </c>
      <c r="K3174" s="60" t="s">
        <v>693</v>
      </c>
    </row>
    <row r="3175" spans="1:11" x14ac:dyDescent="0.25">
      <c r="A3175">
        <v>2025</v>
      </c>
      <c r="C3175" s="9" t="s">
        <v>3066</v>
      </c>
      <c r="D3175" s="9" t="s">
        <v>2363</v>
      </c>
      <c r="F3175" s="6">
        <v>80</v>
      </c>
      <c r="G3175" s="6">
        <f t="shared" si="163"/>
        <v>80</v>
      </c>
      <c r="H3175" s="6">
        <v>80</v>
      </c>
      <c r="I3175" s="26">
        <f t="shared" si="164"/>
        <v>0</v>
      </c>
      <c r="J3175" s="7" t="str">
        <f t="shared" si="165"/>
        <v>PAGADO</v>
      </c>
      <c r="K3175" s="33" t="s">
        <v>693</v>
      </c>
    </row>
    <row r="3176" spans="1:11" x14ac:dyDescent="0.25">
      <c r="A3176">
        <v>2025</v>
      </c>
      <c r="C3176" s="9" t="s">
        <v>3067</v>
      </c>
      <c r="D3176" s="9" t="s">
        <v>3029</v>
      </c>
      <c r="F3176" s="6">
        <v>120</v>
      </c>
      <c r="G3176" s="6">
        <f t="shared" si="163"/>
        <v>120</v>
      </c>
      <c r="H3176" s="6">
        <v>120</v>
      </c>
      <c r="I3176" s="26">
        <f t="shared" si="164"/>
        <v>0</v>
      </c>
      <c r="J3176" s="7" t="str">
        <f t="shared" si="165"/>
        <v>PAGADO</v>
      </c>
    </row>
    <row r="3177" spans="1:11" x14ac:dyDescent="0.25">
      <c r="A3177">
        <v>2025</v>
      </c>
      <c r="C3177" t="s">
        <v>608</v>
      </c>
      <c r="D3177" s="9" t="s">
        <v>3029</v>
      </c>
      <c r="F3177" s="6">
        <v>60</v>
      </c>
      <c r="G3177" s="6">
        <f t="shared" si="163"/>
        <v>60</v>
      </c>
      <c r="H3177" s="6">
        <v>60</v>
      </c>
      <c r="I3177" s="26">
        <f t="shared" si="164"/>
        <v>0</v>
      </c>
      <c r="J3177" s="7" t="str">
        <f t="shared" si="165"/>
        <v>PAGADO</v>
      </c>
    </row>
    <row r="3178" spans="1:11" x14ac:dyDescent="0.25">
      <c r="A3178">
        <v>2025</v>
      </c>
      <c r="C3178" s="9" t="s">
        <v>3068</v>
      </c>
      <c r="D3178" s="9" t="s">
        <v>2683</v>
      </c>
      <c r="F3178" s="6">
        <v>25</v>
      </c>
      <c r="G3178" s="6">
        <f t="shared" si="163"/>
        <v>25</v>
      </c>
      <c r="H3178" s="6">
        <v>25</v>
      </c>
      <c r="I3178" s="26">
        <f t="shared" si="164"/>
        <v>0</v>
      </c>
      <c r="J3178" s="7" t="str">
        <f t="shared" si="165"/>
        <v>PAGADO</v>
      </c>
    </row>
    <row r="3179" spans="1:11" x14ac:dyDescent="0.25">
      <c r="A3179">
        <v>2025</v>
      </c>
      <c r="C3179" s="9" t="s">
        <v>3069</v>
      </c>
      <c r="D3179" s="9" t="s">
        <v>2922</v>
      </c>
      <c r="F3179" s="6">
        <v>70</v>
      </c>
      <c r="G3179" s="6">
        <f t="shared" si="163"/>
        <v>70</v>
      </c>
      <c r="H3179" s="6">
        <v>70</v>
      </c>
      <c r="I3179" s="26">
        <f t="shared" si="164"/>
        <v>0</v>
      </c>
      <c r="J3179" s="7" t="str">
        <f t="shared" si="165"/>
        <v>PAGADO</v>
      </c>
    </row>
    <row r="3180" spans="1:11" x14ac:dyDescent="0.25">
      <c r="A3180">
        <v>2025</v>
      </c>
      <c r="C3180" t="s">
        <v>3070</v>
      </c>
      <c r="D3180" s="9" t="s">
        <v>2935</v>
      </c>
      <c r="F3180" s="6">
        <v>60</v>
      </c>
      <c r="G3180" s="6">
        <f t="shared" si="163"/>
        <v>60</v>
      </c>
      <c r="H3180" s="6">
        <v>60</v>
      </c>
      <c r="I3180" s="26">
        <f t="shared" si="164"/>
        <v>0</v>
      </c>
      <c r="J3180" s="7" t="str">
        <f t="shared" si="165"/>
        <v>PAGADO</v>
      </c>
    </row>
    <row r="3181" spans="1:11" x14ac:dyDescent="0.25">
      <c r="A3181">
        <v>2025</v>
      </c>
      <c r="C3181" s="9" t="s">
        <v>3071</v>
      </c>
      <c r="D3181" s="9" t="s">
        <v>2969</v>
      </c>
      <c r="F3181" s="6">
        <v>90</v>
      </c>
      <c r="G3181" s="6">
        <f t="shared" si="163"/>
        <v>90</v>
      </c>
      <c r="H3181" s="6">
        <v>90</v>
      </c>
      <c r="I3181" s="26">
        <f t="shared" si="164"/>
        <v>0</v>
      </c>
      <c r="J3181" s="7" t="str">
        <f t="shared" si="165"/>
        <v>PAGADO</v>
      </c>
    </row>
    <row r="3182" spans="1:11" x14ac:dyDescent="0.25">
      <c r="A3182">
        <v>2025</v>
      </c>
      <c r="C3182" s="9" t="s">
        <v>3072</v>
      </c>
      <c r="D3182" t="s">
        <v>1640</v>
      </c>
      <c r="F3182" s="6">
        <v>45</v>
      </c>
      <c r="G3182" s="6">
        <f t="shared" si="163"/>
        <v>45</v>
      </c>
      <c r="H3182" s="6">
        <v>45</v>
      </c>
      <c r="I3182" s="26">
        <f t="shared" si="164"/>
        <v>0</v>
      </c>
      <c r="J3182" s="7" t="str">
        <f t="shared" si="165"/>
        <v>PAGADO</v>
      </c>
    </row>
    <row r="3183" spans="1:11" x14ac:dyDescent="0.25">
      <c r="A3183">
        <v>2025</v>
      </c>
      <c r="C3183" s="9" t="s">
        <v>3073</v>
      </c>
      <c r="D3183" t="s">
        <v>1640</v>
      </c>
      <c r="F3183" s="6">
        <v>40</v>
      </c>
      <c r="G3183" s="6">
        <f t="shared" si="163"/>
        <v>40</v>
      </c>
      <c r="H3183" s="6">
        <v>40</v>
      </c>
      <c r="I3183" s="26">
        <f t="shared" si="164"/>
        <v>0</v>
      </c>
      <c r="J3183" s="7" t="str">
        <f t="shared" si="165"/>
        <v>PAGADO</v>
      </c>
    </row>
    <row r="3184" spans="1:11" x14ac:dyDescent="0.25">
      <c r="A3184">
        <v>2025</v>
      </c>
      <c r="C3184" s="9" t="s">
        <v>3074</v>
      </c>
      <c r="D3184" s="9" t="s">
        <v>680</v>
      </c>
      <c r="F3184" s="6">
        <v>120</v>
      </c>
      <c r="G3184" s="6">
        <f t="shared" si="163"/>
        <v>120</v>
      </c>
      <c r="H3184" s="6">
        <v>120</v>
      </c>
      <c r="I3184" s="26">
        <f t="shared" si="164"/>
        <v>0</v>
      </c>
      <c r="J3184" s="7" t="str">
        <f t="shared" si="165"/>
        <v>PAGADO</v>
      </c>
    </row>
    <row r="3185" spans="1:12" x14ac:dyDescent="0.25">
      <c r="A3185">
        <v>2025</v>
      </c>
      <c r="C3185" s="9" t="s">
        <v>3075</v>
      </c>
      <c r="D3185" s="9" t="s">
        <v>3076</v>
      </c>
      <c r="F3185" s="6">
        <v>50</v>
      </c>
      <c r="G3185" s="6">
        <f t="shared" si="163"/>
        <v>50</v>
      </c>
      <c r="H3185" s="6">
        <v>50</v>
      </c>
      <c r="I3185" s="26">
        <f t="shared" si="164"/>
        <v>0</v>
      </c>
      <c r="J3185" s="7" t="str">
        <f t="shared" si="165"/>
        <v>PAGADO</v>
      </c>
    </row>
    <row r="3186" spans="1:12" x14ac:dyDescent="0.25">
      <c r="A3186">
        <v>2025</v>
      </c>
      <c r="C3186" s="9" t="s">
        <v>3077</v>
      </c>
      <c r="D3186" s="9" t="s">
        <v>1425</v>
      </c>
      <c r="F3186" s="6">
        <v>50</v>
      </c>
      <c r="G3186" s="6">
        <f t="shared" si="163"/>
        <v>50</v>
      </c>
      <c r="H3186" s="24">
        <v>50</v>
      </c>
      <c r="I3186" s="26">
        <f t="shared" si="164"/>
        <v>0</v>
      </c>
      <c r="J3186" s="7" t="str">
        <f t="shared" si="165"/>
        <v>PAGADO</v>
      </c>
      <c r="K3186" s="33" t="s">
        <v>1823</v>
      </c>
    </row>
    <row r="3187" spans="1:12" x14ac:dyDescent="0.25">
      <c r="A3187">
        <v>2025</v>
      </c>
      <c r="C3187" s="9" t="s">
        <v>1013</v>
      </c>
      <c r="D3187" s="9" t="s">
        <v>2018</v>
      </c>
      <c r="F3187" s="6">
        <v>130</v>
      </c>
      <c r="G3187" s="6">
        <f t="shared" si="163"/>
        <v>130</v>
      </c>
      <c r="H3187" s="6">
        <v>130</v>
      </c>
      <c r="I3187" s="26">
        <f t="shared" si="164"/>
        <v>0</v>
      </c>
      <c r="J3187" s="7" t="str">
        <f t="shared" si="165"/>
        <v>PAGADO</v>
      </c>
      <c r="K3187" s="33" t="s">
        <v>1815</v>
      </c>
    </row>
    <row r="3188" spans="1:12" x14ac:dyDescent="0.25">
      <c r="A3188">
        <v>2025</v>
      </c>
      <c r="C3188" t="s">
        <v>3078</v>
      </c>
      <c r="D3188" s="9" t="s">
        <v>2402</v>
      </c>
      <c r="F3188" s="6">
        <v>65</v>
      </c>
      <c r="G3188" s="6">
        <f t="shared" si="163"/>
        <v>65</v>
      </c>
      <c r="H3188" s="6">
        <f>60+5</f>
        <v>65</v>
      </c>
      <c r="I3188" s="26">
        <f t="shared" si="164"/>
        <v>0</v>
      </c>
      <c r="J3188" s="7" t="str">
        <f t="shared" si="165"/>
        <v>PAGADO</v>
      </c>
    </row>
    <row r="3189" spans="1:12" x14ac:dyDescent="0.25">
      <c r="A3189">
        <v>2025</v>
      </c>
      <c r="C3189" s="9" t="s">
        <v>3079</v>
      </c>
      <c r="D3189" t="s">
        <v>816</v>
      </c>
      <c r="F3189" s="6">
        <v>120</v>
      </c>
      <c r="G3189" s="6">
        <f t="shared" si="163"/>
        <v>120</v>
      </c>
      <c r="H3189" s="6">
        <f>60+30+30</f>
        <v>120</v>
      </c>
      <c r="I3189" s="74">
        <f t="shared" si="164"/>
        <v>0</v>
      </c>
      <c r="J3189" s="7" t="str">
        <f t="shared" si="165"/>
        <v>PAGADO</v>
      </c>
      <c r="K3189" s="33" t="s">
        <v>1815</v>
      </c>
      <c r="L3189" s="9"/>
    </row>
    <row r="3190" spans="1:12" x14ac:dyDescent="0.25">
      <c r="A3190">
        <v>2025</v>
      </c>
      <c r="C3190" s="9" t="s">
        <v>2535</v>
      </c>
      <c r="D3190" t="s">
        <v>3080</v>
      </c>
      <c r="F3190" s="6">
        <v>55</v>
      </c>
      <c r="G3190" s="6">
        <f t="shared" si="163"/>
        <v>55</v>
      </c>
      <c r="H3190" s="6">
        <v>55</v>
      </c>
      <c r="I3190" s="26">
        <f t="shared" si="164"/>
        <v>0</v>
      </c>
      <c r="J3190" s="7" t="str">
        <f t="shared" si="165"/>
        <v>PAGADO</v>
      </c>
    </row>
    <row r="3191" spans="1:12" x14ac:dyDescent="0.25">
      <c r="A3191">
        <v>2025</v>
      </c>
      <c r="C3191" s="9" t="s">
        <v>2267</v>
      </c>
      <c r="D3191" t="s">
        <v>1390</v>
      </c>
      <c r="F3191" s="6">
        <v>65</v>
      </c>
      <c r="G3191" s="6">
        <f t="shared" si="163"/>
        <v>65</v>
      </c>
      <c r="H3191" s="6">
        <f>30+35</f>
        <v>65</v>
      </c>
      <c r="I3191" s="26">
        <f t="shared" si="164"/>
        <v>0</v>
      </c>
      <c r="J3191" s="7" t="str">
        <f t="shared" si="165"/>
        <v>PAGADO</v>
      </c>
    </row>
    <row r="3192" spans="1:12" x14ac:dyDescent="0.25">
      <c r="A3192">
        <v>2025</v>
      </c>
      <c r="C3192" s="9" t="s">
        <v>2940</v>
      </c>
      <c r="D3192" t="s">
        <v>3081</v>
      </c>
      <c r="F3192" s="6">
        <v>65</v>
      </c>
      <c r="G3192" s="6">
        <f t="shared" si="163"/>
        <v>65</v>
      </c>
      <c r="H3192" s="6">
        <v>65</v>
      </c>
      <c r="I3192" s="26">
        <f t="shared" si="164"/>
        <v>0</v>
      </c>
      <c r="J3192" s="7" t="str">
        <f t="shared" si="165"/>
        <v>PAGADO</v>
      </c>
    </row>
    <row r="3193" spans="1:12" x14ac:dyDescent="0.25">
      <c r="A3193">
        <v>2025</v>
      </c>
      <c r="C3193" s="9" t="s">
        <v>3082</v>
      </c>
      <c r="D3193" t="s">
        <v>3083</v>
      </c>
      <c r="F3193" s="6">
        <v>70</v>
      </c>
      <c r="G3193" s="6">
        <f t="shared" si="163"/>
        <v>70</v>
      </c>
      <c r="H3193" s="6">
        <v>70</v>
      </c>
      <c r="I3193" s="26">
        <f t="shared" si="164"/>
        <v>0</v>
      </c>
      <c r="J3193" s="7" t="str">
        <f t="shared" si="165"/>
        <v>PAGADO</v>
      </c>
    </row>
    <row r="3194" spans="1:12" x14ac:dyDescent="0.25">
      <c r="A3194">
        <v>2025</v>
      </c>
      <c r="C3194" s="9" t="s">
        <v>3084</v>
      </c>
      <c r="D3194" s="9" t="s">
        <v>3085</v>
      </c>
      <c r="F3194" s="6">
        <v>100</v>
      </c>
      <c r="G3194" s="6">
        <f t="shared" si="163"/>
        <v>100</v>
      </c>
      <c r="H3194" s="6">
        <v>100</v>
      </c>
      <c r="I3194" s="26">
        <f t="shared" si="164"/>
        <v>0</v>
      </c>
      <c r="J3194" s="7" t="str">
        <f t="shared" si="165"/>
        <v>PAGADO</v>
      </c>
    </row>
    <row r="3195" spans="1:12" x14ac:dyDescent="0.25">
      <c r="A3195">
        <v>2025</v>
      </c>
      <c r="C3195" s="9" t="s">
        <v>792</v>
      </c>
      <c r="D3195" s="9" t="s">
        <v>3085</v>
      </c>
      <c r="F3195" s="6">
        <v>55</v>
      </c>
      <c r="G3195" s="6">
        <f t="shared" si="163"/>
        <v>55</v>
      </c>
      <c r="H3195" s="6">
        <v>55</v>
      </c>
      <c r="I3195" s="26">
        <f t="shared" si="164"/>
        <v>0</v>
      </c>
      <c r="J3195" s="7" t="str">
        <f t="shared" si="165"/>
        <v>PAGADO</v>
      </c>
    </row>
    <row r="3196" spans="1:12" x14ac:dyDescent="0.25">
      <c r="A3196">
        <v>2025</v>
      </c>
      <c r="C3196" s="14" t="s">
        <v>1144</v>
      </c>
      <c r="D3196" s="14" t="s">
        <v>1736</v>
      </c>
      <c r="E3196" s="15"/>
      <c r="F3196" s="16">
        <v>15</v>
      </c>
      <c r="G3196" s="16">
        <f t="shared" si="163"/>
        <v>15</v>
      </c>
      <c r="H3196" s="16">
        <v>15</v>
      </c>
      <c r="I3196" s="16">
        <f t="shared" si="164"/>
        <v>0</v>
      </c>
      <c r="J3196" s="17" t="str">
        <f t="shared" si="165"/>
        <v>PAGADO</v>
      </c>
      <c r="K3196" s="59" t="s">
        <v>3086</v>
      </c>
    </row>
    <row r="3197" spans="1:12" x14ac:dyDescent="0.25">
      <c r="A3197">
        <v>2025</v>
      </c>
      <c r="C3197" t="s">
        <v>3087</v>
      </c>
      <c r="D3197" s="9" t="s">
        <v>3085</v>
      </c>
      <c r="F3197" s="6">
        <v>100</v>
      </c>
      <c r="G3197" s="6">
        <f t="shared" si="163"/>
        <v>100</v>
      </c>
      <c r="H3197" s="6">
        <v>100</v>
      </c>
      <c r="I3197" s="26">
        <f t="shared" si="164"/>
        <v>0</v>
      </c>
      <c r="J3197" s="7" t="str">
        <f t="shared" si="165"/>
        <v>PAGADO</v>
      </c>
    </row>
    <row r="3198" spans="1:12" x14ac:dyDescent="0.25">
      <c r="A3198">
        <v>2025</v>
      </c>
      <c r="C3198" s="9" t="s">
        <v>3088</v>
      </c>
      <c r="D3198" s="9" t="s">
        <v>2548</v>
      </c>
      <c r="F3198" s="6">
        <v>25</v>
      </c>
      <c r="G3198" s="6">
        <f t="shared" ref="G3198:G3261" si="166">F3198-E3198</f>
        <v>25</v>
      </c>
      <c r="H3198" s="6">
        <v>25</v>
      </c>
      <c r="I3198" s="26">
        <f t="shared" si="164"/>
        <v>0</v>
      </c>
      <c r="J3198" s="7" t="str">
        <f t="shared" si="165"/>
        <v>PAGADO</v>
      </c>
    </row>
    <row r="3199" spans="1:12" x14ac:dyDescent="0.25">
      <c r="A3199">
        <v>2025</v>
      </c>
      <c r="C3199" t="s">
        <v>3089</v>
      </c>
      <c r="D3199" s="9" t="s">
        <v>1560</v>
      </c>
      <c r="F3199" s="6">
        <v>25</v>
      </c>
      <c r="G3199" s="6">
        <f t="shared" si="166"/>
        <v>25</v>
      </c>
      <c r="H3199" s="6">
        <v>25</v>
      </c>
      <c r="I3199" s="6">
        <f t="shared" si="164"/>
        <v>0</v>
      </c>
      <c r="J3199" s="7" t="str">
        <f t="shared" si="165"/>
        <v>PAGADO</v>
      </c>
    </row>
    <row r="3200" spans="1:12" x14ac:dyDescent="0.25">
      <c r="A3200">
        <v>2025</v>
      </c>
      <c r="C3200" t="s">
        <v>3069</v>
      </c>
      <c r="D3200" t="s">
        <v>3083</v>
      </c>
      <c r="F3200" s="6">
        <v>70</v>
      </c>
      <c r="G3200" s="6">
        <f t="shared" si="166"/>
        <v>70</v>
      </c>
      <c r="H3200" s="6">
        <v>70</v>
      </c>
      <c r="I3200" s="26">
        <f t="shared" si="164"/>
        <v>0</v>
      </c>
      <c r="J3200" s="7" t="str">
        <f t="shared" si="165"/>
        <v>PAGADO</v>
      </c>
    </row>
    <row r="3201" spans="1:11" x14ac:dyDescent="0.25">
      <c r="A3201">
        <v>2025</v>
      </c>
      <c r="C3201" t="s">
        <v>3090</v>
      </c>
      <c r="D3201" t="s">
        <v>3083</v>
      </c>
      <c r="F3201" s="6">
        <v>60</v>
      </c>
      <c r="G3201" s="6">
        <f t="shared" si="166"/>
        <v>60</v>
      </c>
      <c r="H3201" s="6">
        <f>20+40</f>
        <v>60</v>
      </c>
      <c r="I3201" s="26">
        <f t="shared" si="164"/>
        <v>0</v>
      </c>
      <c r="J3201" s="7" t="str">
        <f t="shared" si="165"/>
        <v>PAGADO</v>
      </c>
    </row>
    <row r="3202" spans="1:11" x14ac:dyDescent="0.25">
      <c r="A3202">
        <v>2025</v>
      </c>
      <c r="C3202" t="s">
        <v>3091</v>
      </c>
      <c r="D3202" t="s">
        <v>3083</v>
      </c>
      <c r="F3202" s="6">
        <v>100</v>
      </c>
      <c r="G3202" s="6">
        <f t="shared" si="166"/>
        <v>100</v>
      </c>
      <c r="H3202" s="6">
        <v>100</v>
      </c>
      <c r="I3202" s="26">
        <f t="shared" si="164"/>
        <v>0</v>
      </c>
      <c r="J3202" s="7" t="str">
        <f t="shared" si="165"/>
        <v>PAGADO</v>
      </c>
    </row>
    <row r="3203" spans="1:11" x14ac:dyDescent="0.25">
      <c r="A3203">
        <v>2025</v>
      </c>
      <c r="C3203" t="s">
        <v>3092</v>
      </c>
      <c r="D3203" t="s">
        <v>3093</v>
      </c>
      <c r="F3203" s="6">
        <v>90</v>
      </c>
      <c r="G3203" s="6">
        <f t="shared" si="166"/>
        <v>90</v>
      </c>
      <c r="H3203" s="6">
        <v>90</v>
      </c>
      <c r="I3203" s="26">
        <f t="shared" si="164"/>
        <v>0</v>
      </c>
      <c r="J3203" s="7" t="str">
        <f t="shared" si="165"/>
        <v>PAGADO</v>
      </c>
    </row>
    <row r="3204" spans="1:11" x14ac:dyDescent="0.25">
      <c r="A3204">
        <v>2025</v>
      </c>
      <c r="C3204" s="9" t="s">
        <v>3094</v>
      </c>
      <c r="D3204" s="9" t="s">
        <v>2363</v>
      </c>
      <c r="F3204" s="6">
        <v>50</v>
      </c>
      <c r="G3204" s="6">
        <f t="shared" si="166"/>
        <v>50</v>
      </c>
      <c r="H3204" s="6">
        <v>50</v>
      </c>
      <c r="I3204" s="26">
        <f t="shared" si="164"/>
        <v>0</v>
      </c>
      <c r="J3204" s="7" t="str">
        <f t="shared" si="165"/>
        <v>PAGADO</v>
      </c>
      <c r="K3204" s="33" t="s">
        <v>693</v>
      </c>
    </row>
    <row r="3205" spans="1:11" x14ac:dyDescent="0.25">
      <c r="A3205">
        <v>2025</v>
      </c>
      <c r="C3205" s="9" t="s">
        <v>210</v>
      </c>
      <c r="D3205" t="s">
        <v>2147</v>
      </c>
      <c r="F3205" s="6">
        <v>50</v>
      </c>
      <c r="G3205" s="6">
        <f t="shared" si="166"/>
        <v>50</v>
      </c>
      <c r="H3205" s="6">
        <v>50</v>
      </c>
      <c r="I3205" s="26">
        <f t="shared" si="164"/>
        <v>0</v>
      </c>
      <c r="J3205" s="7" t="str">
        <f t="shared" si="165"/>
        <v>PAGADO</v>
      </c>
    </row>
    <row r="3206" spans="1:11" x14ac:dyDescent="0.25">
      <c r="A3206">
        <v>2025</v>
      </c>
      <c r="C3206" s="9" t="s">
        <v>3095</v>
      </c>
      <c r="D3206" t="s">
        <v>2147</v>
      </c>
      <c r="F3206" s="6">
        <v>65</v>
      </c>
      <c r="G3206" s="6">
        <f t="shared" si="166"/>
        <v>65</v>
      </c>
      <c r="H3206" s="6">
        <v>65</v>
      </c>
      <c r="I3206" s="26">
        <f t="shared" si="164"/>
        <v>0</v>
      </c>
      <c r="J3206" s="7" t="str">
        <f t="shared" si="165"/>
        <v>PAGADO</v>
      </c>
    </row>
    <row r="3207" spans="1:11" x14ac:dyDescent="0.25">
      <c r="A3207">
        <v>2025</v>
      </c>
      <c r="C3207" s="9" t="s">
        <v>3096</v>
      </c>
      <c r="D3207" s="9" t="s">
        <v>236</v>
      </c>
      <c r="F3207" s="6">
        <v>60</v>
      </c>
      <c r="G3207" s="6">
        <f t="shared" si="166"/>
        <v>60</v>
      </c>
      <c r="H3207" s="6">
        <v>60</v>
      </c>
      <c r="I3207" s="26">
        <f t="shared" si="164"/>
        <v>0</v>
      </c>
      <c r="J3207" s="7" t="str">
        <f t="shared" si="165"/>
        <v>PAGADO</v>
      </c>
    </row>
    <row r="3208" spans="1:11" x14ac:dyDescent="0.25">
      <c r="A3208">
        <v>2025</v>
      </c>
      <c r="C3208" s="9" t="s">
        <v>3097</v>
      </c>
      <c r="D3208" s="9" t="s">
        <v>2278</v>
      </c>
      <c r="F3208" s="6">
        <v>50</v>
      </c>
      <c r="G3208" s="6">
        <f t="shared" si="166"/>
        <v>50</v>
      </c>
      <c r="H3208" s="6">
        <v>50</v>
      </c>
      <c r="I3208" s="57">
        <f t="shared" si="164"/>
        <v>0</v>
      </c>
      <c r="J3208" s="7" t="str">
        <f t="shared" si="165"/>
        <v>PAGADO</v>
      </c>
      <c r="K3208" s="60" t="s">
        <v>693</v>
      </c>
    </row>
    <row r="3209" spans="1:11" x14ac:dyDescent="0.25">
      <c r="A3209">
        <v>2025</v>
      </c>
      <c r="C3209" s="9" t="s">
        <v>3098</v>
      </c>
      <c r="D3209" s="9" t="s">
        <v>2278</v>
      </c>
      <c r="F3209" s="6">
        <v>25</v>
      </c>
      <c r="G3209" s="6">
        <f t="shared" si="166"/>
        <v>25</v>
      </c>
      <c r="H3209" s="6">
        <v>25</v>
      </c>
      <c r="I3209" s="48">
        <f t="shared" si="164"/>
        <v>0</v>
      </c>
      <c r="J3209" s="7" t="str">
        <f t="shared" si="165"/>
        <v>PAGADO</v>
      </c>
      <c r="K3209" s="60" t="s">
        <v>693</v>
      </c>
    </row>
    <row r="3210" spans="1:11" x14ac:dyDescent="0.25">
      <c r="A3210">
        <v>2025</v>
      </c>
      <c r="C3210" s="9" t="s">
        <v>3089</v>
      </c>
      <c r="D3210" s="9" t="s">
        <v>1736</v>
      </c>
      <c r="F3210" s="26">
        <v>20</v>
      </c>
      <c r="G3210" s="26">
        <f t="shared" si="166"/>
        <v>20</v>
      </c>
      <c r="H3210" s="26">
        <v>20</v>
      </c>
      <c r="I3210" s="26">
        <f t="shared" si="164"/>
        <v>0</v>
      </c>
      <c r="J3210" s="7" t="str">
        <f t="shared" si="165"/>
        <v>PAGADO</v>
      </c>
    </row>
    <row r="3211" spans="1:11" x14ac:dyDescent="0.25">
      <c r="A3211">
        <v>2025</v>
      </c>
      <c r="C3211" s="9" t="s">
        <v>3099</v>
      </c>
      <c r="D3211" s="9" t="s">
        <v>2935</v>
      </c>
      <c r="F3211" s="6">
        <v>25</v>
      </c>
      <c r="G3211" s="6">
        <f t="shared" si="166"/>
        <v>25</v>
      </c>
      <c r="H3211" s="6">
        <v>25</v>
      </c>
      <c r="I3211" s="26">
        <f t="shared" si="164"/>
        <v>0</v>
      </c>
      <c r="J3211" s="7" t="str">
        <f t="shared" si="165"/>
        <v>PAGADO</v>
      </c>
    </row>
    <row r="3212" spans="1:11" x14ac:dyDescent="0.25">
      <c r="A3212">
        <v>2025</v>
      </c>
      <c r="C3212" s="9" t="s">
        <v>1856</v>
      </c>
      <c r="D3212" s="9" t="s">
        <v>2820</v>
      </c>
      <c r="F3212" s="6">
        <v>80</v>
      </c>
      <c r="G3212" s="6">
        <f t="shared" si="166"/>
        <v>80</v>
      </c>
      <c r="H3212" s="6">
        <f>40+40</f>
        <v>80</v>
      </c>
      <c r="I3212" s="26">
        <f t="shared" si="164"/>
        <v>0</v>
      </c>
      <c r="J3212" s="7" t="str">
        <f t="shared" si="165"/>
        <v>PAGADO</v>
      </c>
      <c r="K3212" s="33" t="s">
        <v>2258</v>
      </c>
    </row>
    <row r="3213" spans="1:11" x14ac:dyDescent="0.25">
      <c r="A3213">
        <v>2025</v>
      </c>
      <c r="C3213" s="9" t="s">
        <v>3100</v>
      </c>
      <c r="D3213" s="9" t="s">
        <v>3101</v>
      </c>
      <c r="F3213" s="6">
        <v>80</v>
      </c>
      <c r="G3213" s="6">
        <f t="shared" si="166"/>
        <v>80</v>
      </c>
      <c r="H3213" s="6">
        <v>80</v>
      </c>
      <c r="I3213" s="26">
        <f t="shared" si="164"/>
        <v>0</v>
      </c>
      <c r="J3213" s="7" t="str">
        <f t="shared" si="165"/>
        <v>PAGADO</v>
      </c>
      <c r="K3213" s="9" t="s">
        <v>570</v>
      </c>
    </row>
    <row r="3214" spans="1:11" x14ac:dyDescent="0.25">
      <c r="A3214">
        <v>2025</v>
      </c>
      <c r="C3214" s="9" t="s">
        <v>3102</v>
      </c>
      <c r="D3214" s="9" t="s">
        <v>3103</v>
      </c>
      <c r="F3214" s="6">
        <v>75</v>
      </c>
      <c r="G3214" s="6">
        <f t="shared" si="166"/>
        <v>75</v>
      </c>
      <c r="H3214" s="6">
        <f>10+65</f>
        <v>75</v>
      </c>
      <c r="I3214" s="26">
        <f t="shared" si="164"/>
        <v>0</v>
      </c>
      <c r="J3214" s="7" t="str">
        <f t="shared" si="165"/>
        <v>PAGADO</v>
      </c>
    </row>
    <row r="3215" spans="1:11" x14ac:dyDescent="0.25">
      <c r="A3215">
        <v>2025</v>
      </c>
      <c r="C3215" s="9" t="s">
        <v>2601</v>
      </c>
      <c r="D3215" s="9" t="s">
        <v>2965</v>
      </c>
      <c r="F3215" s="6">
        <v>80</v>
      </c>
      <c r="G3215" s="6">
        <f t="shared" si="166"/>
        <v>80</v>
      </c>
      <c r="H3215" s="6">
        <v>80</v>
      </c>
      <c r="I3215" s="26">
        <f t="shared" si="164"/>
        <v>0</v>
      </c>
      <c r="J3215" s="7" t="str">
        <f t="shared" si="165"/>
        <v>PAGADO</v>
      </c>
    </row>
    <row r="3216" spans="1:11" x14ac:dyDescent="0.25">
      <c r="A3216">
        <v>2025</v>
      </c>
      <c r="C3216" s="9" t="s">
        <v>3104</v>
      </c>
      <c r="D3216" s="9" t="s">
        <v>2820</v>
      </c>
      <c r="F3216" s="6">
        <v>65</v>
      </c>
      <c r="G3216" s="6">
        <f t="shared" si="166"/>
        <v>65</v>
      </c>
      <c r="H3216" s="6">
        <v>65</v>
      </c>
      <c r="I3216" s="26">
        <f t="shared" si="164"/>
        <v>0</v>
      </c>
      <c r="J3216" s="7" t="str">
        <f t="shared" si="165"/>
        <v>PAGADO</v>
      </c>
    </row>
    <row r="3217" spans="1:11" x14ac:dyDescent="0.25">
      <c r="A3217">
        <v>2025</v>
      </c>
      <c r="C3217" s="9" t="s">
        <v>3105</v>
      </c>
      <c r="D3217" s="9" t="s">
        <v>2820</v>
      </c>
      <c r="F3217" s="6">
        <v>65</v>
      </c>
      <c r="G3217" s="6">
        <f t="shared" si="166"/>
        <v>65</v>
      </c>
      <c r="H3217" s="6">
        <v>65</v>
      </c>
      <c r="I3217" s="26">
        <f t="shared" si="164"/>
        <v>0</v>
      </c>
      <c r="J3217" s="7" t="str">
        <f t="shared" si="165"/>
        <v>PAGADO</v>
      </c>
    </row>
    <row r="3218" spans="1:11" x14ac:dyDescent="0.25">
      <c r="A3218">
        <v>2025</v>
      </c>
      <c r="C3218" s="9" t="s">
        <v>3106</v>
      </c>
      <c r="D3218" s="9" t="s">
        <v>18</v>
      </c>
      <c r="F3218" s="6">
        <v>110</v>
      </c>
      <c r="G3218" s="6">
        <f t="shared" si="166"/>
        <v>110</v>
      </c>
      <c r="H3218" s="6">
        <f>50+50+10</f>
        <v>110</v>
      </c>
      <c r="I3218" s="26">
        <f t="shared" ref="I3218:I3281" si="167">F3218-H3218</f>
        <v>0</v>
      </c>
      <c r="J3218" s="7" t="str">
        <f t="shared" ref="J3218:J3281" si="168">IF(I3218&gt;0,"DEBE","PAGADO")</f>
        <v>PAGADO</v>
      </c>
    </row>
    <row r="3219" spans="1:11" x14ac:dyDescent="0.25">
      <c r="A3219">
        <v>2025</v>
      </c>
      <c r="C3219" s="9" t="s">
        <v>3107</v>
      </c>
      <c r="D3219" s="9" t="s">
        <v>18</v>
      </c>
      <c r="F3219" s="6">
        <v>25</v>
      </c>
      <c r="G3219" s="6">
        <f t="shared" si="166"/>
        <v>25</v>
      </c>
      <c r="H3219" s="6">
        <v>25</v>
      </c>
      <c r="I3219" s="26">
        <f t="shared" si="167"/>
        <v>0</v>
      </c>
      <c r="J3219" s="7" t="str">
        <f t="shared" si="168"/>
        <v>PAGADO</v>
      </c>
    </row>
    <row r="3220" spans="1:11" x14ac:dyDescent="0.25">
      <c r="A3220">
        <v>2025</v>
      </c>
      <c r="C3220" s="9" t="s">
        <v>3107</v>
      </c>
      <c r="D3220" s="9" t="s">
        <v>1425</v>
      </c>
      <c r="F3220" s="6">
        <v>25</v>
      </c>
      <c r="G3220" s="6">
        <f t="shared" si="166"/>
        <v>25</v>
      </c>
      <c r="H3220" s="24">
        <v>25</v>
      </c>
      <c r="I3220" s="26">
        <f t="shared" si="167"/>
        <v>0</v>
      </c>
      <c r="J3220" s="7" t="str">
        <f t="shared" si="168"/>
        <v>PAGADO</v>
      </c>
      <c r="K3220" s="33" t="s">
        <v>3108</v>
      </c>
    </row>
    <row r="3221" spans="1:11" x14ac:dyDescent="0.25">
      <c r="A3221">
        <v>2025</v>
      </c>
      <c r="C3221" s="9" t="s">
        <v>2039</v>
      </c>
      <c r="D3221" s="9" t="s">
        <v>2402</v>
      </c>
      <c r="F3221" s="6">
        <v>65</v>
      </c>
      <c r="G3221" s="6">
        <f t="shared" si="166"/>
        <v>65</v>
      </c>
      <c r="H3221" s="6">
        <f>50+15</f>
        <v>65</v>
      </c>
      <c r="I3221" s="26">
        <f t="shared" si="167"/>
        <v>0</v>
      </c>
      <c r="J3221" s="7" t="str">
        <f t="shared" si="168"/>
        <v>PAGADO</v>
      </c>
    </row>
    <row r="3222" spans="1:11" x14ac:dyDescent="0.25">
      <c r="A3222">
        <v>2025</v>
      </c>
      <c r="C3222" s="9" t="s">
        <v>3109</v>
      </c>
      <c r="D3222" s="9" t="s">
        <v>2147</v>
      </c>
      <c r="F3222" s="6">
        <v>130</v>
      </c>
      <c r="G3222" s="6">
        <f t="shared" si="166"/>
        <v>130</v>
      </c>
      <c r="H3222" s="6">
        <v>130</v>
      </c>
      <c r="I3222" s="26">
        <f t="shared" si="167"/>
        <v>0</v>
      </c>
      <c r="J3222" s="7" t="str">
        <f t="shared" si="168"/>
        <v>PAGADO</v>
      </c>
    </row>
    <row r="3223" spans="1:11" x14ac:dyDescent="0.25">
      <c r="A3223">
        <v>2025</v>
      </c>
      <c r="C3223" s="9" t="s">
        <v>1007</v>
      </c>
      <c r="D3223" s="9" t="s">
        <v>3110</v>
      </c>
      <c r="F3223" s="6">
        <v>70</v>
      </c>
      <c r="G3223" s="6">
        <f t="shared" si="166"/>
        <v>70</v>
      </c>
      <c r="H3223" s="6">
        <v>70</v>
      </c>
      <c r="I3223" s="26">
        <f t="shared" si="167"/>
        <v>0</v>
      </c>
      <c r="J3223" s="7" t="str">
        <f t="shared" si="168"/>
        <v>PAGADO</v>
      </c>
    </row>
    <row r="3224" spans="1:11" x14ac:dyDescent="0.25">
      <c r="A3224">
        <v>2025</v>
      </c>
      <c r="C3224" s="9" t="s">
        <v>2013</v>
      </c>
      <c r="D3224" s="9" t="s">
        <v>3110</v>
      </c>
      <c r="F3224" s="6">
        <v>80</v>
      </c>
      <c r="G3224" s="6">
        <f t="shared" si="166"/>
        <v>80</v>
      </c>
      <c r="H3224" s="6">
        <v>80</v>
      </c>
      <c r="I3224" s="26">
        <f t="shared" si="167"/>
        <v>0</v>
      </c>
      <c r="J3224" s="7" t="str">
        <f t="shared" si="168"/>
        <v>PAGADO</v>
      </c>
    </row>
    <row r="3225" spans="1:11" x14ac:dyDescent="0.25">
      <c r="A3225">
        <v>2025</v>
      </c>
      <c r="C3225" s="9" t="s">
        <v>2182</v>
      </c>
      <c r="D3225" s="9" t="s">
        <v>3111</v>
      </c>
      <c r="F3225" s="6">
        <v>70</v>
      </c>
      <c r="G3225" s="6">
        <f t="shared" si="166"/>
        <v>70</v>
      </c>
      <c r="H3225" s="6">
        <v>70</v>
      </c>
      <c r="I3225" s="26">
        <f t="shared" si="167"/>
        <v>0</v>
      </c>
      <c r="J3225" s="7" t="str">
        <f t="shared" si="168"/>
        <v>PAGADO</v>
      </c>
    </row>
    <row r="3226" spans="1:11" x14ac:dyDescent="0.25">
      <c r="A3226">
        <v>2025</v>
      </c>
      <c r="C3226" s="9" t="s">
        <v>499</v>
      </c>
      <c r="D3226" s="9" t="s">
        <v>3111</v>
      </c>
      <c r="F3226" s="6">
        <v>70</v>
      </c>
      <c r="G3226" s="6">
        <f t="shared" si="166"/>
        <v>70</v>
      </c>
      <c r="H3226" s="6">
        <v>70</v>
      </c>
      <c r="I3226" s="26">
        <f t="shared" si="167"/>
        <v>0</v>
      </c>
      <c r="J3226" s="7" t="str">
        <f t="shared" si="168"/>
        <v>PAGADO</v>
      </c>
    </row>
    <row r="3227" spans="1:11" x14ac:dyDescent="0.25">
      <c r="A3227">
        <v>2025</v>
      </c>
      <c r="C3227" s="9" t="s">
        <v>3112</v>
      </c>
      <c r="D3227" s="9" t="s">
        <v>1679</v>
      </c>
      <c r="F3227" s="6">
        <v>110</v>
      </c>
      <c r="G3227" s="6">
        <f t="shared" si="166"/>
        <v>110</v>
      </c>
      <c r="H3227" s="6">
        <v>110</v>
      </c>
      <c r="I3227" s="26">
        <f t="shared" si="167"/>
        <v>0</v>
      </c>
      <c r="J3227" s="7" t="str">
        <f t="shared" si="168"/>
        <v>PAGADO</v>
      </c>
    </row>
    <row r="3228" spans="1:11" x14ac:dyDescent="0.25">
      <c r="A3228">
        <v>2025</v>
      </c>
      <c r="C3228" s="9" t="s">
        <v>3113</v>
      </c>
      <c r="D3228" s="9" t="s">
        <v>3114</v>
      </c>
      <c r="F3228" s="6">
        <v>130</v>
      </c>
      <c r="G3228" s="6">
        <f t="shared" si="166"/>
        <v>130</v>
      </c>
      <c r="H3228" s="6">
        <f>65+65</f>
        <v>130</v>
      </c>
      <c r="I3228" s="26">
        <f t="shared" si="167"/>
        <v>0</v>
      </c>
      <c r="J3228" s="7" t="str">
        <f t="shared" si="168"/>
        <v>PAGADO</v>
      </c>
    </row>
    <row r="3229" spans="1:11" x14ac:dyDescent="0.25">
      <c r="A3229">
        <v>2025</v>
      </c>
      <c r="C3229" s="9" t="s">
        <v>2901</v>
      </c>
      <c r="D3229" s="9" t="s">
        <v>3114</v>
      </c>
      <c r="F3229" s="6">
        <v>80</v>
      </c>
      <c r="G3229" s="6">
        <f t="shared" si="166"/>
        <v>80</v>
      </c>
      <c r="H3229" s="6">
        <f>40+40</f>
        <v>80</v>
      </c>
      <c r="I3229" s="26">
        <f t="shared" si="167"/>
        <v>0</v>
      </c>
      <c r="J3229" s="7" t="str">
        <f t="shared" si="168"/>
        <v>PAGADO</v>
      </c>
    </row>
    <row r="3230" spans="1:11" x14ac:dyDescent="0.25">
      <c r="A3230">
        <v>2025</v>
      </c>
      <c r="C3230" s="9" t="s">
        <v>3115</v>
      </c>
      <c r="D3230" s="9" t="s">
        <v>3116</v>
      </c>
      <c r="F3230" s="6">
        <v>70</v>
      </c>
      <c r="G3230" s="6">
        <f t="shared" si="166"/>
        <v>70</v>
      </c>
      <c r="H3230" s="6">
        <v>70</v>
      </c>
      <c r="I3230" s="26">
        <f t="shared" si="167"/>
        <v>0</v>
      </c>
      <c r="J3230" s="7" t="str">
        <f t="shared" si="168"/>
        <v>PAGADO</v>
      </c>
    </row>
    <row r="3231" spans="1:11" x14ac:dyDescent="0.25">
      <c r="A3231">
        <v>2025</v>
      </c>
      <c r="C3231" s="9" t="s">
        <v>3117</v>
      </c>
      <c r="D3231" s="9" t="s">
        <v>3118</v>
      </c>
      <c r="F3231" s="6">
        <v>65</v>
      </c>
      <c r="G3231" s="6">
        <f t="shared" si="166"/>
        <v>65</v>
      </c>
      <c r="H3231" s="6">
        <v>65</v>
      </c>
      <c r="I3231" s="26">
        <f t="shared" si="167"/>
        <v>0</v>
      </c>
      <c r="J3231" s="7" t="str">
        <f t="shared" si="168"/>
        <v>PAGADO</v>
      </c>
    </row>
    <row r="3232" spans="1:11" x14ac:dyDescent="0.25">
      <c r="A3232">
        <v>2025</v>
      </c>
      <c r="C3232" t="s">
        <v>3119</v>
      </c>
      <c r="D3232" s="9" t="s">
        <v>1504</v>
      </c>
      <c r="F3232" s="6">
        <v>80</v>
      </c>
      <c r="G3232" s="6">
        <f t="shared" si="166"/>
        <v>80</v>
      </c>
      <c r="H3232" s="6">
        <v>80</v>
      </c>
      <c r="I3232" s="26">
        <f t="shared" si="167"/>
        <v>0</v>
      </c>
      <c r="J3232" s="7" t="str">
        <f t="shared" si="168"/>
        <v>PAGADO</v>
      </c>
      <c r="K3232" s="33" t="s">
        <v>693</v>
      </c>
    </row>
    <row r="3233" spans="1:12" x14ac:dyDescent="0.25">
      <c r="A3233">
        <v>2025</v>
      </c>
      <c r="C3233" t="s">
        <v>3120</v>
      </c>
      <c r="D3233" t="s">
        <v>3085</v>
      </c>
      <c r="F3233" s="6">
        <v>50</v>
      </c>
      <c r="G3233" s="6">
        <f t="shared" si="166"/>
        <v>50</v>
      </c>
      <c r="H3233" s="6">
        <v>50</v>
      </c>
      <c r="I3233" s="26">
        <f t="shared" si="167"/>
        <v>0</v>
      </c>
      <c r="J3233" s="7" t="str">
        <f t="shared" si="168"/>
        <v>PAGADO</v>
      </c>
    </row>
    <row r="3234" spans="1:12" x14ac:dyDescent="0.25">
      <c r="A3234" s="76">
        <v>2025</v>
      </c>
      <c r="B3234" s="76"/>
      <c r="C3234" s="76" t="s">
        <v>3121</v>
      </c>
      <c r="D3234" s="76" t="s">
        <v>2685</v>
      </c>
      <c r="E3234" s="77"/>
      <c r="F3234" s="46">
        <v>320</v>
      </c>
      <c r="G3234" s="46">
        <f t="shared" si="166"/>
        <v>320</v>
      </c>
      <c r="H3234" s="46">
        <v>155</v>
      </c>
      <c r="I3234" s="46">
        <f t="shared" si="167"/>
        <v>165</v>
      </c>
      <c r="J3234" s="78" t="str">
        <f t="shared" si="168"/>
        <v>DEBE</v>
      </c>
      <c r="K3234" s="79" t="s">
        <v>3122</v>
      </c>
      <c r="L3234" t="s">
        <v>3123</v>
      </c>
    </row>
    <row r="3235" spans="1:12" x14ac:dyDescent="0.25">
      <c r="A3235">
        <v>2025</v>
      </c>
      <c r="C3235" t="s">
        <v>3124</v>
      </c>
      <c r="D3235" t="s">
        <v>3125</v>
      </c>
      <c r="F3235" s="6">
        <v>65</v>
      </c>
      <c r="G3235" s="6">
        <f t="shared" si="166"/>
        <v>65</v>
      </c>
      <c r="H3235" s="6">
        <v>65</v>
      </c>
      <c r="I3235" s="26">
        <f t="shared" si="167"/>
        <v>0</v>
      </c>
      <c r="J3235" s="7" t="str">
        <f t="shared" si="168"/>
        <v>PAGADO</v>
      </c>
    </row>
    <row r="3236" spans="1:12" x14ac:dyDescent="0.25">
      <c r="A3236">
        <v>2025</v>
      </c>
      <c r="C3236" t="s">
        <v>3126</v>
      </c>
      <c r="D3236" t="s">
        <v>3125</v>
      </c>
      <c r="F3236" s="6">
        <v>65</v>
      </c>
      <c r="G3236" s="6">
        <f t="shared" si="166"/>
        <v>65</v>
      </c>
      <c r="H3236" s="6">
        <v>65</v>
      </c>
      <c r="I3236" s="26">
        <f t="shared" si="167"/>
        <v>0</v>
      </c>
      <c r="J3236" s="7" t="str">
        <f t="shared" si="168"/>
        <v>PAGADO</v>
      </c>
    </row>
    <row r="3237" spans="1:12" x14ac:dyDescent="0.25">
      <c r="A3237">
        <v>2025</v>
      </c>
      <c r="C3237" s="9" t="s">
        <v>1258</v>
      </c>
      <c r="D3237" s="9" t="s">
        <v>3127</v>
      </c>
      <c r="F3237" s="6">
        <v>80</v>
      </c>
      <c r="G3237" s="6">
        <f t="shared" si="166"/>
        <v>80</v>
      </c>
      <c r="H3237" s="6">
        <f>20+60</f>
        <v>80</v>
      </c>
      <c r="I3237" s="26">
        <f t="shared" si="167"/>
        <v>0</v>
      </c>
      <c r="J3237" s="7" t="str">
        <f t="shared" si="168"/>
        <v>PAGADO</v>
      </c>
    </row>
    <row r="3238" spans="1:12" x14ac:dyDescent="0.25">
      <c r="A3238">
        <v>2025</v>
      </c>
      <c r="C3238" s="9" t="s">
        <v>3128</v>
      </c>
      <c r="D3238" s="9" t="s">
        <v>2180</v>
      </c>
      <c r="F3238" s="6">
        <v>210</v>
      </c>
      <c r="G3238" s="6">
        <f t="shared" si="166"/>
        <v>210</v>
      </c>
      <c r="H3238" s="6">
        <v>210</v>
      </c>
      <c r="I3238" s="26">
        <f t="shared" si="167"/>
        <v>0</v>
      </c>
      <c r="J3238" s="7" t="str">
        <f t="shared" si="168"/>
        <v>PAGADO</v>
      </c>
      <c r="K3238" s="33" t="s">
        <v>2640</v>
      </c>
    </row>
    <row r="3239" spans="1:12" x14ac:dyDescent="0.25">
      <c r="A3239">
        <v>2025</v>
      </c>
      <c r="C3239" s="9" t="s">
        <v>3129</v>
      </c>
      <c r="D3239" s="9" t="s">
        <v>3130</v>
      </c>
      <c r="F3239" s="6">
        <v>75</v>
      </c>
      <c r="G3239" s="6">
        <f t="shared" si="166"/>
        <v>75</v>
      </c>
      <c r="H3239" s="6">
        <v>75</v>
      </c>
      <c r="I3239" s="26">
        <f t="shared" si="167"/>
        <v>0</v>
      </c>
      <c r="J3239" s="7" t="str">
        <f t="shared" si="168"/>
        <v>PAGADO</v>
      </c>
    </row>
    <row r="3240" spans="1:12" x14ac:dyDescent="0.25">
      <c r="A3240">
        <v>2025</v>
      </c>
      <c r="C3240" s="9" t="s">
        <v>3131</v>
      </c>
      <c r="D3240" s="9" t="s">
        <v>3132</v>
      </c>
      <c r="F3240" s="6">
        <v>180</v>
      </c>
      <c r="G3240" s="6">
        <f t="shared" si="166"/>
        <v>180</v>
      </c>
      <c r="H3240" s="6">
        <v>180</v>
      </c>
      <c r="I3240" s="26">
        <f t="shared" si="167"/>
        <v>0</v>
      </c>
      <c r="J3240" s="7" t="str">
        <f t="shared" si="168"/>
        <v>PAGADO</v>
      </c>
    </row>
    <row r="3241" spans="1:12" x14ac:dyDescent="0.25">
      <c r="A3241">
        <v>2025</v>
      </c>
      <c r="C3241" s="9" t="s">
        <v>3133</v>
      </c>
      <c r="D3241" s="9" t="s">
        <v>3132</v>
      </c>
      <c r="F3241" s="6">
        <v>180</v>
      </c>
      <c r="G3241" s="6">
        <f t="shared" si="166"/>
        <v>180</v>
      </c>
      <c r="H3241" s="6">
        <v>180</v>
      </c>
      <c r="I3241" s="26">
        <f t="shared" si="167"/>
        <v>0</v>
      </c>
      <c r="J3241" s="7" t="str">
        <f t="shared" si="168"/>
        <v>PAGADO</v>
      </c>
    </row>
    <row r="3242" spans="1:12" x14ac:dyDescent="0.25">
      <c r="A3242">
        <v>2025</v>
      </c>
      <c r="C3242" s="9" t="s">
        <v>535</v>
      </c>
      <c r="D3242" s="9" t="s">
        <v>3134</v>
      </c>
      <c r="F3242" s="6">
        <v>70</v>
      </c>
      <c r="G3242" s="6">
        <f t="shared" si="166"/>
        <v>70</v>
      </c>
      <c r="H3242" s="6">
        <f>10+60</f>
        <v>70</v>
      </c>
      <c r="I3242" s="26">
        <f t="shared" si="167"/>
        <v>0</v>
      </c>
      <c r="J3242" s="7" t="str">
        <f t="shared" si="168"/>
        <v>PAGADO</v>
      </c>
    </row>
    <row r="3243" spans="1:12" x14ac:dyDescent="0.25">
      <c r="A3243">
        <v>2025</v>
      </c>
      <c r="C3243" s="9" t="s">
        <v>2052</v>
      </c>
      <c r="D3243" s="9" t="s">
        <v>3135</v>
      </c>
      <c r="F3243" s="6">
        <v>250</v>
      </c>
      <c r="G3243" s="6">
        <f t="shared" si="166"/>
        <v>250</v>
      </c>
      <c r="H3243" s="6">
        <f>100+150</f>
        <v>250</v>
      </c>
      <c r="I3243" s="26">
        <f t="shared" si="167"/>
        <v>0</v>
      </c>
      <c r="J3243" s="7" t="str">
        <f t="shared" si="168"/>
        <v>PAGADO</v>
      </c>
    </row>
    <row r="3244" spans="1:12" x14ac:dyDescent="0.25">
      <c r="A3244">
        <v>2025</v>
      </c>
      <c r="C3244" s="9" t="s">
        <v>3136</v>
      </c>
      <c r="D3244" s="9" t="s">
        <v>2906</v>
      </c>
      <c r="F3244" s="6">
        <v>90</v>
      </c>
      <c r="G3244" s="6">
        <f t="shared" si="166"/>
        <v>90</v>
      </c>
      <c r="H3244" s="6">
        <f>45+45</f>
        <v>90</v>
      </c>
      <c r="I3244" s="26">
        <f t="shared" si="167"/>
        <v>0</v>
      </c>
      <c r="J3244" s="7" t="str">
        <f t="shared" si="168"/>
        <v>PAGADO</v>
      </c>
      <c r="K3244" s="33" t="s">
        <v>2479</v>
      </c>
    </row>
    <row r="3245" spans="1:12" x14ac:dyDescent="0.25">
      <c r="A3245">
        <v>2025</v>
      </c>
      <c r="C3245" s="9" t="s">
        <v>3137</v>
      </c>
      <c r="D3245" s="9" t="s">
        <v>488</v>
      </c>
      <c r="F3245" s="6">
        <v>15</v>
      </c>
      <c r="G3245" s="6">
        <f t="shared" si="166"/>
        <v>15</v>
      </c>
      <c r="H3245" s="6">
        <v>15</v>
      </c>
      <c r="I3245" s="26">
        <f t="shared" si="167"/>
        <v>0</v>
      </c>
      <c r="J3245" s="7" t="str">
        <f t="shared" si="168"/>
        <v>PAGADO</v>
      </c>
    </row>
    <row r="3246" spans="1:12" x14ac:dyDescent="0.25">
      <c r="A3246">
        <v>2025</v>
      </c>
      <c r="C3246" s="9" t="s">
        <v>3138</v>
      </c>
      <c r="D3246" s="9" t="s">
        <v>3038</v>
      </c>
      <c r="F3246" s="6">
        <v>330</v>
      </c>
      <c r="G3246" s="6">
        <f t="shared" si="166"/>
        <v>330</v>
      </c>
      <c r="H3246" s="6">
        <v>330</v>
      </c>
      <c r="I3246" s="26">
        <f t="shared" si="167"/>
        <v>0</v>
      </c>
      <c r="J3246" s="7" t="str">
        <f t="shared" si="168"/>
        <v>PAGADO</v>
      </c>
    </row>
    <row r="3247" spans="1:12" x14ac:dyDescent="0.25">
      <c r="A3247">
        <v>2025</v>
      </c>
      <c r="C3247" t="s">
        <v>3139</v>
      </c>
      <c r="D3247" s="9" t="s">
        <v>3060</v>
      </c>
      <c r="F3247" s="6">
        <v>50</v>
      </c>
      <c r="G3247" s="6">
        <f t="shared" si="166"/>
        <v>50</v>
      </c>
      <c r="H3247" s="6">
        <f>20+30</f>
        <v>50</v>
      </c>
      <c r="I3247" s="26">
        <f t="shared" si="167"/>
        <v>0</v>
      </c>
      <c r="J3247" s="7" t="str">
        <f t="shared" si="168"/>
        <v>PAGADO</v>
      </c>
    </row>
    <row r="3248" spans="1:12" x14ac:dyDescent="0.25">
      <c r="A3248">
        <v>2025</v>
      </c>
      <c r="C3248" s="9" t="s">
        <v>3140</v>
      </c>
      <c r="D3248" s="9" t="s">
        <v>680</v>
      </c>
      <c r="F3248" s="6">
        <v>140</v>
      </c>
      <c r="G3248" s="6">
        <f t="shared" si="166"/>
        <v>140</v>
      </c>
      <c r="H3248" s="6">
        <v>140</v>
      </c>
      <c r="I3248" s="26">
        <f t="shared" si="167"/>
        <v>0</v>
      </c>
      <c r="J3248" s="7" t="str">
        <f t="shared" si="168"/>
        <v>PAGADO</v>
      </c>
    </row>
    <row r="3249" spans="1:11" x14ac:dyDescent="0.25">
      <c r="A3249">
        <v>2025</v>
      </c>
      <c r="C3249" t="s">
        <v>2951</v>
      </c>
      <c r="D3249" t="s">
        <v>2105</v>
      </c>
      <c r="F3249" s="6">
        <v>80</v>
      </c>
      <c r="G3249" s="6">
        <f t="shared" si="166"/>
        <v>80</v>
      </c>
      <c r="H3249" s="6">
        <v>80</v>
      </c>
      <c r="I3249" s="26">
        <f t="shared" si="167"/>
        <v>0</v>
      </c>
      <c r="J3249" s="7" t="str">
        <f t="shared" si="168"/>
        <v>PAGADO</v>
      </c>
      <c r="K3249" s="33" t="s">
        <v>1815</v>
      </c>
    </row>
    <row r="3250" spans="1:11" x14ac:dyDescent="0.25">
      <c r="A3250">
        <v>2025</v>
      </c>
      <c r="C3250" s="9" t="s">
        <v>3141</v>
      </c>
      <c r="D3250" s="9" t="s">
        <v>3142</v>
      </c>
      <c r="F3250" s="6">
        <v>55</v>
      </c>
      <c r="G3250" s="6">
        <f t="shared" si="166"/>
        <v>55</v>
      </c>
      <c r="H3250" s="6">
        <f>30+25</f>
        <v>55</v>
      </c>
      <c r="I3250" s="26">
        <f t="shared" si="167"/>
        <v>0</v>
      </c>
      <c r="J3250" s="7" t="str">
        <f t="shared" si="168"/>
        <v>PAGADO</v>
      </c>
    </row>
    <row r="3251" spans="1:11" x14ac:dyDescent="0.25">
      <c r="A3251">
        <v>2025</v>
      </c>
      <c r="C3251" s="9" t="s">
        <v>554</v>
      </c>
      <c r="D3251" s="9" t="s">
        <v>3143</v>
      </c>
      <c r="F3251" s="6">
        <v>45</v>
      </c>
      <c r="G3251" s="6">
        <f t="shared" si="166"/>
        <v>45</v>
      </c>
      <c r="H3251" s="6">
        <v>45</v>
      </c>
      <c r="I3251" s="26">
        <f t="shared" si="167"/>
        <v>0</v>
      </c>
      <c r="J3251" s="7" t="str">
        <f t="shared" si="168"/>
        <v>PAGADO</v>
      </c>
    </row>
    <row r="3252" spans="1:11" x14ac:dyDescent="0.25">
      <c r="A3252">
        <v>2025</v>
      </c>
      <c r="C3252" s="9" t="s">
        <v>3144</v>
      </c>
      <c r="D3252" s="9" t="s">
        <v>3143</v>
      </c>
      <c r="F3252" s="6">
        <v>45</v>
      </c>
      <c r="G3252" s="6">
        <f t="shared" si="166"/>
        <v>45</v>
      </c>
      <c r="H3252" s="6">
        <v>45</v>
      </c>
      <c r="I3252" s="26">
        <f t="shared" si="167"/>
        <v>0</v>
      </c>
      <c r="J3252" s="7" t="str">
        <f t="shared" si="168"/>
        <v>PAGADO</v>
      </c>
    </row>
    <row r="3253" spans="1:11" x14ac:dyDescent="0.25">
      <c r="A3253">
        <v>2025</v>
      </c>
      <c r="C3253" s="9" t="s">
        <v>3145</v>
      </c>
      <c r="D3253" s="9" t="s">
        <v>3143</v>
      </c>
      <c r="F3253" s="6">
        <v>45</v>
      </c>
      <c r="G3253" s="6">
        <f t="shared" si="166"/>
        <v>45</v>
      </c>
      <c r="H3253" s="6">
        <v>45</v>
      </c>
      <c r="I3253" s="26">
        <f t="shared" si="167"/>
        <v>0</v>
      </c>
      <c r="J3253" s="7" t="str">
        <f t="shared" si="168"/>
        <v>PAGADO</v>
      </c>
    </row>
    <row r="3254" spans="1:11" x14ac:dyDescent="0.25">
      <c r="A3254">
        <v>2025</v>
      </c>
      <c r="C3254" s="9" t="s">
        <v>3146</v>
      </c>
      <c r="D3254" s="9" t="s">
        <v>18</v>
      </c>
      <c r="F3254" s="6">
        <v>270</v>
      </c>
      <c r="G3254" s="6">
        <f t="shared" si="166"/>
        <v>270</v>
      </c>
      <c r="H3254" s="6">
        <f>135+40+95</f>
        <v>270</v>
      </c>
      <c r="I3254" s="26">
        <f t="shared" si="167"/>
        <v>0</v>
      </c>
      <c r="J3254" s="7" t="str">
        <f t="shared" si="168"/>
        <v>PAGADO</v>
      </c>
    </row>
    <row r="3255" spans="1:11" x14ac:dyDescent="0.25">
      <c r="A3255">
        <v>2025</v>
      </c>
      <c r="C3255" s="9" t="s">
        <v>3147</v>
      </c>
      <c r="D3255" s="9" t="s">
        <v>1606</v>
      </c>
      <c r="F3255" s="6">
        <v>70</v>
      </c>
      <c r="G3255" s="6">
        <f t="shared" si="166"/>
        <v>70</v>
      </c>
      <c r="H3255" s="6">
        <v>70</v>
      </c>
      <c r="I3255" s="26">
        <f t="shared" si="167"/>
        <v>0</v>
      </c>
      <c r="J3255" s="7" t="str">
        <f t="shared" si="168"/>
        <v>PAGADO</v>
      </c>
    </row>
    <row r="3256" spans="1:11" x14ac:dyDescent="0.25">
      <c r="A3256">
        <v>2025</v>
      </c>
      <c r="C3256" s="9" t="s">
        <v>3148</v>
      </c>
      <c r="D3256" s="9" t="s">
        <v>3149</v>
      </c>
      <c r="F3256" s="6">
        <v>70</v>
      </c>
      <c r="G3256" s="6">
        <f t="shared" si="166"/>
        <v>70</v>
      </c>
      <c r="H3256" s="6">
        <v>70</v>
      </c>
      <c r="I3256" s="26">
        <f t="shared" si="167"/>
        <v>0</v>
      </c>
      <c r="J3256" s="7" t="str">
        <f t="shared" si="168"/>
        <v>PAGADO</v>
      </c>
    </row>
    <row r="3257" spans="1:11" x14ac:dyDescent="0.25">
      <c r="A3257">
        <v>2025</v>
      </c>
      <c r="C3257" s="9" t="s">
        <v>2533</v>
      </c>
      <c r="D3257" s="9" t="s">
        <v>3150</v>
      </c>
      <c r="F3257" s="6">
        <v>60</v>
      </c>
      <c r="G3257" s="6">
        <f t="shared" si="166"/>
        <v>60</v>
      </c>
      <c r="H3257" s="6">
        <v>60</v>
      </c>
      <c r="I3257" s="26">
        <f t="shared" si="167"/>
        <v>0</v>
      </c>
      <c r="J3257" s="7" t="str">
        <f t="shared" si="168"/>
        <v>PAGADO</v>
      </c>
    </row>
    <row r="3258" spans="1:11" x14ac:dyDescent="0.25">
      <c r="A3258">
        <v>2025</v>
      </c>
      <c r="C3258" s="9" t="s">
        <v>3151</v>
      </c>
      <c r="D3258" s="9" t="s">
        <v>700</v>
      </c>
      <c r="F3258" s="6">
        <v>60</v>
      </c>
      <c r="G3258" s="6">
        <f t="shared" si="166"/>
        <v>60</v>
      </c>
      <c r="H3258" s="6">
        <v>60</v>
      </c>
      <c r="I3258" s="26">
        <f t="shared" si="167"/>
        <v>0</v>
      </c>
      <c r="J3258" s="7" t="str">
        <f t="shared" si="168"/>
        <v>PAGADO</v>
      </c>
    </row>
    <row r="3259" spans="1:11" x14ac:dyDescent="0.25">
      <c r="A3259">
        <v>2025</v>
      </c>
      <c r="C3259" s="9" t="s">
        <v>3152</v>
      </c>
      <c r="D3259" s="9" t="s">
        <v>2018</v>
      </c>
      <c r="F3259" s="6">
        <v>130</v>
      </c>
      <c r="G3259" s="6">
        <f t="shared" si="166"/>
        <v>130</v>
      </c>
      <c r="H3259" s="6">
        <f>30+100</f>
        <v>130</v>
      </c>
      <c r="I3259" s="26">
        <f t="shared" si="167"/>
        <v>0</v>
      </c>
      <c r="J3259" s="7" t="str">
        <f t="shared" si="168"/>
        <v>PAGADO</v>
      </c>
    </row>
    <row r="3260" spans="1:11" x14ac:dyDescent="0.25">
      <c r="A3260">
        <v>2025</v>
      </c>
      <c r="C3260" s="9" t="s">
        <v>3153</v>
      </c>
      <c r="D3260" s="9" t="s">
        <v>2278</v>
      </c>
      <c r="F3260" s="6">
        <v>60</v>
      </c>
      <c r="G3260" s="6">
        <f t="shared" si="166"/>
        <v>60</v>
      </c>
      <c r="H3260" s="6">
        <v>60</v>
      </c>
      <c r="I3260" s="48">
        <f t="shared" si="167"/>
        <v>0</v>
      </c>
      <c r="J3260" s="7" t="str">
        <f t="shared" si="168"/>
        <v>PAGADO</v>
      </c>
      <c r="K3260" s="60" t="s">
        <v>693</v>
      </c>
    </row>
    <row r="3261" spans="1:11" x14ac:dyDescent="0.25">
      <c r="A3261">
        <v>2025</v>
      </c>
      <c r="C3261" s="9" t="s">
        <v>3154</v>
      </c>
      <c r="D3261" s="9" t="s">
        <v>2278</v>
      </c>
      <c r="F3261" s="6">
        <v>32</v>
      </c>
      <c r="G3261" s="6">
        <f t="shared" si="166"/>
        <v>32</v>
      </c>
      <c r="H3261" s="6">
        <v>32</v>
      </c>
      <c r="I3261" s="48">
        <f t="shared" si="167"/>
        <v>0</v>
      </c>
      <c r="J3261" s="7" t="str">
        <f t="shared" si="168"/>
        <v>PAGADO</v>
      </c>
      <c r="K3261" s="60" t="s">
        <v>693</v>
      </c>
    </row>
    <row r="3262" spans="1:11" x14ac:dyDescent="0.25">
      <c r="A3262">
        <v>2025</v>
      </c>
      <c r="C3262" s="9" t="s">
        <v>3155</v>
      </c>
      <c r="D3262" s="9" t="s">
        <v>680</v>
      </c>
      <c r="F3262" s="6">
        <v>50</v>
      </c>
      <c r="G3262" s="6">
        <f t="shared" ref="G3262:G3325" si="169">F3262-E3262</f>
        <v>50</v>
      </c>
      <c r="H3262" s="6">
        <v>50</v>
      </c>
      <c r="I3262" s="6">
        <f t="shared" si="167"/>
        <v>0</v>
      </c>
      <c r="J3262" s="7" t="str">
        <f t="shared" si="168"/>
        <v>PAGADO</v>
      </c>
    </row>
    <row r="3263" spans="1:11" x14ac:dyDescent="0.25">
      <c r="A3263">
        <v>2025</v>
      </c>
      <c r="C3263" t="s">
        <v>3156</v>
      </c>
      <c r="D3263" t="s">
        <v>3085</v>
      </c>
      <c r="F3263" s="6">
        <v>70</v>
      </c>
      <c r="G3263" s="6">
        <f t="shared" si="169"/>
        <v>70</v>
      </c>
      <c r="H3263" s="6">
        <v>70</v>
      </c>
      <c r="I3263" s="26">
        <f t="shared" si="167"/>
        <v>0</v>
      </c>
      <c r="J3263" s="7" t="str">
        <f t="shared" si="168"/>
        <v>PAGADO</v>
      </c>
    </row>
    <row r="3264" spans="1:11" x14ac:dyDescent="0.25">
      <c r="A3264">
        <v>2025</v>
      </c>
      <c r="C3264" t="s">
        <v>3157</v>
      </c>
      <c r="D3264" t="s">
        <v>3158</v>
      </c>
      <c r="F3264" s="6">
        <v>35</v>
      </c>
      <c r="G3264" s="6">
        <f t="shared" si="169"/>
        <v>35</v>
      </c>
      <c r="H3264" s="6">
        <v>35</v>
      </c>
      <c r="I3264" s="26">
        <f t="shared" si="167"/>
        <v>0</v>
      </c>
      <c r="J3264" s="7" t="str">
        <f t="shared" si="168"/>
        <v>PAGADO</v>
      </c>
    </row>
    <row r="3265" spans="1:11" x14ac:dyDescent="0.25">
      <c r="A3265">
        <v>2025</v>
      </c>
      <c r="C3265" s="9" t="s">
        <v>3159</v>
      </c>
      <c r="D3265" s="9" t="s">
        <v>2018</v>
      </c>
      <c r="F3265" s="6">
        <v>70</v>
      </c>
      <c r="G3265" s="6">
        <f t="shared" si="169"/>
        <v>70</v>
      </c>
      <c r="H3265" s="6">
        <v>70</v>
      </c>
      <c r="I3265" s="26">
        <f t="shared" si="167"/>
        <v>0</v>
      </c>
      <c r="J3265" s="7" t="str">
        <f t="shared" si="168"/>
        <v>PAGADO</v>
      </c>
      <c r="K3265" s="9" t="s">
        <v>3086</v>
      </c>
    </row>
    <row r="3266" spans="1:11" x14ac:dyDescent="0.25">
      <c r="A3266">
        <v>2025</v>
      </c>
      <c r="C3266" s="9" t="s">
        <v>3160</v>
      </c>
      <c r="D3266" s="9" t="s">
        <v>2935</v>
      </c>
      <c r="F3266" s="6">
        <v>60</v>
      </c>
      <c r="G3266" s="6">
        <f t="shared" si="169"/>
        <v>60</v>
      </c>
      <c r="H3266" s="6">
        <v>60</v>
      </c>
      <c r="I3266" s="26">
        <f t="shared" si="167"/>
        <v>0</v>
      </c>
      <c r="J3266" s="7" t="str">
        <f t="shared" si="168"/>
        <v>PAGADO</v>
      </c>
    </row>
    <row r="3267" spans="1:11" x14ac:dyDescent="0.25">
      <c r="A3267">
        <v>2025</v>
      </c>
      <c r="C3267" s="9" t="s">
        <v>3161</v>
      </c>
      <c r="D3267" s="9" t="s">
        <v>377</v>
      </c>
      <c r="F3267" s="6">
        <v>50</v>
      </c>
      <c r="G3267" s="6">
        <f t="shared" si="169"/>
        <v>50</v>
      </c>
      <c r="H3267" s="6">
        <v>50</v>
      </c>
      <c r="I3267" s="26">
        <f t="shared" si="167"/>
        <v>0</v>
      </c>
      <c r="J3267" s="7" t="str">
        <f t="shared" si="168"/>
        <v>PAGADO</v>
      </c>
    </row>
    <row r="3268" spans="1:11" x14ac:dyDescent="0.25">
      <c r="A3268">
        <v>2025</v>
      </c>
      <c r="C3268" s="9" t="s">
        <v>3162</v>
      </c>
      <c r="D3268" s="9" t="s">
        <v>2147</v>
      </c>
      <c r="F3268" s="6">
        <v>60</v>
      </c>
      <c r="G3268" s="6">
        <f t="shared" si="169"/>
        <v>60</v>
      </c>
      <c r="H3268" s="6">
        <v>60</v>
      </c>
      <c r="I3268" s="26">
        <f t="shared" si="167"/>
        <v>0</v>
      </c>
      <c r="J3268" s="7" t="str">
        <f t="shared" si="168"/>
        <v>PAGADO</v>
      </c>
    </row>
    <row r="3269" spans="1:11" x14ac:dyDescent="0.25">
      <c r="A3269">
        <v>2025</v>
      </c>
      <c r="C3269" s="9" t="s">
        <v>3163</v>
      </c>
      <c r="D3269" s="9" t="s">
        <v>2147</v>
      </c>
      <c r="F3269" s="6">
        <v>65</v>
      </c>
      <c r="G3269" s="6">
        <f t="shared" si="169"/>
        <v>65</v>
      </c>
      <c r="H3269" s="6">
        <v>65</v>
      </c>
      <c r="I3269" s="26">
        <f t="shared" si="167"/>
        <v>0</v>
      </c>
      <c r="J3269" s="7" t="str">
        <f t="shared" si="168"/>
        <v>PAGADO</v>
      </c>
    </row>
    <row r="3270" spans="1:11" x14ac:dyDescent="0.25">
      <c r="A3270">
        <v>2025</v>
      </c>
      <c r="C3270" s="9" t="s">
        <v>3164</v>
      </c>
      <c r="D3270" s="9" t="s">
        <v>1078</v>
      </c>
      <c r="E3270" s="21"/>
      <c r="F3270" s="6">
        <v>40</v>
      </c>
      <c r="G3270" s="6">
        <f t="shared" si="169"/>
        <v>40</v>
      </c>
      <c r="H3270" s="6">
        <v>40</v>
      </c>
      <c r="I3270" s="26">
        <f t="shared" si="167"/>
        <v>0</v>
      </c>
      <c r="J3270" s="7" t="str">
        <f t="shared" si="168"/>
        <v>PAGADO</v>
      </c>
    </row>
    <row r="3271" spans="1:11" x14ac:dyDescent="0.25">
      <c r="A3271">
        <v>2025</v>
      </c>
      <c r="C3271" s="9" t="s">
        <v>3165</v>
      </c>
      <c r="D3271" s="9" t="s">
        <v>1078</v>
      </c>
      <c r="F3271" s="6">
        <v>45</v>
      </c>
      <c r="G3271" s="6">
        <f t="shared" si="169"/>
        <v>45</v>
      </c>
      <c r="H3271" s="6">
        <v>45</v>
      </c>
      <c r="I3271" s="26">
        <f t="shared" si="167"/>
        <v>0</v>
      </c>
      <c r="J3271" s="7" t="str">
        <f t="shared" si="168"/>
        <v>PAGADO</v>
      </c>
    </row>
    <row r="3272" spans="1:11" x14ac:dyDescent="0.25">
      <c r="A3272">
        <v>2025</v>
      </c>
      <c r="C3272" s="9" t="s">
        <v>3166</v>
      </c>
      <c r="D3272" s="9" t="s">
        <v>2147</v>
      </c>
      <c r="F3272" s="6">
        <v>60</v>
      </c>
      <c r="G3272" s="6">
        <f t="shared" si="169"/>
        <v>60</v>
      </c>
      <c r="H3272" s="6">
        <v>60</v>
      </c>
      <c r="I3272" s="26">
        <f t="shared" si="167"/>
        <v>0</v>
      </c>
      <c r="J3272" s="7" t="str">
        <f t="shared" si="168"/>
        <v>PAGADO</v>
      </c>
    </row>
    <row r="3273" spans="1:11" x14ac:dyDescent="0.25">
      <c r="A3273">
        <v>2025</v>
      </c>
      <c r="C3273" s="9" t="s">
        <v>1699</v>
      </c>
      <c r="D3273" s="9" t="s">
        <v>2058</v>
      </c>
      <c r="F3273" s="6">
        <v>110</v>
      </c>
      <c r="G3273" s="6">
        <f t="shared" si="169"/>
        <v>110</v>
      </c>
      <c r="H3273" s="6">
        <v>110</v>
      </c>
      <c r="I3273" s="26">
        <f t="shared" si="167"/>
        <v>0</v>
      </c>
      <c r="J3273" s="7" t="str">
        <f t="shared" si="168"/>
        <v>PAGADO</v>
      </c>
    </row>
    <row r="3274" spans="1:11" x14ac:dyDescent="0.25">
      <c r="A3274">
        <v>2025</v>
      </c>
      <c r="C3274" s="9" t="s">
        <v>3159</v>
      </c>
      <c r="D3274" s="9" t="s">
        <v>2058</v>
      </c>
      <c r="F3274" s="6">
        <v>70</v>
      </c>
      <c r="G3274" s="6">
        <f t="shared" si="169"/>
        <v>70</v>
      </c>
      <c r="H3274" s="6">
        <v>70</v>
      </c>
      <c r="I3274" s="26">
        <f t="shared" si="167"/>
        <v>0</v>
      </c>
      <c r="J3274" s="7" t="str">
        <f t="shared" si="168"/>
        <v>PAGADO</v>
      </c>
    </row>
    <row r="3275" spans="1:11" x14ac:dyDescent="0.25">
      <c r="A3275">
        <v>2025</v>
      </c>
      <c r="C3275" s="9" t="s">
        <v>2772</v>
      </c>
      <c r="D3275" s="9" t="s">
        <v>2363</v>
      </c>
      <c r="F3275" s="6">
        <v>55</v>
      </c>
      <c r="G3275" s="6">
        <f t="shared" si="169"/>
        <v>55</v>
      </c>
      <c r="H3275" s="6">
        <v>55</v>
      </c>
      <c r="I3275" s="26">
        <f t="shared" si="167"/>
        <v>0</v>
      </c>
      <c r="J3275" s="7" t="str">
        <f t="shared" si="168"/>
        <v>PAGADO</v>
      </c>
      <c r="K3275" s="33" t="s">
        <v>693</v>
      </c>
    </row>
    <row r="3276" spans="1:11" x14ac:dyDescent="0.25">
      <c r="A3276">
        <v>2025</v>
      </c>
      <c r="C3276" s="9" t="s">
        <v>3069</v>
      </c>
      <c r="D3276" s="9" t="s">
        <v>2363</v>
      </c>
      <c r="F3276" s="6">
        <v>70</v>
      </c>
      <c r="G3276" s="6">
        <f t="shared" si="169"/>
        <v>70</v>
      </c>
      <c r="H3276" s="6">
        <v>70</v>
      </c>
      <c r="I3276" s="26">
        <f t="shared" si="167"/>
        <v>0</v>
      </c>
      <c r="J3276" s="7" t="str">
        <f t="shared" si="168"/>
        <v>PAGADO</v>
      </c>
      <c r="K3276" s="33" t="s">
        <v>693</v>
      </c>
    </row>
    <row r="3277" spans="1:11" x14ac:dyDescent="0.25">
      <c r="A3277">
        <v>2025</v>
      </c>
      <c r="C3277" s="9" t="s">
        <v>3167</v>
      </c>
      <c r="D3277" t="s">
        <v>1425</v>
      </c>
      <c r="F3277" s="6">
        <v>25</v>
      </c>
      <c r="G3277" s="6">
        <f t="shared" si="169"/>
        <v>25</v>
      </c>
      <c r="H3277" s="24">
        <v>25</v>
      </c>
      <c r="I3277" s="26">
        <f t="shared" si="167"/>
        <v>0</v>
      </c>
      <c r="J3277" s="7" t="str">
        <f t="shared" si="168"/>
        <v>PAGADO</v>
      </c>
      <c r="K3277" s="33" t="s">
        <v>2258</v>
      </c>
    </row>
    <row r="3278" spans="1:11" x14ac:dyDescent="0.25">
      <c r="A3278">
        <v>2025</v>
      </c>
      <c r="C3278" s="9" t="s">
        <v>3168</v>
      </c>
      <c r="D3278" s="9" t="s">
        <v>1425</v>
      </c>
      <c r="F3278" s="6">
        <v>60</v>
      </c>
      <c r="G3278" s="6">
        <f t="shared" si="169"/>
        <v>60</v>
      </c>
      <c r="H3278" s="24">
        <v>60</v>
      </c>
      <c r="I3278" s="26">
        <f t="shared" si="167"/>
        <v>0</v>
      </c>
      <c r="J3278" s="7" t="str">
        <f t="shared" si="168"/>
        <v>PAGADO</v>
      </c>
      <c r="K3278" s="33" t="s">
        <v>3108</v>
      </c>
    </row>
    <row r="3279" spans="1:11" x14ac:dyDescent="0.25">
      <c r="A3279">
        <v>2025</v>
      </c>
      <c r="C3279" s="9" t="s">
        <v>3169</v>
      </c>
      <c r="D3279" s="9" t="s">
        <v>1425</v>
      </c>
      <c r="F3279" s="6">
        <v>70</v>
      </c>
      <c r="G3279" s="6">
        <f t="shared" si="169"/>
        <v>70</v>
      </c>
      <c r="H3279" s="24">
        <v>70</v>
      </c>
      <c r="I3279" s="26">
        <f t="shared" si="167"/>
        <v>0</v>
      </c>
      <c r="J3279" s="7" t="str">
        <f t="shared" si="168"/>
        <v>PAGADO</v>
      </c>
      <c r="K3279" s="33" t="s">
        <v>1815</v>
      </c>
    </row>
    <row r="3280" spans="1:11" x14ac:dyDescent="0.25">
      <c r="A3280">
        <v>2025</v>
      </c>
      <c r="C3280" s="9" t="s">
        <v>3170</v>
      </c>
      <c r="D3280" s="9" t="s">
        <v>1425</v>
      </c>
      <c r="F3280" s="6">
        <v>70</v>
      </c>
      <c r="G3280" s="6">
        <f t="shared" si="169"/>
        <v>70</v>
      </c>
      <c r="H3280" s="24">
        <v>70</v>
      </c>
      <c r="I3280" s="26">
        <f t="shared" si="167"/>
        <v>0</v>
      </c>
      <c r="J3280" s="7" t="str">
        <f t="shared" si="168"/>
        <v>PAGADO</v>
      </c>
      <c r="K3280" s="33" t="s">
        <v>1815</v>
      </c>
    </row>
    <row r="3281" spans="1:11" x14ac:dyDescent="0.25">
      <c r="A3281">
        <v>2025</v>
      </c>
      <c r="C3281" s="14" t="s">
        <v>3171</v>
      </c>
      <c r="D3281" s="14" t="s">
        <v>1736</v>
      </c>
      <c r="E3281" s="15"/>
      <c r="F3281" s="16">
        <v>60</v>
      </c>
      <c r="G3281" s="16">
        <f t="shared" si="169"/>
        <v>60</v>
      </c>
      <c r="H3281" s="16">
        <f>30+30</f>
        <v>60</v>
      </c>
      <c r="I3281" s="16">
        <f t="shared" si="167"/>
        <v>0</v>
      </c>
      <c r="J3281" s="17" t="str">
        <f t="shared" si="168"/>
        <v>PAGADO</v>
      </c>
      <c r="K3281" s="59" t="s">
        <v>1815</v>
      </c>
    </row>
    <row r="3282" spans="1:11" x14ac:dyDescent="0.25">
      <c r="A3282">
        <v>2025</v>
      </c>
      <c r="C3282" s="9" t="s">
        <v>3172</v>
      </c>
      <c r="D3282" s="9" t="s">
        <v>2360</v>
      </c>
      <c r="F3282" s="6">
        <v>55</v>
      </c>
      <c r="G3282" s="6">
        <f t="shared" si="169"/>
        <v>55</v>
      </c>
      <c r="H3282" s="6">
        <f>15+40</f>
        <v>55</v>
      </c>
      <c r="I3282" s="26">
        <f t="shared" ref="I3282:I3345" si="170">F3282-H3282</f>
        <v>0</v>
      </c>
      <c r="J3282" s="7" t="str">
        <f t="shared" ref="J3282:J3345" si="171">IF(I3282&gt;0,"DEBE","PAGADO")</f>
        <v>PAGADO</v>
      </c>
      <c r="K3282" s="33" t="s">
        <v>1815</v>
      </c>
    </row>
    <row r="3283" spans="1:11" x14ac:dyDescent="0.25">
      <c r="A3283">
        <v>2025</v>
      </c>
      <c r="C3283" s="9" t="s">
        <v>3173</v>
      </c>
      <c r="D3283" s="9" t="s">
        <v>2973</v>
      </c>
      <c r="F3283" s="6">
        <v>270</v>
      </c>
      <c r="G3283" s="6">
        <f t="shared" si="169"/>
        <v>270</v>
      </c>
      <c r="H3283" s="6">
        <v>270</v>
      </c>
      <c r="I3283" s="26">
        <f t="shared" si="170"/>
        <v>0</v>
      </c>
      <c r="J3283" s="7" t="str">
        <f t="shared" si="171"/>
        <v>PAGADO</v>
      </c>
      <c r="K3283" s="33" t="s">
        <v>2479</v>
      </c>
    </row>
    <row r="3284" spans="1:11" x14ac:dyDescent="0.25">
      <c r="A3284">
        <v>2025</v>
      </c>
      <c r="C3284" t="s">
        <v>3174</v>
      </c>
      <c r="D3284" s="9" t="s">
        <v>3149</v>
      </c>
      <c r="F3284" s="6">
        <f>80*0.9</f>
        <v>72</v>
      </c>
      <c r="G3284" s="6">
        <f t="shared" si="169"/>
        <v>72</v>
      </c>
      <c r="H3284" s="6">
        <v>72</v>
      </c>
      <c r="I3284" s="26">
        <f t="shared" si="170"/>
        <v>0</v>
      </c>
      <c r="J3284" s="7" t="str">
        <f t="shared" si="171"/>
        <v>PAGADO</v>
      </c>
      <c r="K3284" s="33" t="s">
        <v>2640</v>
      </c>
    </row>
    <row r="3285" spans="1:11" x14ac:dyDescent="0.25">
      <c r="A3285">
        <v>2025</v>
      </c>
      <c r="C3285" t="s">
        <v>3175</v>
      </c>
      <c r="D3285" s="9" t="s">
        <v>3149</v>
      </c>
      <c r="F3285" s="6">
        <f>90*0.9</f>
        <v>81</v>
      </c>
      <c r="G3285" s="6">
        <f t="shared" si="169"/>
        <v>81</v>
      </c>
      <c r="H3285" s="6">
        <v>81</v>
      </c>
      <c r="I3285" s="26">
        <f t="shared" si="170"/>
        <v>0</v>
      </c>
      <c r="J3285" s="7" t="str">
        <f t="shared" si="171"/>
        <v>PAGADO</v>
      </c>
      <c r="K3285" s="33" t="s">
        <v>1815</v>
      </c>
    </row>
    <row r="3286" spans="1:11" x14ac:dyDescent="0.25">
      <c r="A3286">
        <v>2025</v>
      </c>
      <c r="C3286" t="s">
        <v>2077</v>
      </c>
      <c r="D3286" s="9" t="s">
        <v>3149</v>
      </c>
      <c r="F3286" s="6">
        <f>90*0.9</f>
        <v>81</v>
      </c>
      <c r="G3286" s="6">
        <f t="shared" si="169"/>
        <v>81</v>
      </c>
      <c r="H3286" s="6">
        <v>81</v>
      </c>
      <c r="I3286" s="26">
        <f t="shared" si="170"/>
        <v>0</v>
      </c>
      <c r="J3286" s="7" t="str">
        <f t="shared" si="171"/>
        <v>PAGADO</v>
      </c>
      <c r="K3286" s="33" t="s">
        <v>1815</v>
      </c>
    </row>
    <row r="3287" spans="1:11" x14ac:dyDescent="0.25">
      <c r="A3287">
        <v>2025</v>
      </c>
      <c r="C3287" t="s">
        <v>3176</v>
      </c>
      <c r="D3287" s="9" t="s">
        <v>3149</v>
      </c>
      <c r="F3287" s="6">
        <f>130*0.9</f>
        <v>117</v>
      </c>
      <c r="G3287" s="6">
        <f t="shared" si="169"/>
        <v>117</v>
      </c>
      <c r="H3287" s="6">
        <v>117</v>
      </c>
      <c r="I3287" s="26">
        <f t="shared" si="170"/>
        <v>0</v>
      </c>
      <c r="J3287" s="7" t="str">
        <f t="shared" si="171"/>
        <v>PAGADO</v>
      </c>
      <c r="K3287" s="33" t="s">
        <v>2640</v>
      </c>
    </row>
    <row r="3288" spans="1:11" x14ac:dyDescent="0.25">
      <c r="A3288">
        <v>2025</v>
      </c>
      <c r="C3288" t="s">
        <v>3177</v>
      </c>
      <c r="D3288" s="9" t="s">
        <v>3149</v>
      </c>
      <c r="F3288" s="6">
        <f>90*0.9</f>
        <v>81</v>
      </c>
      <c r="G3288" s="6">
        <f t="shared" si="169"/>
        <v>81</v>
      </c>
      <c r="H3288" s="6">
        <v>81</v>
      </c>
      <c r="I3288" s="26">
        <f t="shared" si="170"/>
        <v>0</v>
      </c>
      <c r="J3288" s="7" t="str">
        <f t="shared" si="171"/>
        <v>PAGADO</v>
      </c>
      <c r="K3288" s="33" t="s">
        <v>1815</v>
      </c>
    </row>
    <row r="3289" spans="1:11" x14ac:dyDescent="0.25">
      <c r="A3289">
        <v>2025</v>
      </c>
      <c r="C3289" s="9" t="s">
        <v>3178</v>
      </c>
      <c r="D3289" s="9" t="s">
        <v>2969</v>
      </c>
      <c r="F3289" s="6">
        <f>60*0.9</f>
        <v>54</v>
      </c>
      <c r="G3289" s="6">
        <f t="shared" si="169"/>
        <v>54</v>
      </c>
      <c r="H3289" s="6">
        <v>54</v>
      </c>
      <c r="I3289" s="26">
        <f t="shared" si="170"/>
        <v>0</v>
      </c>
      <c r="J3289" s="7" t="str">
        <f t="shared" si="171"/>
        <v>PAGADO</v>
      </c>
      <c r="K3289" s="33" t="s">
        <v>2640</v>
      </c>
    </row>
    <row r="3290" spans="1:11" x14ac:dyDescent="0.25">
      <c r="A3290">
        <v>2025</v>
      </c>
      <c r="C3290" s="9" t="s">
        <v>3179</v>
      </c>
      <c r="D3290" s="9" t="s">
        <v>2969</v>
      </c>
      <c r="F3290" s="6">
        <f>60*0.9</f>
        <v>54</v>
      </c>
      <c r="G3290" s="6">
        <f t="shared" si="169"/>
        <v>54</v>
      </c>
      <c r="H3290" s="6">
        <v>54</v>
      </c>
      <c r="I3290" s="26">
        <f t="shared" si="170"/>
        <v>0</v>
      </c>
      <c r="J3290" s="7" t="str">
        <f t="shared" si="171"/>
        <v>PAGADO</v>
      </c>
      <c r="K3290" s="33" t="s">
        <v>2640</v>
      </c>
    </row>
    <row r="3291" spans="1:11" x14ac:dyDescent="0.25">
      <c r="A3291">
        <v>2025</v>
      </c>
      <c r="C3291" s="9" t="s">
        <v>3180</v>
      </c>
      <c r="D3291" s="9" t="s">
        <v>2969</v>
      </c>
      <c r="F3291" s="6">
        <f>75*0.9</f>
        <v>67.5</v>
      </c>
      <c r="G3291" s="6">
        <f t="shared" si="169"/>
        <v>67.5</v>
      </c>
      <c r="H3291" s="6">
        <v>67.5</v>
      </c>
      <c r="I3291" s="26">
        <f t="shared" si="170"/>
        <v>0</v>
      </c>
      <c r="J3291" s="7" t="str">
        <f t="shared" si="171"/>
        <v>PAGADO</v>
      </c>
      <c r="K3291" s="33" t="s">
        <v>2640</v>
      </c>
    </row>
    <row r="3292" spans="1:11" x14ac:dyDescent="0.25">
      <c r="A3292">
        <v>2025</v>
      </c>
      <c r="C3292" s="9" t="s">
        <v>3181</v>
      </c>
      <c r="D3292" s="9" t="s">
        <v>70</v>
      </c>
      <c r="F3292" s="6">
        <v>50</v>
      </c>
      <c r="G3292" s="6">
        <f t="shared" si="169"/>
        <v>50</v>
      </c>
      <c r="H3292" s="6">
        <v>50</v>
      </c>
      <c r="I3292" s="26">
        <f t="shared" si="170"/>
        <v>0</v>
      </c>
      <c r="J3292" s="7" t="str">
        <f t="shared" si="171"/>
        <v>PAGADO</v>
      </c>
      <c r="K3292" s="33" t="s">
        <v>2640</v>
      </c>
    </row>
    <row r="3293" spans="1:11" x14ac:dyDescent="0.25">
      <c r="A3293">
        <v>2025</v>
      </c>
      <c r="C3293" s="9" t="s">
        <v>3182</v>
      </c>
      <c r="D3293" s="9" t="s">
        <v>1523</v>
      </c>
      <c r="F3293" s="6">
        <v>270</v>
      </c>
      <c r="G3293" s="6">
        <f t="shared" si="169"/>
        <v>270</v>
      </c>
      <c r="H3293" s="6">
        <v>270</v>
      </c>
      <c r="I3293" s="26">
        <f t="shared" si="170"/>
        <v>0</v>
      </c>
      <c r="J3293" s="7" t="str">
        <f t="shared" si="171"/>
        <v>PAGADO</v>
      </c>
      <c r="K3293" s="33" t="s">
        <v>2640</v>
      </c>
    </row>
    <row r="3294" spans="1:11" x14ac:dyDescent="0.25">
      <c r="A3294">
        <v>2025</v>
      </c>
      <c r="C3294" t="s">
        <v>3183</v>
      </c>
      <c r="D3294" t="s">
        <v>2105</v>
      </c>
      <c r="F3294" s="6">
        <v>90</v>
      </c>
      <c r="G3294" s="6">
        <f t="shared" si="169"/>
        <v>90</v>
      </c>
      <c r="H3294" s="6">
        <v>90</v>
      </c>
      <c r="I3294" s="26">
        <f t="shared" si="170"/>
        <v>0</v>
      </c>
      <c r="J3294" s="7" t="str">
        <f t="shared" si="171"/>
        <v>PAGADO</v>
      </c>
      <c r="K3294" s="33" t="s">
        <v>2640</v>
      </c>
    </row>
    <row r="3295" spans="1:11" x14ac:dyDescent="0.25">
      <c r="A3295">
        <v>2025</v>
      </c>
      <c r="C3295" t="s">
        <v>2756</v>
      </c>
      <c r="D3295" t="s">
        <v>2105</v>
      </c>
      <c r="F3295" s="6">
        <v>70</v>
      </c>
      <c r="G3295" s="6">
        <f t="shared" si="169"/>
        <v>70</v>
      </c>
      <c r="H3295" s="6">
        <v>70</v>
      </c>
      <c r="I3295" s="26">
        <f t="shared" si="170"/>
        <v>0</v>
      </c>
      <c r="J3295" s="7" t="str">
        <f t="shared" si="171"/>
        <v>PAGADO</v>
      </c>
      <c r="K3295" s="33" t="s">
        <v>2640</v>
      </c>
    </row>
    <row r="3296" spans="1:11" x14ac:dyDescent="0.25">
      <c r="A3296">
        <v>2025</v>
      </c>
      <c r="C3296" t="s">
        <v>3184</v>
      </c>
      <c r="D3296" t="s">
        <v>3143</v>
      </c>
      <c r="F3296" s="6">
        <v>63</v>
      </c>
      <c r="G3296" s="6">
        <f t="shared" si="169"/>
        <v>63</v>
      </c>
      <c r="H3296" s="6">
        <v>63</v>
      </c>
      <c r="I3296" s="26">
        <f t="shared" si="170"/>
        <v>0</v>
      </c>
      <c r="J3296" s="7" t="str">
        <f t="shared" si="171"/>
        <v>PAGADO</v>
      </c>
      <c r="K3296" s="33" t="s">
        <v>2640</v>
      </c>
    </row>
    <row r="3297" spans="1:11" x14ac:dyDescent="0.25">
      <c r="A3297">
        <v>2025</v>
      </c>
      <c r="C3297" t="s">
        <v>3185</v>
      </c>
      <c r="D3297" t="s">
        <v>2275</v>
      </c>
      <c r="F3297" s="6">
        <v>75</v>
      </c>
      <c r="G3297" s="6">
        <f t="shared" si="169"/>
        <v>75</v>
      </c>
      <c r="H3297" s="6">
        <f>50+25</f>
        <v>75</v>
      </c>
      <c r="I3297" s="26">
        <f t="shared" si="170"/>
        <v>0</v>
      </c>
      <c r="J3297" s="7" t="str">
        <f t="shared" si="171"/>
        <v>PAGADO</v>
      </c>
      <c r="K3297" s="33" t="s">
        <v>2640</v>
      </c>
    </row>
    <row r="3298" spans="1:11" x14ac:dyDescent="0.25">
      <c r="A3298">
        <v>2025</v>
      </c>
      <c r="C3298" t="s">
        <v>3185</v>
      </c>
      <c r="D3298" t="s">
        <v>1640</v>
      </c>
      <c r="F3298" s="6">
        <v>75</v>
      </c>
      <c r="G3298" s="6">
        <f t="shared" si="169"/>
        <v>75</v>
      </c>
      <c r="H3298" s="6">
        <v>75</v>
      </c>
      <c r="I3298" s="26">
        <f t="shared" si="170"/>
        <v>0</v>
      </c>
      <c r="J3298" s="7" t="str">
        <f t="shared" si="171"/>
        <v>PAGADO</v>
      </c>
      <c r="K3298" s="33" t="s">
        <v>2640</v>
      </c>
    </row>
    <row r="3299" spans="1:11" x14ac:dyDescent="0.25">
      <c r="A3299">
        <v>2025</v>
      </c>
      <c r="C3299" s="9" t="s">
        <v>3186</v>
      </c>
      <c r="D3299" s="9" t="s">
        <v>2363</v>
      </c>
      <c r="F3299" s="6">
        <v>58.5</v>
      </c>
      <c r="G3299" s="6">
        <f t="shared" si="169"/>
        <v>58.5</v>
      </c>
      <c r="H3299" s="6">
        <v>58.5</v>
      </c>
      <c r="I3299" s="26">
        <f t="shared" si="170"/>
        <v>0</v>
      </c>
      <c r="J3299" s="7" t="str">
        <f t="shared" si="171"/>
        <v>PAGADO</v>
      </c>
      <c r="K3299" s="33" t="s">
        <v>693</v>
      </c>
    </row>
    <row r="3300" spans="1:11" x14ac:dyDescent="0.25">
      <c r="A3300">
        <v>2025</v>
      </c>
      <c r="C3300" s="9" t="s">
        <v>3187</v>
      </c>
      <c r="D3300" s="9" t="s">
        <v>2363</v>
      </c>
      <c r="F3300" s="6">
        <v>63</v>
      </c>
      <c r="G3300" s="6">
        <f t="shared" si="169"/>
        <v>63</v>
      </c>
      <c r="H3300" s="6">
        <v>63</v>
      </c>
      <c r="I3300" s="26">
        <f t="shared" si="170"/>
        <v>0</v>
      </c>
      <c r="J3300" s="7" t="str">
        <f t="shared" si="171"/>
        <v>PAGADO</v>
      </c>
      <c r="K3300" s="33" t="s">
        <v>693</v>
      </c>
    </row>
    <row r="3301" spans="1:11" x14ac:dyDescent="0.25">
      <c r="A3301">
        <v>2025</v>
      </c>
      <c r="C3301" s="9" t="s">
        <v>3188</v>
      </c>
      <c r="D3301" s="9" t="s">
        <v>2363</v>
      </c>
      <c r="F3301" s="6">
        <v>58.5</v>
      </c>
      <c r="G3301" s="6">
        <f t="shared" si="169"/>
        <v>58.5</v>
      </c>
      <c r="H3301" s="6">
        <v>58.5</v>
      </c>
      <c r="I3301" s="26">
        <f t="shared" si="170"/>
        <v>0</v>
      </c>
      <c r="J3301" s="7" t="str">
        <f t="shared" si="171"/>
        <v>PAGADO</v>
      </c>
      <c r="K3301" s="33" t="s">
        <v>693</v>
      </c>
    </row>
    <row r="3302" spans="1:11" x14ac:dyDescent="0.25">
      <c r="A3302">
        <v>2025</v>
      </c>
      <c r="C3302" s="9" t="s">
        <v>3189</v>
      </c>
      <c r="D3302" s="9" t="s">
        <v>2363</v>
      </c>
      <c r="F3302" s="6">
        <v>58.5</v>
      </c>
      <c r="G3302" s="6">
        <f t="shared" si="169"/>
        <v>58.5</v>
      </c>
      <c r="H3302" s="6">
        <v>58.5</v>
      </c>
      <c r="I3302" s="26">
        <f t="shared" si="170"/>
        <v>0</v>
      </c>
      <c r="J3302" s="7" t="str">
        <f t="shared" si="171"/>
        <v>PAGADO</v>
      </c>
      <c r="K3302" s="33" t="s">
        <v>693</v>
      </c>
    </row>
    <row r="3303" spans="1:11" x14ac:dyDescent="0.25">
      <c r="A3303">
        <v>2025</v>
      </c>
      <c r="C3303" s="9" t="s">
        <v>2970</v>
      </c>
      <c r="D3303" s="9" t="s">
        <v>2363</v>
      </c>
      <c r="F3303" s="6">
        <v>58.5</v>
      </c>
      <c r="G3303" s="6">
        <f t="shared" si="169"/>
        <v>58.5</v>
      </c>
      <c r="H3303" s="6">
        <v>58.5</v>
      </c>
      <c r="I3303" s="26">
        <f t="shared" si="170"/>
        <v>0</v>
      </c>
      <c r="J3303" s="7" t="str">
        <f t="shared" si="171"/>
        <v>PAGADO</v>
      </c>
      <c r="K3303" s="33" t="s">
        <v>693</v>
      </c>
    </row>
    <row r="3304" spans="1:11" x14ac:dyDescent="0.25">
      <c r="A3304">
        <v>2025</v>
      </c>
      <c r="C3304" s="9" t="s">
        <v>3190</v>
      </c>
      <c r="D3304" s="9" t="s">
        <v>2363</v>
      </c>
      <c r="F3304" s="6">
        <v>58.5</v>
      </c>
      <c r="G3304" s="6">
        <f t="shared" si="169"/>
        <v>58.5</v>
      </c>
      <c r="H3304" s="6">
        <v>58.5</v>
      </c>
      <c r="I3304" s="26">
        <f t="shared" si="170"/>
        <v>0</v>
      </c>
      <c r="J3304" s="7" t="str">
        <f t="shared" si="171"/>
        <v>PAGADO</v>
      </c>
      <c r="K3304" s="33" t="s">
        <v>693</v>
      </c>
    </row>
    <row r="3305" spans="1:11" x14ac:dyDescent="0.25">
      <c r="A3305">
        <v>2025</v>
      </c>
      <c r="C3305" s="9" t="s">
        <v>3191</v>
      </c>
      <c r="D3305" s="9" t="s">
        <v>2922</v>
      </c>
      <c r="F3305" s="6">
        <v>70</v>
      </c>
      <c r="G3305" s="6">
        <f t="shared" si="169"/>
        <v>70</v>
      </c>
      <c r="H3305" s="6">
        <v>70</v>
      </c>
      <c r="I3305" s="26">
        <f t="shared" si="170"/>
        <v>0</v>
      </c>
      <c r="J3305" s="7" t="str">
        <f t="shared" si="171"/>
        <v>PAGADO</v>
      </c>
      <c r="K3305" s="33" t="s">
        <v>2640</v>
      </c>
    </row>
    <row r="3306" spans="1:11" x14ac:dyDescent="0.25">
      <c r="A3306">
        <v>2025</v>
      </c>
      <c r="C3306" s="9" t="s">
        <v>3192</v>
      </c>
      <c r="D3306" s="9" t="s">
        <v>2363</v>
      </c>
      <c r="F3306" s="6">
        <f>70*0.9</f>
        <v>63</v>
      </c>
      <c r="G3306" s="6">
        <f t="shared" si="169"/>
        <v>63</v>
      </c>
      <c r="H3306" s="6">
        <v>63</v>
      </c>
      <c r="I3306" s="26">
        <f t="shared" si="170"/>
        <v>0</v>
      </c>
      <c r="J3306" s="7" t="str">
        <f t="shared" si="171"/>
        <v>PAGADO</v>
      </c>
      <c r="K3306" s="33" t="s">
        <v>693</v>
      </c>
    </row>
    <row r="3307" spans="1:11" x14ac:dyDescent="0.25">
      <c r="A3307">
        <v>2025</v>
      </c>
      <c r="C3307" s="9" t="s">
        <v>3193</v>
      </c>
      <c r="D3307" s="9" t="s">
        <v>2922</v>
      </c>
      <c r="F3307" s="6">
        <v>65</v>
      </c>
      <c r="G3307" s="6">
        <f t="shared" si="169"/>
        <v>65</v>
      </c>
      <c r="H3307" s="6">
        <v>65</v>
      </c>
      <c r="I3307" s="26">
        <f t="shared" si="170"/>
        <v>0</v>
      </c>
      <c r="J3307" s="7" t="str">
        <f t="shared" si="171"/>
        <v>PAGADO</v>
      </c>
      <c r="K3307" s="33" t="s">
        <v>2640</v>
      </c>
    </row>
    <row r="3308" spans="1:11" x14ac:dyDescent="0.25">
      <c r="A3308">
        <v>2025</v>
      </c>
      <c r="C3308" s="9" t="s">
        <v>3194</v>
      </c>
      <c r="D3308" s="9" t="s">
        <v>2969</v>
      </c>
      <c r="F3308" s="6">
        <f>75*0.9</f>
        <v>67.5</v>
      </c>
      <c r="G3308" s="6">
        <f t="shared" si="169"/>
        <v>67.5</v>
      </c>
      <c r="H3308" s="6">
        <v>67.5</v>
      </c>
      <c r="I3308" s="26">
        <f t="shared" si="170"/>
        <v>0</v>
      </c>
      <c r="J3308" s="7" t="str">
        <f t="shared" si="171"/>
        <v>PAGADO</v>
      </c>
      <c r="K3308" s="33" t="s">
        <v>2640</v>
      </c>
    </row>
    <row r="3309" spans="1:11" x14ac:dyDescent="0.25">
      <c r="A3309">
        <v>2025</v>
      </c>
      <c r="C3309" t="s">
        <v>3185</v>
      </c>
      <c r="D3309" t="s">
        <v>2018</v>
      </c>
      <c r="F3309" s="6">
        <v>75</v>
      </c>
      <c r="G3309" s="6">
        <f t="shared" si="169"/>
        <v>75</v>
      </c>
      <c r="H3309" s="6">
        <v>75</v>
      </c>
      <c r="I3309" s="26">
        <f t="shared" si="170"/>
        <v>0</v>
      </c>
      <c r="J3309" s="7" t="str">
        <f t="shared" si="171"/>
        <v>PAGADO</v>
      </c>
      <c r="K3309" s="33" t="s">
        <v>2640</v>
      </c>
    </row>
    <row r="3310" spans="1:11" x14ac:dyDescent="0.25">
      <c r="A3310">
        <v>2025</v>
      </c>
      <c r="C3310" t="s">
        <v>3185</v>
      </c>
      <c r="D3310" s="9" t="s">
        <v>2530</v>
      </c>
      <c r="F3310" s="6">
        <v>75</v>
      </c>
      <c r="G3310" s="6">
        <f t="shared" si="169"/>
        <v>75</v>
      </c>
      <c r="H3310" s="75">
        <v>75</v>
      </c>
      <c r="I3310" s="26">
        <f t="shared" si="170"/>
        <v>0</v>
      </c>
      <c r="J3310" s="7" t="str">
        <f t="shared" si="171"/>
        <v>PAGADO</v>
      </c>
      <c r="K3310" s="33" t="s">
        <v>2640</v>
      </c>
    </row>
    <row r="3311" spans="1:11" x14ac:dyDescent="0.25">
      <c r="A3311">
        <v>2025</v>
      </c>
      <c r="C3311" t="s">
        <v>3195</v>
      </c>
      <c r="D3311" s="9" t="s">
        <v>3196</v>
      </c>
      <c r="F3311" s="6">
        <v>40</v>
      </c>
      <c r="G3311" s="6">
        <f t="shared" si="169"/>
        <v>40</v>
      </c>
      <c r="H3311" s="6">
        <v>40</v>
      </c>
      <c r="I3311" s="26">
        <f t="shared" si="170"/>
        <v>0</v>
      </c>
      <c r="J3311" s="7" t="str">
        <f t="shared" si="171"/>
        <v>PAGADO</v>
      </c>
    </row>
    <row r="3312" spans="1:11" x14ac:dyDescent="0.25">
      <c r="A3312">
        <v>2025</v>
      </c>
      <c r="C3312" t="s">
        <v>3197</v>
      </c>
      <c r="D3312" s="9" t="s">
        <v>3196</v>
      </c>
      <c r="F3312" s="6">
        <v>40</v>
      </c>
      <c r="G3312" s="6">
        <f t="shared" si="169"/>
        <v>40</v>
      </c>
      <c r="H3312" s="6">
        <v>40</v>
      </c>
      <c r="I3312" s="26">
        <f t="shared" si="170"/>
        <v>0</v>
      </c>
      <c r="J3312" s="7" t="str">
        <f t="shared" si="171"/>
        <v>PAGADO</v>
      </c>
    </row>
    <row r="3313" spans="1:10" x14ac:dyDescent="0.25">
      <c r="A3313">
        <v>2025</v>
      </c>
      <c r="C3313" t="s">
        <v>3041</v>
      </c>
      <c r="D3313" s="9" t="s">
        <v>3198</v>
      </c>
      <c r="F3313" s="6">
        <v>55</v>
      </c>
      <c r="G3313" s="6">
        <f t="shared" si="169"/>
        <v>55</v>
      </c>
      <c r="H3313" s="6">
        <v>55</v>
      </c>
      <c r="I3313" s="26">
        <f t="shared" si="170"/>
        <v>0</v>
      </c>
      <c r="J3313" s="7" t="str">
        <f t="shared" si="171"/>
        <v>PAGADO</v>
      </c>
    </row>
    <row r="3314" spans="1:10" x14ac:dyDescent="0.25">
      <c r="A3314">
        <v>2025</v>
      </c>
      <c r="C3314" t="s">
        <v>715</v>
      </c>
      <c r="D3314" s="9" t="s">
        <v>3198</v>
      </c>
      <c r="F3314" s="6">
        <v>55</v>
      </c>
      <c r="G3314" s="6">
        <f t="shared" si="169"/>
        <v>55</v>
      </c>
      <c r="H3314" s="6">
        <v>55</v>
      </c>
      <c r="I3314" s="26">
        <f t="shared" si="170"/>
        <v>0</v>
      </c>
      <c r="J3314" s="7" t="str">
        <f t="shared" si="171"/>
        <v>PAGADO</v>
      </c>
    </row>
    <row r="3315" spans="1:10" x14ac:dyDescent="0.25">
      <c r="A3315">
        <v>2025</v>
      </c>
      <c r="C3315" t="s">
        <v>3199</v>
      </c>
      <c r="D3315" s="9" t="s">
        <v>3198</v>
      </c>
      <c r="F3315" s="6">
        <v>55</v>
      </c>
      <c r="G3315" s="6">
        <f t="shared" si="169"/>
        <v>55</v>
      </c>
      <c r="H3315" s="6">
        <v>55</v>
      </c>
      <c r="I3315" s="26">
        <f t="shared" si="170"/>
        <v>0</v>
      </c>
      <c r="J3315" s="7" t="str">
        <f t="shared" si="171"/>
        <v>PAGADO</v>
      </c>
    </row>
    <row r="3316" spans="1:10" x14ac:dyDescent="0.25">
      <c r="A3316">
        <v>2025</v>
      </c>
      <c r="C3316" t="s">
        <v>2645</v>
      </c>
      <c r="D3316" s="9" t="s">
        <v>3200</v>
      </c>
      <c r="F3316" s="6">
        <v>60</v>
      </c>
      <c r="G3316" s="6">
        <f t="shared" si="169"/>
        <v>60</v>
      </c>
      <c r="H3316" s="6">
        <v>60</v>
      </c>
      <c r="I3316" s="26">
        <f t="shared" si="170"/>
        <v>0</v>
      </c>
      <c r="J3316" s="7" t="str">
        <f t="shared" si="171"/>
        <v>PAGADO</v>
      </c>
    </row>
    <row r="3317" spans="1:10" x14ac:dyDescent="0.25">
      <c r="A3317">
        <v>2025</v>
      </c>
      <c r="C3317" t="s">
        <v>3201</v>
      </c>
      <c r="D3317" s="9" t="s">
        <v>3202</v>
      </c>
      <c r="F3317" s="6">
        <v>50</v>
      </c>
      <c r="G3317" s="6">
        <f t="shared" si="169"/>
        <v>50</v>
      </c>
      <c r="H3317" s="6">
        <v>50</v>
      </c>
      <c r="I3317" s="26">
        <f t="shared" si="170"/>
        <v>0</v>
      </c>
      <c r="J3317" s="7" t="str">
        <f t="shared" si="171"/>
        <v>PAGADO</v>
      </c>
    </row>
    <row r="3318" spans="1:10" x14ac:dyDescent="0.25">
      <c r="A3318">
        <v>2025</v>
      </c>
      <c r="C3318" t="s">
        <v>3203</v>
      </c>
      <c r="D3318" s="9" t="s">
        <v>3202</v>
      </c>
      <c r="F3318" s="6">
        <v>50</v>
      </c>
      <c r="G3318" s="6">
        <f t="shared" si="169"/>
        <v>50</v>
      </c>
      <c r="H3318" s="6">
        <v>50</v>
      </c>
      <c r="I3318" s="26">
        <f t="shared" si="170"/>
        <v>0</v>
      </c>
      <c r="J3318" s="7" t="str">
        <f t="shared" si="171"/>
        <v>PAGADO</v>
      </c>
    </row>
    <row r="3319" spans="1:10" x14ac:dyDescent="0.25">
      <c r="A3319">
        <v>2025</v>
      </c>
      <c r="C3319" t="s">
        <v>3204</v>
      </c>
      <c r="D3319" s="9" t="s">
        <v>3202</v>
      </c>
      <c r="F3319" s="6">
        <v>50</v>
      </c>
      <c r="G3319" s="6">
        <f t="shared" si="169"/>
        <v>50</v>
      </c>
      <c r="H3319" s="6">
        <v>50</v>
      </c>
      <c r="I3319" s="26">
        <f t="shared" si="170"/>
        <v>0</v>
      </c>
      <c r="J3319" s="7" t="str">
        <f t="shared" si="171"/>
        <v>PAGADO</v>
      </c>
    </row>
    <row r="3320" spans="1:10" x14ac:dyDescent="0.25">
      <c r="A3320">
        <v>2025</v>
      </c>
      <c r="C3320" t="s">
        <v>3205</v>
      </c>
      <c r="D3320" s="9" t="s">
        <v>3202</v>
      </c>
      <c r="F3320" s="6">
        <v>50</v>
      </c>
      <c r="G3320" s="6">
        <f t="shared" si="169"/>
        <v>50</v>
      </c>
      <c r="H3320" s="6">
        <v>50</v>
      </c>
      <c r="I3320" s="26">
        <f t="shared" si="170"/>
        <v>0</v>
      </c>
      <c r="J3320" s="7" t="str">
        <f t="shared" si="171"/>
        <v>PAGADO</v>
      </c>
    </row>
    <row r="3321" spans="1:10" x14ac:dyDescent="0.25">
      <c r="A3321">
        <v>2025</v>
      </c>
      <c r="C3321" t="s">
        <v>277</v>
      </c>
      <c r="D3321" s="9" t="s">
        <v>3202</v>
      </c>
      <c r="F3321" s="6">
        <v>60</v>
      </c>
      <c r="G3321" s="6">
        <f t="shared" si="169"/>
        <v>60</v>
      </c>
      <c r="H3321" s="6">
        <v>60</v>
      </c>
      <c r="I3321" s="26">
        <f t="shared" si="170"/>
        <v>0</v>
      </c>
      <c r="J3321" s="7" t="str">
        <f t="shared" si="171"/>
        <v>PAGADO</v>
      </c>
    </row>
    <row r="3322" spans="1:10" x14ac:dyDescent="0.25">
      <c r="A3322">
        <v>2025</v>
      </c>
      <c r="C3322" t="s">
        <v>3206</v>
      </c>
      <c r="D3322" s="9" t="s">
        <v>3202</v>
      </c>
      <c r="F3322" s="6">
        <v>80</v>
      </c>
      <c r="G3322" s="6">
        <f t="shared" si="169"/>
        <v>80</v>
      </c>
      <c r="H3322" s="6">
        <v>80</v>
      </c>
      <c r="I3322" s="26">
        <f t="shared" si="170"/>
        <v>0</v>
      </c>
      <c r="J3322" s="7" t="str">
        <f t="shared" si="171"/>
        <v>PAGADO</v>
      </c>
    </row>
    <row r="3323" spans="1:10" x14ac:dyDescent="0.25">
      <c r="A3323">
        <v>2025</v>
      </c>
      <c r="C3323" s="9" t="s">
        <v>3207</v>
      </c>
      <c r="D3323" s="9" t="s">
        <v>3142</v>
      </c>
      <c r="F3323" s="6">
        <v>25</v>
      </c>
      <c r="G3323" s="6">
        <f t="shared" si="169"/>
        <v>25</v>
      </c>
      <c r="H3323" s="6">
        <v>25</v>
      </c>
      <c r="I3323" s="26">
        <f t="shared" si="170"/>
        <v>0</v>
      </c>
      <c r="J3323" s="7" t="str">
        <f t="shared" si="171"/>
        <v>PAGADO</v>
      </c>
    </row>
    <row r="3324" spans="1:10" x14ac:dyDescent="0.25">
      <c r="A3324">
        <v>2025</v>
      </c>
      <c r="C3324" s="9" t="s">
        <v>2141</v>
      </c>
      <c r="D3324" s="9" t="s">
        <v>3208</v>
      </c>
      <c r="F3324" s="6">
        <v>70</v>
      </c>
      <c r="G3324" s="6">
        <f t="shared" si="169"/>
        <v>70</v>
      </c>
      <c r="H3324" s="6">
        <v>70</v>
      </c>
      <c r="I3324" s="26">
        <f t="shared" si="170"/>
        <v>0</v>
      </c>
      <c r="J3324" s="7" t="str">
        <f t="shared" si="171"/>
        <v>PAGADO</v>
      </c>
    </row>
    <row r="3325" spans="1:10" x14ac:dyDescent="0.25">
      <c r="A3325">
        <v>2025</v>
      </c>
      <c r="C3325" s="9" t="s">
        <v>2688</v>
      </c>
      <c r="D3325" s="9" t="s">
        <v>3208</v>
      </c>
      <c r="F3325" s="6">
        <v>70</v>
      </c>
      <c r="G3325" s="6">
        <f t="shared" si="169"/>
        <v>70</v>
      </c>
      <c r="H3325" s="6">
        <v>70</v>
      </c>
      <c r="I3325" s="26">
        <f t="shared" si="170"/>
        <v>0</v>
      </c>
      <c r="J3325" s="7" t="str">
        <f t="shared" si="171"/>
        <v>PAGADO</v>
      </c>
    </row>
    <row r="3326" spans="1:10" x14ac:dyDescent="0.25">
      <c r="A3326">
        <v>2025</v>
      </c>
      <c r="C3326" s="9" t="s">
        <v>3209</v>
      </c>
      <c r="D3326" s="9" t="s">
        <v>3210</v>
      </c>
      <c r="F3326" s="6">
        <v>50</v>
      </c>
      <c r="G3326" s="6">
        <f t="shared" ref="G3326:G3389" si="172">F3326-E3326</f>
        <v>50</v>
      </c>
      <c r="H3326" s="6">
        <v>50</v>
      </c>
      <c r="I3326" s="26">
        <f t="shared" si="170"/>
        <v>0</v>
      </c>
      <c r="J3326" s="7" t="str">
        <f t="shared" si="171"/>
        <v>PAGADO</v>
      </c>
    </row>
    <row r="3327" spans="1:10" x14ac:dyDescent="0.25">
      <c r="A3327">
        <v>2025</v>
      </c>
      <c r="C3327" s="9" t="s">
        <v>2122</v>
      </c>
      <c r="D3327" s="9" t="s">
        <v>3211</v>
      </c>
      <c r="F3327" s="6">
        <v>170</v>
      </c>
      <c r="G3327" s="6">
        <f t="shared" si="172"/>
        <v>170</v>
      </c>
      <c r="H3327" s="6">
        <v>170</v>
      </c>
      <c r="I3327" s="26">
        <f t="shared" si="170"/>
        <v>0</v>
      </c>
      <c r="J3327" s="7" t="str">
        <f t="shared" si="171"/>
        <v>PAGADO</v>
      </c>
    </row>
    <row r="3328" spans="1:10" x14ac:dyDescent="0.25">
      <c r="A3328">
        <v>2025</v>
      </c>
      <c r="C3328" s="9" t="s">
        <v>3212</v>
      </c>
      <c r="D3328" s="9" t="s">
        <v>3213</v>
      </c>
      <c r="F3328" s="6">
        <v>100</v>
      </c>
      <c r="G3328" s="6">
        <f t="shared" si="172"/>
        <v>100</v>
      </c>
      <c r="H3328" s="6">
        <f>50+50</f>
        <v>100</v>
      </c>
      <c r="I3328" s="26">
        <f t="shared" si="170"/>
        <v>0</v>
      </c>
      <c r="J3328" s="7" t="str">
        <f t="shared" si="171"/>
        <v>PAGADO</v>
      </c>
    </row>
    <row r="3329" spans="1:11" x14ac:dyDescent="0.25">
      <c r="A3329">
        <v>2025</v>
      </c>
      <c r="C3329" s="9" t="s">
        <v>3214</v>
      </c>
      <c r="D3329" s="9" t="s">
        <v>3215</v>
      </c>
      <c r="F3329" s="6">
        <v>30</v>
      </c>
      <c r="G3329" s="6">
        <f t="shared" si="172"/>
        <v>30</v>
      </c>
      <c r="H3329" s="6">
        <v>30</v>
      </c>
      <c r="I3329" s="26">
        <f t="shared" si="170"/>
        <v>0</v>
      </c>
      <c r="J3329" s="7" t="str">
        <f t="shared" si="171"/>
        <v>PAGADO</v>
      </c>
    </row>
    <row r="3330" spans="1:11" x14ac:dyDescent="0.25">
      <c r="A3330">
        <v>2025</v>
      </c>
      <c r="C3330" s="9" t="s">
        <v>3216</v>
      </c>
      <c r="D3330" s="9" t="s">
        <v>2903</v>
      </c>
      <c r="F3330" s="6">
        <v>54</v>
      </c>
      <c r="G3330" s="6">
        <f t="shared" si="172"/>
        <v>54</v>
      </c>
      <c r="H3330" s="6">
        <v>54</v>
      </c>
      <c r="I3330" s="26">
        <f t="shared" si="170"/>
        <v>0</v>
      </c>
      <c r="J3330" s="7" t="str">
        <f t="shared" si="171"/>
        <v>PAGADO</v>
      </c>
      <c r="K3330" s="33" t="s">
        <v>2640</v>
      </c>
    </row>
    <row r="3331" spans="1:11" x14ac:dyDescent="0.25">
      <c r="A3331">
        <v>2025</v>
      </c>
      <c r="C3331" s="9" t="s">
        <v>3217</v>
      </c>
      <c r="D3331" s="9" t="s">
        <v>1510</v>
      </c>
      <c r="F3331" s="6">
        <f>120*0.9</f>
        <v>108</v>
      </c>
      <c r="G3331" s="6">
        <f t="shared" si="172"/>
        <v>108</v>
      </c>
      <c r="H3331" s="6">
        <v>108</v>
      </c>
      <c r="I3331" s="26">
        <f t="shared" si="170"/>
        <v>0</v>
      </c>
      <c r="J3331" s="7" t="str">
        <f t="shared" si="171"/>
        <v>PAGADO</v>
      </c>
      <c r="K3331" s="33" t="s">
        <v>1815</v>
      </c>
    </row>
    <row r="3332" spans="1:11" x14ac:dyDescent="0.25">
      <c r="A3332">
        <v>2025</v>
      </c>
      <c r="C3332" s="9" t="s">
        <v>3218</v>
      </c>
      <c r="D3332" s="9" t="s">
        <v>1510</v>
      </c>
      <c r="F3332" s="6">
        <v>45</v>
      </c>
      <c r="G3332" s="6">
        <f t="shared" si="172"/>
        <v>45</v>
      </c>
      <c r="H3332" s="6">
        <v>45</v>
      </c>
      <c r="I3332" s="26">
        <f t="shared" si="170"/>
        <v>0</v>
      </c>
      <c r="J3332" s="7" t="str">
        <f t="shared" si="171"/>
        <v>PAGADO</v>
      </c>
      <c r="K3332" s="33" t="s">
        <v>1815</v>
      </c>
    </row>
    <row r="3333" spans="1:11" x14ac:dyDescent="0.25">
      <c r="A3333">
        <v>2025</v>
      </c>
      <c r="C3333" s="9" t="s">
        <v>3219</v>
      </c>
      <c r="D3333" s="9" t="s">
        <v>1510</v>
      </c>
      <c r="F3333" s="6">
        <v>45</v>
      </c>
      <c r="G3333" s="6">
        <f t="shared" si="172"/>
        <v>45</v>
      </c>
      <c r="H3333" s="6">
        <v>45</v>
      </c>
      <c r="I3333" s="26">
        <f t="shared" si="170"/>
        <v>0</v>
      </c>
      <c r="J3333" s="7" t="str">
        <f t="shared" si="171"/>
        <v>PAGADO</v>
      </c>
      <c r="K3333" s="33" t="s">
        <v>1815</v>
      </c>
    </row>
    <row r="3334" spans="1:11" x14ac:dyDescent="0.25">
      <c r="A3334">
        <v>2025</v>
      </c>
      <c r="C3334" t="s">
        <v>3220</v>
      </c>
      <c r="D3334" s="9" t="s">
        <v>1510</v>
      </c>
      <c r="F3334" s="6">
        <v>45</v>
      </c>
      <c r="G3334" s="6">
        <f t="shared" si="172"/>
        <v>45</v>
      </c>
      <c r="H3334" s="6">
        <v>45</v>
      </c>
      <c r="I3334" s="26">
        <f t="shared" si="170"/>
        <v>0</v>
      </c>
      <c r="J3334" s="7" t="str">
        <f t="shared" si="171"/>
        <v>PAGADO</v>
      </c>
      <c r="K3334" s="33" t="s">
        <v>1815</v>
      </c>
    </row>
    <row r="3335" spans="1:11" x14ac:dyDescent="0.25">
      <c r="A3335">
        <v>2025</v>
      </c>
      <c r="C3335" t="s">
        <v>3221</v>
      </c>
      <c r="D3335" s="9" t="s">
        <v>1510</v>
      </c>
      <c r="F3335" s="6">
        <v>45</v>
      </c>
      <c r="G3335" s="6">
        <f t="shared" si="172"/>
        <v>45</v>
      </c>
      <c r="H3335" s="6">
        <v>45</v>
      </c>
      <c r="I3335" s="26">
        <f t="shared" si="170"/>
        <v>0</v>
      </c>
      <c r="J3335" s="7" t="str">
        <f t="shared" si="171"/>
        <v>PAGADO</v>
      </c>
      <c r="K3335" s="33" t="s">
        <v>1815</v>
      </c>
    </row>
    <row r="3336" spans="1:11" x14ac:dyDescent="0.25">
      <c r="A3336">
        <v>2025</v>
      </c>
      <c r="C3336" t="s">
        <v>3222</v>
      </c>
      <c r="D3336" s="9" t="s">
        <v>1510</v>
      </c>
      <c r="F3336" s="6">
        <v>45</v>
      </c>
      <c r="G3336" s="6">
        <f t="shared" si="172"/>
        <v>45</v>
      </c>
      <c r="H3336" s="6">
        <v>45</v>
      </c>
      <c r="I3336" s="26">
        <f t="shared" si="170"/>
        <v>0</v>
      </c>
      <c r="J3336" s="7" t="str">
        <f t="shared" si="171"/>
        <v>PAGADO</v>
      </c>
      <c r="K3336" s="33" t="s">
        <v>1815</v>
      </c>
    </row>
    <row r="3337" spans="1:11" x14ac:dyDescent="0.25">
      <c r="A3337">
        <v>2025</v>
      </c>
      <c r="C3337" s="14" t="s">
        <v>3223</v>
      </c>
      <c r="D3337" s="14" t="s">
        <v>1736</v>
      </c>
      <c r="E3337" s="15"/>
      <c r="F3337" s="16">
        <v>75</v>
      </c>
      <c r="G3337" s="16">
        <f t="shared" si="172"/>
        <v>75</v>
      </c>
      <c r="H3337" s="16">
        <v>75</v>
      </c>
      <c r="I3337" s="16">
        <f t="shared" si="170"/>
        <v>0</v>
      </c>
      <c r="J3337" s="17" t="str">
        <f t="shared" si="171"/>
        <v>PAGADO</v>
      </c>
      <c r="K3337" s="59" t="s">
        <v>2640</v>
      </c>
    </row>
    <row r="3338" spans="1:11" x14ac:dyDescent="0.25">
      <c r="A3338">
        <v>2025</v>
      </c>
      <c r="C3338" s="9" t="s">
        <v>3217</v>
      </c>
      <c r="D3338" s="9" t="s">
        <v>597</v>
      </c>
      <c r="F3338" s="6">
        <v>120</v>
      </c>
      <c r="G3338" s="6">
        <f t="shared" si="172"/>
        <v>120</v>
      </c>
      <c r="H3338" s="6">
        <f>50+70</f>
        <v>120</v>
      </c>
      <c r="I3338" s="26">
        <f t="shared" si="170"/>
        <v>0</v>
      </c>
      <c r="J3338" s="7" t="str">
        <f t="shared" si="171"/>
        <v>PAGADO</v>
      </c>
      <c r="K3338" s="33" t="s">
        <v>2640</v>
      </c>
    </row>
    <row r="3339" spans="1:11" x14ac:dyDescent="0.25">
      <c r="A3339">
        <v>2025</v>
      </c>
      <c r="C3339" s="9" t="s">
        <v>3224</v>
      </c>
      <c r="D3339" s="9" t="s">
        <v>597</v>
      </c>
      <c r="F3339" s="6">
        <v>60</v>
      </c>
      <c r="G3339" s="6">
        <f t="shared" si="172"/>
        <v>60</v>
      </c>
      <c r="H3339" s="6">
        <f>50+10</f>
        <v>60</v>
      </c>
      <c r="I3339" s="26">
        <f t="shared" si="170"/>
        <v>0</v>
      </c>
      <c r="J3339" s="7" t="str">
        <f t="shared" si="171"/>
        <v>PAGADO</v>
      </c>
      <c r="K3339" s="33" t="s">
        <v>2640</v>
      </c>
    </row>
    <row r="3340" spans="1:11" x14ac:dyDescent="0.25">
      <c r="A3340">
        <v>2025</v>
      </c>
      <c r="C3340" s="9" t="s">
        <v>3224</v>
      </c>
      <c r="D3340" s="9" t="s">
        <v>1145</v>
      </c>
      <c r="F3340" s="6">
        <v>60</v>
      </c>
      <c r="G3340" s="6">
        <f t="shared" si="172"/>
        <v>60</v>
      </c>
      <c r="H3340" s="6">
        <v>60</v>
      </c>
      <c r="I3340" s="26">
        <f t="shared" si="170"/>
        <v>0</v>
      </c>
      <c r="J3340" s="7" t="str">
        <f t="shared" si="171"/>
        <v>PAGADO</v>
      </c>
      <c r="K3340" s="33" t="s">
        <v>2640</v>
      </c>
    </row>
    <row r="3341" spans="1:11" x14ac:dyDescent="0.25">
      <c r="A3341">
        <v>2025</v>
      </c>
      <c r="C3341" s="9" t="s">
        <v>3225</v>
      </c>
      <c r="D3341" s="9" t="s">
        <v>18</v>
      </c>
      <c r="F3341" s="6">
        <v>150</v>
      </c>
      <c r="G3341" s="6">
        <f t="shared" si="172"/>
        <v>150</v>
      </c>
      <c r="H3341" s="6">
        <f>50+50+50</f>
        <v>150</v>
      </c>
      <c r="I3341" s="26">
        <f t="shared" si="170"/>
        <v>0</v>
      </c>
      <c r="J3341" s="7" t="str">
        <f t="shared" si="171"/>
        <v>PAGADO</v>
      </c>
      <c r="K3341" s="33" t="s">
        <v>2479</v>
      </c>
    </row>
    <row r="3342" spans="1:11" x14ac:dyDescent="0.25">
      <c r="A3342">
        <v>2025</v>
      </c>
      <c r="C3342" s="9" t="s">
        <v>3226</v>
      </c>
      <c r="D3342" s="9" t="s">
        <v>2360</v>
      </c>
      <c r="F3342" s="6">
        <v>40</v>
      </c>
      <c r="G3342" s="6">
        <f t="shared" si="172"/>
        <v>40</v>
      </c>
      <c r="H3342" s="6">
        <v>40</v>
      </c>
      <c r="I3342" s="26">
        <f t="shared" si="170"/>
        <v>0</v>
      </c>
      <c r="J3342" s="7" t="str">
        <f t="shared" si="171"/>
        <v>PAGADO</v>
      </c>
      <c r="K3342" s="59" t="s">
        <v>570</v>
      </c>
    </row>
    <row r="3343" spans="1:11" x14ac:dyDescent="0.25">
      <c r="A3343">
        <v>2025</v>
      </c>
      <c r="C3343" s="9" t="s">
        <v>3227</v>
      </c>
      <c r="D3343" s="9" t="s">
        <v>2278</v>
      </c>
      <c r="F3343" s="6">
        <v>35</v>
      </c>
      <c r="G3343" s="6">
        <f t="shared" si="172"/>
        <v>35</v>
      </c>
      <c r="H3343" s="6">
        <v>35</v>
      </c>
      <c r="I3343" s="48">
        <f t="shared" si="170"/>
        <v>0</v>
      </c>
      <c r="J3343" s="7" t="str">
        <f t="shared" si="171"/>
        <v>PAGADO</v>
      </c>
      <c r="K3343" s="60" t="s">
        <v>693</v>
      </c>
    </row>
    <row r="3344" spans="1:11" x14ac:dyDescent="0.25">
      <c r="A3344">
        <v>2025</v>
      </c>
      <c r="C3344" s="9" t="s">
        <v>3228</v>
      </c>
      <c r="D3344" s="9" t="s">
        <v>2278</v>
      </c>
      <c r="F3344" s="6">
        <v>80</v>
      </c>
      <c r="G3344" s="6">
        <f t="shared" si="172"/>
        <v>80</v>
      </c>
      <c r="H3344" s="6">
        <v>80</v>
      </c>
      <c r="I3344" s="48">
        <f t="shared" si="170"/>
        <v>0</v>
      </c>
      <c r="J3344" s="7" t="str">
        <f t="shared" si="171"/>
        <v>PAGADO</v>
      </c>
      <c r="K3344" s="60" t="s">
        <v>693</v>
      </c>
    </row>
    <row r="3345" spans="1:12" x14ac:dyDescent="0.25">
      <c r="A3345">
        <v>2025</v>
      </c>
      <c r="C3345" s="9" t="s">
        <v>3229</v>
      </c>
      <c r="D3345" s="9" t="s">
        <v>2147</v>
      </c>
      <c r="F3345" s="6">
        <v>80</v>
      </c>
      <c r="G3345" s="6">
        <f t="shared" si="172"/>
        <v>80</v>
      </c>
      <c r="H3345" s="6">
        <v>80</v>
      </c>
      <c r="I3345" s="26">
        <f t="shared" si="170"/>
        <v>0</v>
      </c>
      <c r="J3345" s="7" t="str">
        <f t="shared" si="171"/>
        <v>PAGADO</v>
      </c>
    </row>
    <row r="3346" spans="1:12" x14ac:dyDescent="0.25">
      <c r="A3346">
        <v>2025</v>
      </c>
      <c r="C3346" s="9" t="s">
        <v>3230</v>
      </c>
      <c r="D3346" s="9" t="s">
        <v>3076</v>
      </c>
      <c r="F3346" s="6">
        <v>65</v>
      </c>
      <c r="G3346" s="6">
        <f t="shared" si="172"/>
        <v>65</v>
      </c>
      <c r="H3346" s="6">
        <v>65</v>
      </c>
      <c r="I3346" s="26">
        <f t="shared" ref="I3346:I3409" si="173">F3346-H3346</f>
        <v>0</v>
      </c>
      <c r="J3346" s="7" t="str">
        <f t="shared" ref="J3346:J3409" si="174">IF(I3346&gt;0,"DEBE","PAGADO")</f>
        <v>PAGADO</v>
      </c>
    </row>
    <row r="3347" spans="1:12" x14ac:dyDescent="0.25">
      <c r="A3347">
        <v>2025</v>
      </c>
      <c r="C3347" s="9" t="s">
        <v>3231</v>
      </c>
      <c r="D3347" s="9" t="s">
        <v>3232</v>
      </c>
      <c r="F3347" s="6">
        <v>55</v>
      </c>
      <c r="G3347" s="6">
        <f t="shared" si="172"/>
        <v>55</v>
      </c>
      <c r="H3347" s="6">
        <v>55</v>
      </c>
      <c r="I3347" s="26">
        <f t="shared" si="173"/>
        <v>0</v>
      </c>
      <c r="J3347" s="7" t="str">
        <f t="shared" si="174"/>
        <v>PAGADO</v>
      </c>
    </row>
    <row r="3348" spans="1:12" x14ac:dyDescent="0.25">
      <c r="A3348">
        <v>2025</v>
      </c>
      <c r="C3348" s="9" t="s">
        <v>3233</v>
      </c>
      <c r="D3348" s="9" t="s">
        <v>3234</v>
      </c>
      <c r="F3348" s="6">
        <v>150</v>
      </c>
      <c r="G3348" s="6">
        <f t="shared" si="172"/>
        <v>150</v>
      </c>
      <c r="H3348" s="6">
        <v>150</v>
      </c>
      <c r="I3348" s="26">
        <f t="shared" si="173"/>
        <v>0</v>
      </c>
      <c r="J3348" s="7" t="str">
        <f t="shared" si="174"/>
        <v>PAGADO</v>
      </c>
    </row>
    <row r="3349" spans="1:12" x14ac:dyDescent="0.25">
      <c r="A3349">
        <v>2025</v>
      </c>
      <c r="C3349" t="s">
        <v>3235</v>
      </c>
      <c r="D3349" t="s">
        <v>3158</v>
      </c>
      <c r="F3349" s="6">
        <v>80</v>
      </c>
      <c r="G3349" s="6">
        <f t="shared" si="172"/>
        <v>80</v>
      </c>
      <c r="H3349" s="6">
        <f>50+30</f>
        <v>80</v>
      </c>
      <c r="I3349" s="26">
        <f t="shared" si="173"/>
        <v>0</v>
      </c>
      <c r="J3349" s="7" t="str">
        <f t="shared" si="174"/>
        <v>PAGADO</v>
      </c>
    </row>
    <row r="3350" spans="1:12" x14ac:dyDescent="0.25">
      <c r="A3350">
        <v>2025</v>
      </c>
      <c r="C3350" s="9" t="s">
        <v>3236</v>
      </c>
      <c r="D3350" s="9" t="s">
        <v>3237</v>
      </c>
      <c r="F3350" s="6">
        <v>50</v>
      </c>
      <c r="G3350" s="6">
        <f t="shared" si="172"/>
        <v>50</v>
      </c>
      <c r="H3350" s="6">
        <v>50</v>
      </c>
      <c r="I3350" s="26">
        <f t="shared" si="173"/>
        <v>0</v>
      </c>
      <c r="J3350" s="7" t="str">
        <f t="shared" si="174"/>
        <v>PAGADO</v>
      </c>
    </row>
    <row r="3351" spans="1:12" x14ac:dyDescent="0.25">
      <c r="A3351">
        <v>2025</v>
      </c>
      <c r="C3351" s="9" t="s">
        <v>3238</v>
      </c>
      <c r="D3351" s="9" t="s">
        <v>3237</v>
      </c>
      <c r="F3351" s="6">
        <v>85</v>
      </c>
      <c r="G3351" s="6">
        <f t="shared" si="172"/>
        <v>85</v>
      </c>
      <c r="H3351" s="6">
        <v>85</v>
      </c>
      <c r="I3351" s="26">
        <f t="shared" si="173"/>
        <v>0</v>
      </c>
      <c r="J3351" s="7" t="str">
        <f t="shared" si="174"/>
        <v>PAGADO</v>
      </c>
    </row>
    <row r="3352" spans="1:12" x14ac:dyDescent="0.25">
      <c r="A3352">
        <v>2025</v>
      </c>
      <c r="C3352" t="s">
        <v>3239</v>
      </c>
      <c r="D3352" t="s">
        <v>2018</v>
      </c>
      <c r="F3352" s="6">
        <v>120</v>
      </c>
      <c r="G3352" s="6">
        <f t="shared" si="172"/>
        <v>120</v>
      </c>
      <c r="H3352" s="6">
        <f>30+90</f>
        <v>120</v>
      </c>
      <c r="I3352" s="26">
        <f t="shared" si="173"/>
        <v>0</v>
      </c>
      <c r="J3352" s="7" t="str">
        <f t="shared" si="174"/>
        <v>PAGADO</v>
      </c>
      <c r="L3352" t="s">
        <v>3240</v>
      </c>
    </row>
    <row r="3353" spans="1:12" x14ac:dyDescent="0.25">
      <c r="A3353">
        <v>2025</v>
      </c>
      <c r="C3353" t="s">
        <v>3241</v>
      </c>
      <c r="D3353" s="9" t="s">
        <v>1560</v>
      </c>
      <c r="F3353" s="6">
        <v>45</v>
      </c>
      <c r="G3353" s="6">
        <f t="shared" si="172"/>
        <v>45</v>
      </c>
      <c r="H3353" s="6">
        <v>45</v>
      </c>
      <c r="I3353" s="6">
        <f t="shared" si="173"/>
        <v>0</v>
      </c>
      <c r="J3353" s="7" t="str">
        <f t="shared" si="174"/>
        <v>PAGADO</v>
      </c>
    </row>
    <row r="3354" spans="1:12" x14ac:dyDescent="0.25">
      <c r="A3354">
        <v>2025</v>
      </c>
      <c r="C3354" t="s">
        <v>3242</v>
      </c>
      <c r="D3354" t="s">
        <v>2906</v>
      </c>
      <c r="F3354" s="6">
        <v>80</v>
      </c>
      <c r="G3354" s="6">
        <f t="shared" si="172"/>
        <v>80</v>
      </c>
      <c r="H3354" s="6">
        <v>80</v>
      </c>
      <c r="I3354" s="26">
        <f t="shared" si="173"/>
        <v>0</v>
      </c>
      <c r="J3354" s="7" t="str">
        <f t="shared" si="174"/>
        <v>PAGADO</v>
      </c>
      <c r="K3354" s="33" t="s">
        <v>2640</v>
      </c>
    </row>
    <row r="3355" spans="1:12" x14ac:dyDescent="0.25">
      <c r="A3355">
        <v>2025</v>
      </c>
      <c r="C3355" s="9" t="s">
        <v>3243</v>
      </c>
      <c r="D3355" s="9" t="s">
        <v>3038</v>
      </c>
      <c r="F3355" s="6">
        <v>150</v>
      </c>
      <c r="G3355" s="6">
        <f t="shared" si="172"/>
        <v>150</v>
      </c>
      <c r="H3355" s="6">
        <v>150</v>
      </c>
      <c r="I3355" s="26">
        <f t="shared" si="173"/>
        <v>0</v>
      </c>
      <c r="J3355" s="7" t="str">
        <f t="shared" si="174"/>
        <v>PAGADO</v>
      </c>
    </row>
    <row r="3356" spans="1:12" x14ac:dyDescent="0.25">
      <c r="A3356">
        <v>2025</v>
      </c>
      <c r="C3356" s="9" t="s">
        <v>3244</v>
      </c>
      <c r="D3356" s="9" t="s">
        <v>3038</v>
      </c>
      <c r="F3356" s="6">
        <v>150</v>
      </c>
      <c r="G3356" s="6">
        <f t="shared" si="172"/>
        <v>150</v>
      </c>
      <c r="H3356" s="6">
        <v>150</v>
      </c>
      <c r="I3356" s="26">
        <f t="shared" si="173"/>
        <v>0</v>
      </c>
      <c r="J3356" s="7" t="str">
        <f t="shared" si="174"/>
        <v>PAGADO</v>
      </c>
    </row>
    <row r="3357" spans="1:12" x14ac:dyDescent="0.25">
      <c r="A3357">
        <v>2025</v>
      </c>
      <c r="C3357" s="9" t="s">
        <v>3245</v>
      </c>
      <c r="D3357" s="9" t="s">
        <v>1523</v>
      </c>
      <c r="F3357" s="6">
        <v>120</v>
      </c>
      <c r="G3357" s="6">
        <f t="shared" si="172"/>
        <v>120</v>
      </c>
      <c r="H3357" s="6">
        <v>120</v>
      </c>
      <c r="I3357" s="26">
        <f t="shared" si="173"/>
        <v>0</v>
      </c>
      <c r="J3357" s="7" t="str">
        <f t="shared" si="174"/>
        <v>PAGADO</v>
      </c>
    </row>
    <row r="3358" spans="1:12" x14ac:dyDescent="0.25">
      <c r="A3358">
        <v>2025</v>
      </c>
      <c r="C3358" s="9" t="s">
        <v>3246</v>
      </c>
      <c r="D3358" s="9" t="s">
        <v>1523</v>
      </c>
      <c r="F3358" s="6">
        <v>60</v>
      </c>
      <c r="G3358" s="6">
        <f t="shared" si="172"/>
        <v>60</v>
      </c>
      <c r="H3358" s="6">
        <v>60</v>
      </c>
      <c r="I3358" s="26">
        <f t="shared" si="173"/>
        <v>0</v>
      </c>
      <c r="J3358" s="7" t="str">
        <f t="shared" si="174"/>
        <v>PAGADO</v>
      </c>
    </row>
    <row r="3359" spans="1:12" x14ac:dyDescent="0.25">
      <c r="A3359">
        <v>2025</v>
      </c>
      <c r="C3359" s="9" t="s">
        <v>1819</v>
      </c>
      <c r="D3359" s="9" t="s">
        <v>3247</v>
      </c>
      <c r="F3359" s="6">
        <v>70</v>
      </c>
      <c r="G3359" s="6">
        <f t="shared" si="172"/>
        <v>70</v>
      </c>
      <c r="H3359" s="6">
        <v>70</v>
      </c>
      <c r="I3359" s="26">
        <f t="shared" si="173"/>
        <v>0</v>
      </c>
      <c r="J3359" s="7" t="str">
        <f t="shared" si="174"/>
        <v>PAGADO</v>
      </c>
    </row>
    <row r="3360" spans="1:12" x14ac:dyDescent="0.25">
      <c r="A3360">
        <v>2025</v>
      </c>
      <c r="C3360" s="9" t="s">
        <v>695</v>
      </c>
      <c r="D3360" s="9" t="s">
        <v>3247</v>
      </c>
      <c r="F3360" s="6">
        <v>50</v>
      </c>
      <c r="G3360" s="6">
        <f t="shared" si="172"/>
        <v>50</v>
      </c>
      <c r="H3360" s="6">
        <v>50</v>
      </c>
      <c r="I3360" s="26">
        <f t="shared" si="173"/>
        <v>0</v>
      </c>
      <c r="J3360" s="7" t="str">
        <f t="shared" si="174"/>
        <v>PAGADO</v>
      </c>
    </row>
    <row r="3361" spans="1:11" x14ac:dyDescent="0.25">
      <c r="A3361">
        <v>2025</v>
      </c>
      <c r="C3361" s="9" t="s">
        <v>3248</v>
      </c>
      <c r="D3361" s="9" t="s">
        <v>3249</v>
      </c>
      <c r="F3361" s="6">
        <v>55</v>
      </c>
      <c r="G3361" s="6">
        <f t="shared" si="172"/>
        <v>55</v>
      </c>
      <c r="H3361" s="6">
        <v>55</v>
      </c>
      <c r="I3361" s="26">
        <f t="shared" si="173"/>
        <v>0</v>
      </c>
      <c r="J3361" s="7" t="str">
        <f t="shared" si="174"/>
        <v>PAGADO</v>
      </c>
    </row>
    <row r="3362" spans="1:11" x14ac:dyDescent="0.25">
      <c r="A3362">
        <v>2025</v>
      </c>
      <c r="C3362" s="9" t="s">
        <v>3250</v>
      </c>
      <c r="D3362" s="9" t="s">
        <v>3249</v>
      </c>
      <c r="F3362" s="6">
        <v>70</v>
      </c>
      <c r="G3362" s="6">
        <f t="shared" si="172"/>
        <v>70</v>
      </c>
      <c r="H3362" s="6">
        <v>70</v>
      </c>
      <c r="I3362" s="26">
        <f t="shared" si="173"/>
        <v>0</v>
      </c>
      <c r="J3362" s="7" t="str">
        <f t="shared" si="174"/>
        <v>PAGADO</v>
      </c>
    </row>
    <row r="3363" spans="1:11" x14ac:dyDescent="0.25">
      <c r="A3363">
        <v>2025</v>
      </c>
      <c r="C3363" s="9" t="s">
        <v>3251</v>
      </c>
      <c r="D3363" s="9" t="s">
        <v>3252</v>
      </c>
      <c r="F3363" s="6">
        <v>200</v>
      </c>
      <c r="G3363" s="6">
        <f t="shared" si="172"/>
        <v>200</v>
      </c>
      <c r="H3363" s="6">
        <f>20+180</f>
        <v>200</v>
      </c>
      <c r="I3363" s="26">
        <f t="shared" si="173"/>
        <v>0</v>
      </c>
      <c r="J3363" s="7" t="str">
        <f t="shared" si="174"/>
        <v>PAGADO</v>
      </c>
    </row>
    <row r="3364" spans="1:11" x14ac:dyDescent="0.25">
      <c r="A3364">
        <v>2025</v>
      </c>
      <c r="C3364" t="s">
        <v>3253</v>
      </c>
      <c r="D3364" s="9" t="s">
        <v>2906</v>
      </c>
      <c r="F3364" s="6">
        <v>70</v>
      </c>
      <c r="G3364" s="6">
        <f t="shared" si="172"/>
        <v>70</v>
      </c>
      <c r="H3364" s="6">
        <v>70</v>
      </c>
      <c r="I3364" s="26">
        <f t="shared" si="173"/>
        <v>0</v>
      </c>
      <c r="J3364" s="7" t="str">
        <f t="shared" si="174"/>
        <v>PAGADO</v>
      </c>
    </row>
    <row r="3365" spans="1:11" x14ac:dyDescent="0.25">
      <c r="A3365">
        <v>2025</v>
      </c>
      <c r="C3365" s="9" t="s">
        <v>3254</v>
      </c>
      <c r="D3365" s="9" t="s">
        <v>1078</v>
      </c>
      <c r="F3365" s="6">
        <v>70</v>
      </c>
      <c r="G3365" s="6">
        <f t="shared" si="172"/>
        <v>70</v>
      </c>
      <c r="H3365" s="6">
        <v>70</v>
      </c>
      <c r="I3365" s="26">
        <f t="shared" si="173"/>
        <v>0</v>
      </c>
      <c r="J3365" s="7" t="str">
        <f t="shared" si="174"/>
        <v>PAGADO</v>
      </c>
    </row>
    <row r="3366" spans="1:11" x14ac:dyDescent="0.25">
      <c r="A3366">
        <v>2025</v>
      </c>
      <c r="C3366" s="9" t="s">
        <v>2797</v>
      </c>
      <c r="D3366" t="s">
        <v>2906</v>
      </c>
      <c r="F3366" s="6">
        <v>65</v>
      </c>
      <c r="G3366" s="6">
        <f t="shared" si="172"/>
        <v>65</v>
      </c>
      <c r="H3366" s="6">
        <f>32.5+32.5</f>
        <v>65</v>
      </c>
      <c r="I3366" s="26">
        <f t="shared" si="173"/>
        <v>0</v>
      </c>
      <c r="J3366" s="7" t="str">
        <f t="shared" si="174"/>
        <v>PAGADO</v>
      </c>
      <c r="K3366" s="33" t="s">
        <v>1815</v>
      </c>
    </row>
    <row r="3367" spans="1:11" x14ac:dyDescent="0.25">
      <c r="A3367">
        <v>2025</v>
      </c>
      <c r="C3367" s="9" t="s">
        <v>3255</v>
      </c>
      <c r="D3367" t="s">
        <v>3256</v>
      </c>
      <c r="F3367" s="6">
        <v>60</v>
      </c>
      <c r="G3367" s="6">
        <f t="shared" si="172"/>
        <v>60</v>
      </c>
      <c r="H3367" s="6">
        <v>60</v>
      </c>
      <c r="I3367" s="26">
        <f t="shared" si="173"/>
        <v>0</v>
      </c>
      <c r="J3367" s="7" t="str">
        <f t="shared" si="174"/>
        <v>PAGADO</v>
      </c>
    </row>
    <row r="3368" spans="1:11" x14ac:dyDescent="0.25">
      <c r="A3368">
        <v>2025</v>
      </c>
      <c r="C3368" t="s">
        <v>3257</v>
      </c>
      <c r="D3368" t="s">
        <v>2105</v>
      </c>
      <c r="F3368" s="6">
        <v>320</v>
      </c>
      <c r="G3368" s="6">
        <f t="shared" si="172"/>
        <v>320</v>
      </c>
      <c r="H3368" s="6">
        <f>160+160</f>
        <v>320</v>
      </c>
      <c r="I3368" s="26">
        <f t="shared" si="173"/>
        <v>0</v>
      </c>
      <c r="J3368" s="7" t="str">
        <f t="shared" si="174"/>
        <v>PAGADO</v>
      </c>
      <c r="K3368" s="33" t="s">
        <v>2640</v>
      </c>
    </row>
    <row r="3369" spans="1:11" x14ac:dyDescent="0.25">
      <c r="A3369">
        <v>2025</v>
      </c>
      <c r="C3369" t="s">
        <v>3258</v>
      </c>
      <c r="D3369" t="s">
        <v>3259</v>
      </c>
      <c r="F3369" s="6">
        <v>60</v>
      </c>
      <c r="G3369" s="6">
        <f t="shared" si="172"/>
        <v>60</v>
      </c>
      <c r="H3369" s="6">
        <v>60</v>
      </c>
      <c r="I3369" s="26">
        <f t="shared" si="173"/>
        <v>0</v>
      </c>
      <c r="J3369" s="7" t="str">
        <f t="shared" si="174"/>
        <v>PAGADO</v>
      </c>
    </row>
    <row r="3370" spans="1:11" x14ac:dyDescent="0.25">
      <c r="A3370">
        <v>2025</v>
      </c>
      <c r="C3370" s="9" t="s">
        <v>3260</v>
      </c>
      <c r="D3370" s="9" t="s">
        <v>1849</v>
      </c>
      <c r="F3370" s="6">
        <v>600</v>
      </c>
      <c r="G3370" s="6">
        <f t="shared" si="172"/>
        <v>600</v>
      </c>
      <c r="H3370" s="6">
        <v>600</v>
      </c>
      <c r="I3370" s="26">
        <f t="shared" si="173"/>
        <v>0</v>
      </c>
      <c r="J3370" s="7" t="str">
        <f t="shared" si="174"/>
        <v>PAGADO</v>
      </c>
    </row>
    <row r="3371" spans="1:11" x14ac:dyDescent="0.25">
      <c r="A3371">
        <v>2025</v>
      </c>
      <c r="C3371" s="9" t="s">
        <v>3261</v>
      </c>
      <c r="D3371" s="9" t="s">
        <v>3262</v>
      </c>
      <c r="F3371" s="6">
        <v>55</v>
      </c>
      <c r="G3371" s="6">
        <f t="shared" si="172"/>
        <v>55</v>
      </c>
      <c r="H3371" s="6">
        <v>55</v>
      </c>
      <c r="I3371" s="26">
        <f t="shared" si="173"/>
        <v>0</v>
      </c>
      <c r="J3371" s="7" t="str">
        <f t="shared" si="174"/>
        <v>PAGADO</v>
      </c>
    </row>
    <row r="3372" spans="1:11" x14ac:dyDescent="0.25">
      <c r="A3372">
        <v>2025</v>
      </c>
      <c r="C3372" s="9" t="s">
        <v>3263</v>
      </c>
      <c r="D3372" s="9" t="s">
        <v>2906</v>
      </c>
      <c r="F3372" s="6">
        <v>130</v>
      </c>
      <c r="G3372" s="6">
        <f t="shared" si="172"/>
        <v>130</v>
      </c>
      <c r="H3372" s="6">
        <v>130</v>
      </c>
      <c r="I3372" s="26">
        <f t="shared" si="173"/>
        <v>0</v>
      </c>
      <c r="J3372" s="7" t="str">
        <f t="shared" si="174"/>
        <v>PAGADO</v>
      </c>
    </row>
    <row r="3373" spans="1:11" x14ac:dyDescent="0.25">
      <c r="A3373">
        <v>2025</v>
      </c>
      <c r="C3373" s="9" t="s">
        <v>3264</v>
      </c>
      <c r="D3373" s="9" t="s">
        <v>2906</v>
      </c>
      <c r="F3373" s="6">
        <v>150</v>
      </c>
      <c r="G3373" s="6">
        <f t="shared" si="172"/>
        <v>150</v>
      </c>
      <c r="H3373" s="6">
        <v>150</v>
      </c>
      <c r="I3373" s="26">
        <f t="shared" si="173"/>
        <v>0</v>
      </c>
      <c r="J3373" s="7" t="str">
        <f t="shared" si="174"/>
        <v>PAGADO</v>
      </c>
      <c r="K3373" s="33" t="s">
        <v>2640</v>
      </c>
    </row>
    <row r="3374" spans="1:11" x14ac:dyDescent="0.25">
      <c r="A3374">
        <v>2025</v>
      </c>
      <c r="C3374" t="s">
        <v>3265</v>
      </c>
      <c r="D3374" s="9" t="s">
        <v>3213</v>
      </c>
      <c r="F3374" s="6">
        <v>290</v>
      </c>
      <c r="G3374" s="6">
        <f t="shared" si="172"/>
        <v>290</v>
      </c>
      <c r="H3374" s="6">
        <v>290</v>
      </c>
      <c r="I3374" s="26">
        <f t="shared" si="173"/>
        <v>0</v>
      </c>
      <c r="J3374" s="7" t="str">
        <f t="shared" si="174"/>
        <v>PAGADO</v>
      </c>
      <c r="K3374" s="33" t="s">
        <v>2640</v>
      </c>
    </row>
    <row r="3375" spans="1:11" x14ac:dyDescent="0.25">
      <c r="A3375">
        <v>2025</v>
      </c>
      <c r="C3375" s="9" t="s">
        <v>1817</v>
      </c>
      <c r="D3375" s="9" t="s">
        <v>3266</v>
      </c>
      <c r="F3375" s="6">
        <v>80</v>
      </c>
      <c r="G3375" s="6">
        <f t="shared" si="172"/>
        <v>80</v>
      </c>
      <c r="H3375" s="6">
        <v>80</v>
      </c>
      <c r="I3375" s="26">
        <f t="shared" si="173"/>
        <v>0</v>
      </c>
      <c r="J3375" s="7" t="str">
        <f t="shared" si="174"/>
        <v>PAGADO</v>
      </c>
    </row>
    <row r="3376" spans="1:11" x14ac:dyDescent="0.25">
      <c r="A3376">
        <v>2025</v>
      </c>
      <c r="C3376" s="9" t="s">
        <v>3267</v>
      </c>
      <c r="D3376" t="s">
        <v>816</v>
      </c>
      <c r="F3376" s="6">
        <v>75</v>
      </c>
      <c r="G3376" s="6">
        <f t="shared" si="172"/>
        <v>75</v>
      </c>
      <c r="H3376" s="6">
        <v>75</v>
      </c>
      <c r="I3376" s="74">
        <f t="shared" si="173"/>
        <v>0</v>
      </c>
      <c r="J3376" s="7" t="str">
        <f t="shared" si="174"/>
        <v>PAGADO</v>
      </c>
    </row>
    <row r="3377" spans="1:12" x14ac:dyDescent="0.25">
      <c r="A3377">
        <v>2025</v>
      </c>
      <c r="C3377" s="9" t="s">
        <v>3268</v>
      </c>
      <c r="D3377" t="s">
        <v>3269</v>
      </c>
      <c r="F3377" s="6">
        <v>35</v>
      </c>
      <c r="G3377" s="6">
        <f t="shared" si="172"/>
        <v>35</v>
      </c>
      <c r="H3377" s="6">
        <v>35</v>
      </c>
      <c r="I3377" s="26">
        <f t="shared" si="173"/>
        <v>0</v>
      </c>
      <c r="J3377" s="7" t="str">
        <f t="shared" si="174"/>
        <v>PAGADO</v>
      </c>
    </row>
    <row r="3378" spans="1:12" x14ac:dyDescent="0.25">
      <c r="A3378">
        <v>2025</v>
      </c>
      <c r="C3378" s="9" t="s">
        <v>1701</v>
      </c>
      <c r="D3378" t="s">
        <v>3270</v>
      </c>
      <c r="F3378" s="6">
        <v>60</v>
      </c>
      <c r="G3378" s="6">
        <f t="shared" si="172"/>
        <v>60</v>
      </c>
      <c r="H3378" s="6">
        <v>60</v>
      </c>
      <c r="I3378" s="26">
        <f t="shared" si="173"/>
        <v>0</v>
      </c>
      <c r="J3378" s="7" t="str">
        <f t="shared" si="174"/>
        <v>PAGADO</v>
      </c>
    </row>
    <row r="3379" spans="1:12" x14ac:dyDescent="0.25">
      <c r="A3379">
        <v>2025</v>
      </c>
      <c r="C3379" s="9" t="s">
        <v>3271</v>
      </c>
      <c r="D3379" t="s">
        <v>3270</v>
      </c>
      <c r="F3379" s="6">
        <v>65</v>
      </c>
      <c r="G3379" s="6">
        <f t="shared" si="172"/>
        <v>65</v>
      </c>
      <c r="H3379" s="6">
        <v>65</v>
      </c>
      <c r="I3379" s="26">
        <f t="shared" si="173"/>
        <v>0</v>
      </c>
      <c r="J3379" s="7" t="str">
        <f t="shared" si="174"/>
        <v>PAGADO</v>
      </c>
    </row>
    <row r="3380" spans="1:12" x14ac:dyDescent="0.25">
      <c r="A3380">
        <v>2025</v>
      </c>
      <c r="C3380" s="9" t="s">
        <v>3272</v>
      </c>
      <c r="D3380" s="9" t="s">
        <v>1679</v>
      </c>
      <c r="F3380" s="6">
        <v>50</v>
      </c>
      <c r="G3380" s="6">
        <f t="shared" si="172"/>
        <v>50</v>
      </c>
      <c r="H3380" s="24">
        <f>25+25</f>
        <v>50</v>
      </c>
      <c r="I3380" s="26">
        <f t="shared" si="173"/>
        <v>0</v>
      </c>
      <c r="J3380" s="7" t="str">
        <f t="shared" si="174"/>
        <v>PAGADO</v>
      </c>
      <c r="K3380" s="33" t="s">
        <v>2640</v>
      </c>
    </row>
    <row r="3381" spans="1:12" x14ac:dyDescent="0.25">
      <c r="A3381">
        <v>2025</v>
      </c>
      <c r="C3381" s="9" t="s">
        <v>3273</v>
      </c>
      <c r="D3381" s="9" t="s">
        <v>1679</v>
      </c>
      <c r="F3381" s="6">
        <v>70</v>
      </c>
      <c r="G3381" s="6">
        <f t="shared" si="172"/>
        <v>70</v>
      </c>
      <c r="H3381" s="24">
        <f>35+35</f>
        <v>70</v>
      </c>
      <c r="I3381" s="26">
        <f t="shared" si="173"/>
        <v>0</v>
      </c>
      <c r="J3381" s="7" t="str">
        <f t="shared" si="174"/>
        <v>PAGADO</v>
      </c>
      <c r="K3381" s="33" t="s">
        <v>1815</v>
      </c>
      <c r="L3381" s="9" t="s">
        <v>3274</v>
      </c>
    </row>
    <row r="3382" spans="1:12" x14ac:dyDescent="0.25">
      <c r="A3382">
        <v>2025</v>
      </c>
      <c r="C3382" s="9" t="s">
        <v>3275</v>
      </c>
      <c r="D3382" s="9" t="s">
        <v>45</v>
      </c>
      <c r="F3382" s="6">
        <v>70</v>
      </c>
      <c r="G3382" s="6">
        <f t="shared" si="172"/>
        <v>70</v>
      </c>
      <c r="H3382" s="6">
        <v>70</v>
      </c>
      <c r="I3382" s="26">
        <f t="shared" si="173"/>
        <v>0</v>
      </c>
      <c r="J3382" s="7" t="str">
        <f t="shared" si="174"/>
        <v>PAGADO</v>
      </c>
      <c r="K3382" s="33" t="s">
        <v>2640</v>
      </c>
    </row>
    <row r="3383" spans="1:12" x14ac:dyDescent="0.25">
      <c r="A3383">
        <v>2025</v>
      </c>
      <c r="C3383" s="9" t="s">
        <v>3276</v>
      </c>
      <c r="D3383" s="9" t="s">
        <v>80</v>
      </c>
      <c r="F3383" s="6">
        <v>100</v>
      </c>
      <c r="G3383" s="6">
        <f t="shared" si="172"/>
        <v>100</v>
      </c>
      <c r="H3383" s="6">
        <v>100</v>
      </c>
      <c r="I3383" s="26">
        <f t="shared" si="173"/>
        <v>0</v>
      </c>
      <c r="J3383" s="7" t="str">
        <f t="shared" si="174"/>
        <v>PAGADO</v>
      </c>
      <c r="K3383" s="33" t="s">
        <v>2640</v>
      </c>
    </row>
    <row r="3384" spans="1:12" x14ac:dyDescent="0.25">
      <c r="A3384">
        <v>2025</v>
      </c>
      <c r="C3384" s="9" t="s">
        <v>2637</v>
      </c>
      <c r="D3384" s="9" t="s">
        <v>67</v>
      </c>
      <c r="F3384" s="6">
        <v>90</v>
      </c>
      <c r="G3384" s="6">
        <f t="shared" si="172"/>
        <v>90</v>
      </c>
      <c r="H3384" s="6">
        <f>45+40+5</f>
        <v>90</v>
      </c>
      <c r="I3384" s="26">
        <f t="shared" si="173"/>
        <v>0</v>
      </c>
      <c r="J3384" s="7" t="str">
        <f t="shared" si="174"/>
        <v>PAGADO</v>
      </c>
      <c r="K3384" s="33" t="s">
        <v>2258</v>
      </c>
    </row>
    <row r="3385" spans="1:12" x14ac:dyDescent="0.25">
      <c r="A3385">
        <v>2025</v>
      </c>
      <c r="C3385" s="9" t="s">
        <v>1391</v>
      </c>
      <c r="D3385" s="9" t="s">
        <v>67</v>
      </c>
      <c r="F3385" s="6">
        <v>70</v>
      </c>
      <c r="G3385" s="6">
        <f t="shared" si="172"/>
        <v>70</v>
      </c>
      <c r="H3385" s="16">
        <v>70</v>
      </c>
      <c r="I3385" s="26">
        <f t="shared" si="173"/>
        <v>0</v>
      </c>
      <c r="J3385" s="7" t="str">
        <f t="shared" si="174"/>
        <v>PAGADO</v>
      </c>
      <c r="K3385" s="33" t="s">
        <v>1815</v>
      </c>
    </row>
    <row r="3386" spans="1:12" x14ac:dyDescent="0.25">
      <c r="A3386">
        <v>2025</v>
      </c>
      <c r="C3386" s="9" t="s">
        <v>3277</v>
      </c>
      <c r="D3386" s="9" t="s">
        <v>2973</v>
      </c>
      <c r="F3386" s="6">
        <v>180</v>
      </c>
      <c r="G3386" s="6">
        <f t="shared" si="172"/>
        <v>180</v>
      </c>
      <c r="H3386" s="6">
        <v>180</v>
      </c>
      <c r="I3386" s="26">
        <f t="shared" si="173"/>
        <v>0</v>
      </c>
      <c r="J3386" s="7" t="str">
        <f t="shared" si="174"/>
        <v>PAGADO</v>
      </c>
      <c r="K3386" s="33" t="s">
        <v>2640</v>
      </c>
    </row>
    <row r="3387" spans="1:12" x14ac:dyDescent="0.25">
      <c r="A3387">
        <v>2025</v>
      </c>
      <c r="C3387" s="9" t="s">
        <v>3277</v>
      </c>
      <c r="D3387" s="9" t="s">
        <v>1510</v>
      </c>
      <c r="F3387" s="6">
        <v>180</v>
      </c>
      <c r="G3387" s="6">
        <f t="shared" si="172"/>
        <v>180</v>
      </c>
      <c r="H3387" s="26">
        <f>90+90</f>
        <v>180</v>
      </c>
      <c r="I3387" s="26">
        <f t="shared" si="173"/>
        <v>0</v>
      </c>
      <c r="J3387" s="7" t="str">
        <f t="shared" si="174"/>
        <v>PAGADO</v>
      </c>
      <c r="K3387" s="33" t="s">
        <v>2640</v>
      </c>
    </row>
    <row r="3388" spans="1:12" x14ac:dyDescent="0.25">
      <c r="A3388">
        <v>2025</v>
      </c>
      <c r="C3388" s="9" t="s">
        <v>3278</v>
      </c>
      <c r="D3388" s="9" t="s">
        <v>2278</v>
      </c>
      <c r="F3388" s="6">
        <v>100</v>
      </c>
      <c r="G3388" s="6">
        <f t="shared" si="172"/>
        <v>100</v>
      </c>
      <c r="H3388" s="65">
        <f>50+50</f>
        <v>100</v>
      </c>
      <c r="I3388" s="26">
        <f t="shared" si="173"/>
        <v>0</v>
      </c>
      <c r="J3388" s="7" t="str">
        <f t="shared" si="174"/>
        <v>PAGADO</v>
      </c>
      <c r="K3388" s="33" t="s">
        <v>2640</v>
      </c>
    </row>
    <row r="3389" spans="1:12" x14ac:dyDescent="0.25">
      <c r="A3389">
        <v>2025</v>
      </c>
      <c r="C3389" s="9" t="s">
        <v>3279</v>
      </c>
      <c r="D3389" s="9" t="s">
        <v>2278</v>
      </c>
      <c r="F3389" s="6">
        <v>120</v>
      </c>
      <c r="G3389" s="6">
        <f t="shared" si="172"/>
        <v>120</v>
      </c>
      <c r="H3389" s="65">
        <f>60+60</f>
        <v>120</v>
      </c>
      <c r="I3389" s="26">
        <f t="shared" si="173"/>
        <v>0</v>
      </c>
      <c r="J3389" s="7" t="str">
        <f t="shared" si="174"/>
        <v>PAGADO</v>
      </c>
      <c r="K3389" s="33" t="s">
        <v>2640</v>
      </c>
    </row>
    <row r="3390" spans="1:12" x14ac:dyDescent="0.25">
      <c r="A3390">
        <v>2025</v>
      </c>
      <c r="C3390" s="9" t="s">
        <v>3280</v>
      </c>
      <c r="D3390" s="9" t="s">
        <v>2278</v>
      </c>
      <c r="F3390" s="6">
        <v>245</v>
      </c>
      <c r="G3390" s="6">
        <f t="shared" ref="G3390:G3453" si="175">F3390-E3390</f>
        <v>245</v>
      </c>
      <c r="H3390" s="65">
        <f>122.5+122.5</f>
        <v>245</v>
      </c>
      <c r="I3390" s="26">
        <f t="shared" si="173"/>
        <v>0</v>
      </c>
      <c r="J3390" s="7" t="str">
        <f t="shared" si="174"/>
        <v>PAGADO</v>
      </c>
      <c r="K3390" s="33" t="s">
        <v>2640</v>
      </c>
    </row>
    <row r="3391" spans="1:12" x14ac:dyDescent="0.25">
      <c r="A3391">
        <v>2025</v>
      </c>
      <c r="C3391" s="9" t="s">
        <v>3281</v>
      </c>
      <c r="D3391" s="9" t="s">
        <v>2906</v>
      </c>
      <c r="F3391" s="6">
        <v>50</v>
      </c>
      <c r="G3391" s="6">
        <f t="shared" si="175"/>
        <v>50</v>
      </c>
      <c r="H3391" s="6">
        <v>50</v>
      </c>
      <c r="I3391" s="26">
        <f t="shared" si="173"/>
        <v>0</v>
      </c>
      <c r="J3391" s="7" t="str">
        <f t="shared" si="174"/>
        <v>PAGADO</v>
      </c>
      <c r="K3391" s="33" t="s">
        <v>2640</v>
      </c>
    </row>
    <row r="3392" spans="1:12" x14ac:dyDescent="0.25">
      <c r="A3392">
        <v>2025</v>
      </c>
      <c r="C3392" s="9" t="s">
        <v>3282</v>
      </c>
      <c r="D3392" s="9" t="s">
        <v>2906</v>
      </c>
      <c r="F3392" s="6">
        <v>50</v>
      </c>
      <c r="G3392" s="6">
        <f t="shared" si="175"/>
        <v>50</v>
      </c>
      <c r="H3392" s="6">
        <v>50</v>
      </c>
      <c r="I3392" s="26">
        <f t="shared" si="173"/>
        <v>0</v>
      </c>
      <c r="J3392" s="7" t="str">
        <f t="shared" si="174"/>
        <v>PAGADO</v>
      </c>
      <c r="K3392" s="33" t="s">
        <v>2640</v>
      </c>
    </row>
    <row r="3393" spans="1:11" x14ac:dyDescent="0.25">
      <c r="A3393">
        <v>2025</v>
      </c>
      <c r="C3393" s="9" t="s">
        <v>2522</v>
      </c>
      <c r="D3393" s="9" t="s">
        <v>2969</v>
      </c>
      <c r="F3393" s="6">
        <v>70</v>
      </c>
      <c r="G3393" s="6">
        <f t="shared" si="175"/>
        <v>70</v>
      </c>
      <c r="H3393" s="6">
        <v>70</v>
      </c>
      <c r="I3393" s="26">
        <f t="shared" si="173"/>
        <v>0</v>
      </c>
      <c r="J3393" s="7" t="str">
        <f t="shared" si="174"/>
        <v>PAGADO</v>
      </c>
      <c r="K3393" s="33" t="s">
        <v>2640</v>
      </c>
    </row>
    <row r="3394" spans="1:11" x14ac:dyDescent="0.25">
      <c r="A3394">
        <v>2025</v>
      </c>
      <c r="C3394" s="9" t="s">
        <v>3283</v>
      </c>
      <c r="D3394" s="9" t="s">
        <v>2969</v>
      </c>
      <c r="F3394" s="6">
        <v>60</v>
      </c>
      <c r="G3394" s="6">
        <f t="shared" si="175"/>
        <v>60</v>
      </c>
      <c r="H3394" s="6">
        <v>60</v>
      </c>
      <c r="I3394" s="26">
        <f t="shared" si="173"/>
        <v>0</v>
      </c>
      <c r="J3394" s="7" t="str">
        <f t="shared" si="174"/>
        <v>PAGADO</v>
      </c>
      <c r="K3394" s="33" t="s">
        <v>2640</v>
      </c>
    </row>
    <row r="3395" spans="1:11" x14ac:dyDescent="0.25">
      <c r="A3395">
        <v>2025</v>
      </c>
      <c r="C3395" s="9" t="s">
        <v>3284</v>
      </c>
      <c r="D3395" s="9" t="s">
        <v>2969</v>
      </c>
      <c r="F3395" s="6">
        <v>65</v>
      </c>
      <c r="G3395" s="6">
        <f t="shared" si="175"/>
        <v>65</v>
      </c>
      <c r="H3395" s="6">
        <v>65</v>
      </c>
      <c r="I3395" s="26">
        <f t="shared" si="173"/>
        <v>0</v>
      </c>
      <c r="J3395" s="7" t="str">
        <f t="shared" si="174"/>
        <v>PAGADO</v>
      </c>
      <c r="K3395" s="33" t="s">
        <v>2640</v>
      </c>
    </row>
    <row r="3396" spans="1:11" x14ac:dyDescent="0.25">
      <c r="A3396">
        <v>2025</v>
      </c>
      <c r="C3396" s="9" t="s">
        <v>3285</v>
      </c>
      <c r="D3396" s="9" t="s">
        <v>2969</v>
      </c>
      <c r="F3396" s="6">
        <v>65</v>
      </c>
      <c r="G3396" s="6">
        <f t="shared" si="175"/>
        <v>65</v>
      </c>
      <c r="H3396" s="6">
        <v>65</v>
      </c>
      <c r="I3396" s="26">
        <f t="shared" si="173"/>
        <v>0</v>
      </c>
      <c r="J3396" s="7" t="str">
        <f t="shared" si="174"/>
        <v>PAGADO</v>
      </c>
      <c r="K3396" s="33" t="s">
        <v>2640</v>
      </c>
    </row>
    <row r="3397" spans="1:11" x14ac:dyDescent="0.25">
      <c r="A3397">
        <v>2025</v>
      </c>
      <c r="C3397" t="s">
        <v>3257</v>
      </c>
      <c r="D3397" t="s">
        <v>2757</v>
      </c>
      <c r="F3397" s="6">
        <v>320</v>
      </c>
      <c r="G3397" s="6">
        <f t="shared" si="175"/>
        <v>320</v>
      </c>
      <c r="H3397" s="6">
        <f>160+160</f>
        <v>320</v>
      </c>
      <c r="I3397" s="26">
        <f t="shared" si="173"/>
        <v>0</v>
      </c>
      <c r="J3397" s="7" t="str">
        <f t="shared" si="174"/>
        <v>PAGADO</v>
      </c>
      <c r="K3397" s="33" t="s">
        <v>2640</v>
      </c>
    </row>
    <row r="3398" spans="1:11" x14ac:dyDescent="0.25">
      <c r="A3398">
        <v>2025</v>
      </c>
      <c r="C3398" t="s">
        <v>3286</v>
      </c>
      <c r="D3398" t="s">
        <v>1849</v>
      </c>
      <c r="F3398" s="6">
        <v>65</v>
      </c>
      <c r="G3398" s="6">
        <f t="shared" si="175"/>
        <v>65</v>
      </c>
      <c r="H3398" s="6">
        <v>65</v>
      </c>
      <c r="I3398" s="26">
        <f t="shared" si="173"/>
        <v>0</v>
      </c>
      <c r="J3398" s="7" t="str">
        <f t="shared" si="174"/>
        <v>PAGADO</v>
      </c>
      <c r="K3398" s="33" t="s">
        <v>2640</v>
      </c>
    </row>
    <row r="3399" spans="1:11" x14ac:dyDescent="0.25">
      <c r="A3399">
        <v>2025</v>
      </c>
      <c r="C3399" t="s">
        <v>3287</v>
      </c>
      <c r="D3399" t="s">
        <v>2935</v>
      </c>
      <c r="F3399" s="6">
        <v>90</v>
      </c>
      <c r="G3399" s="6">
        <f t="shared" si="175"/>
        <v>90</v>
      </c>
      <c r="H3399" s="6">
        <v>90</v>
      </c>
      <c r="I3399" s="26">
        <f t="shared" si="173"/>
        <v>0</v>
      </c>
      <c r="J3399" s="7" t="str">
        <f t="shared" si="174"/>
        <v>PAGADO</v>
      </c>
      <c r="K3399" s="33" t="s">
        <v>2640</v>
      </c>
    </row>
    <row r="3400" spans="1:11" x14ac:dyDescent="0.25">
      <c r="A3400">
        <v>2025</v>
      </c>
      <c r="C3400" t="s">
        <v>3288</v>
      </c>
      <c r="D3400" t="s">
        <v>2935</v>
      </c>
      <c r="F3400" s="6">
        <v>100</v>
      </c>
      <c r="G3400" s="6">
        <f t="shared" si="175"/>
        <v>100</v>
      </c>
      <c r="H3400" s="6">
        <v>100</v>
      </c>
      <c r="I3400" s="26">
        <f t="shared" si="173"/>
        <v>0</v>
      </c>
      <c r="J3400" s="7" t="str">
        <f t="shared" si="174"/>
        <v>PAGADO</v>
      </c>
      <c r="K3400" s="33" t="s">
        <v>2640</v>
      </c>
    </row>
    <row r="3401" spans="1:11" x14ac:dyDescent="0.25">
      <c r="A3401">
        <v>2025</v>
      </c>
      <c r="C3401" t="s">
        <v>3289</v>
      </c>
      <c r="D3401" t="s">
        <v>2935</v>
      </c>
      <c r="F3401" s="6">
        <v>70</v>
      </c>
      <c r="G3401" s="6">
        <f t="shared" si="175"/>
        <v>70</v>
      </c>
      <c r="H3401" s="6">
        <v>70</v>
      </c>
      <c r="I3401" s="26">
        <f t="shared" si="173"/>
        <v>0</v>
      </c>
      <c r="J3401" s="7" t="str">
        <f t="shared" si="174"/>
        <v>PAGADO</v>
      </c>
      <c r="K3401" s="33" t="s">
        <v>2640</v>
      </c>
    </row>
    <row r="3402" spans="1:11" x14ac:dyDescent="0.25">
      <c r="A3402">
        <v>2025</v>
      </c>
      <c r="C3402" t="s">
        <v>3290</v>
      </c>
      <c r="D3402" t="s">
        <v>2935</v>
      </c>
      <c r="F3402" s="6">
        <v>90</v>
      </c>
      <c r="G3402" s="6">
        <f t="shared" si="175"/>
        <v>90</v>
      </c>
      <c r="H3402" s="6">
        <v>90</v>
      </c>
      <c r="I3402" s="26">
        <f t="shared" si="173"/>
        <v>0</v>
      </c>
      <c r="J3402" s="7" t="str">
        <f t="shared" si="174"/>
        <v>PAGADO</v>
      </c>
      <c r="K3402" s="33" t="s">
        <v>2640</v>
      </c>
    </row>
    <row r="3403" spans="1:11" x14ac:dyDescent="0.25">
      <c r="A3403">
        <v>2025</v>
      </c>
      <c r="C3403" s="9" t="s">
        <v>3291</v>
      </c>
      <c r="D3403" s="9" t="s">
        <v>2278</v>
      </c>
      <c r="F3403" s="6">
        <v>70</v>
      </c>
      <c r="G3403" s="6">
        <f t="shared" si="175"/>
        <v>70</v>
      </c>
      <c r="H3403" s="65">
        <f>35+35</f>
        <v>70</v>
      </c>
      <c r="I3403" s="26">
        <f t="shared" si="173"/>
        <v>0</v>
      </c>
      <c r="J3403" s="7" t="str">
        <f t="shared" si="174"/>
        <v>PAGADO</v>
      </c>
      <c r="K3403" s="33" t="s">
        <v>2640</v>
      </c>
    </row>
    <row r="3404" spans="1:11" x14ac:dyDescent="0.25">
      <c r="A3404">
        <v>2025</v>
      </c>
      <c r="C3404" s="9" t="s">
        <v>3284</v>
      </c>
      <c r="D3404" s="9" t="s">
        <v>2363</v>
      </c>
      <c r="F3404" s="6">
        <v>65</v>
      </c>
      <c r="G3404" s="6">
        <f t="shared" si="175"/>
        <v>65</v>
      </c>
      <c r="H3404" s="6">
        <v>65</v>
      </c>
      <c r="I3404" s="26">
        <f t="shared" si="173"/>
        <v>0</v>
      </c>
      <c r="J3404" s="7" t="str">
        <f t="shared" si="174"/>
        <v>PAGADO</v>
      </c>
      <c r="K3404" s="33" t="s">
        <v>693</v>
      </c>
    </row>
    <row r="3405" spans="1:11" x14ac:dyDescent="0.25">
      <c r="A3405">
        <v>2025</v>
      </c>
      <c r="C3405" s="9" t="s">
        <v>3285</v>
      </c>
      <c r="D3405" s="9" t="s">
        <v>2363</v>
      </c>
      <c r="F3405" s="6">
        <v>65</v>
      </c>
      <c r="G3405" s="6">
        <f t="shared" si="175"/>
        <v>65</v>
      </c>
      <c r="H3405" s="6">
        <v>65</v>
      </c>
      <c r="I3405" s="26">
        <f t="shared" si="173"/>
        <v>0</v>
      </c>
      <c r="J3405" s="7" t="str">
        <f t="shared" si="174"/>
        <v>PAGADO</v>
      </c>
      <c r="K3405" s="33" t="s">
        <v>693</v>
      </c>
    </row>
    <row r="3406" spans="1:11" x14ac:dyDescent="0.25">
      <c r="A3406">
        <v>2025</v>
      </c>
      <c r="C3406" s="9" t="s">
        <v>3292</v>
      </c>
      <c r="D3406" s="9" t="s">
        <v>2363</v>
      </c>
      <c r="F3406" s="6">
        <v>60</v>
      </c>
      <c r="G3406" s="6">
        <f t="shared" si="175"/>
        <v>60</v>
      </c>
      <c r="H3406" s="6">
        <v>60</v>
      </c>
      <c r="I3406" s="26">
        <f t="shared" si="173"/>
        <v>0</v>
      </c>
      <c r="J3406" s="7" t="str">
        <f t="shared" si="174"/>
        <v>PAGADO</v>
      </c>
      <c r="K3406" s="33" t="s">
        <v>693</v>
      </c>
    </row>
    <row r="3407" spans="1:11" x14ac:dyDescent="0.25">
      <c r="A3407">
        <v>2025</v>
      </c>
      <c r="C3407" s="9" t="s">
        <v>3293</v>
      </c>
      <c r="D3407" s="9" t="s">
        <v>2363</v>
      </c>
      <c r="F3407" s="6">
        <v>60</v>
      </c>
      <c r="G3407" s="6">
        <f t="shared" si="175"/>
        <v>60</v>
      </c>
      <c r="H3407" s="6">
        <v>60</v>
      </c>
      <c r="I3407" s="26">
        <f t="shared" si="173"/>
        <v>0</v>
      </c>
      <c r="J3407" s="7" t="str">
        <f t="shared" si="174"/>
        <v>PAGADO</v>
      </c>
      <c r="K3407" s="33" t="s">
        <v>693</v>
      </c>
    </row>
    <row r="3408" spans="1:11" x14ac:dyDescent="0.25">
      <c r="A3408">
        <v>2025</v>
      </c>
      <c r="C3408" s="9" t="s">
        <v>3294</v>
      </c>
      <c r="D3408" s="9" t="s">
        <v>2278</v>
      </c>
      <c r="F3408" s="6">
        <v>60</v>
      </c>
      <c r="G3408" s="6">
        <f t="shared" si="175"/>
        <v>60</v>
      </c>
      <c r="H3408" s="65">
        <f>30+30</f>
        <v>60</v>
      </c>
      <c r="I3408" s="26">
        <f t="shared" si="173"/>
        <v>0</v>
      </c>
      <c r="J3408" s="7" t="str">
        <f t="shared" si="174"/>
        <v>PAGADO</v>
      </c>
      <c r="K3408" s="33" t="s">
        <v>2640</v>
      </c>
    </row>
    <row r="3409" spans="1:11" x14ac:dyDescent="0.25">
      <c r="A3409">
        <v>2025</v>
      </c>
      <c r="C3409" s="9" t="s">
        <v>3295</v>
      </c>
      <c r="D3409" s="9" t="s">
        <v>67</v>
      </c>
      <c r="F3409" s="6">
        <v>65</v>
      </c>
      <c r="G3409" s="6">
        <f t="shared" si="175"/>
        <v>65</v>
      </c>
      <c r="H3409" s="16">
        <v>65</v>
      </c>
      <c r="I3409" s="27">
        <f t="shared" si="173"/>
        <v>0</v>
      </c>
      <c r="J3409" s="7" t="str">
        <f t="shared" si="174"/>
        <v>PAGADO</v>
      </c>
      <c r="K3409" s="33" t="s">
        <v>2640</v>
      </c>
    </row>
    <row r="3410" spans="1:11" x14ac:dyDescent="0.25">
      <c r="A3410">
        <v>2025</v>
      </c>
      <c r="C3410" s="9" t="s">
        <v>3296</v>
      </c>
      <c r="D3410" s="9" t="s">
        <v>67</v>
      </c>
      <c r="F3410" s="6">
        <v>65</v>
      </c>
      <c r="G3410" s="6">
        <f t="shared" si="175"/>
        <v>65</v>
      </c>
      <c r="H3410" s="16">
        <v>65</v>
      </c>
      <c r="I3410" s="27">
        <f t="shared" ref="I3410:I3473" si="176">F3410-H3410</f>
        <v>0</v>
      </c>
      <c r="J3410" s="7" t="str">
        <f t="shared" ref="J3410:J3473" si="177">IF(I3410&gt;0,"DEBE","PAGADO")</f>
        <v>PAGADO</v>
      </c>
      <c r="K3410" s="33" t="s">
        <v>2640</v>
      </c>
    </row>
    <row r="3411" spans="1:11" x14ac:dyDescent="0.25">
      <c r="A3411">
        <v>2025</v>
      </c>
      <c r="C3411" s="9" t="s">
        <v>3297</v>
      </c>
      <c r="D3411" s="9" t="s">
        <v>67</v>
      </c>
      <c r="F3411" s="6">
        <v>60</v>
      </c>
      <c r="G3411" s="6">
        <f t="shared" si="175"/>
        <v>60</v>
      </c>
      <c r="H3411" s="16">
        <v>60</v>
      </c>
      <c r="I3411" s="26">
        <f t="shared" si="176"/>
        <v>0</v>
      </c>
      <c r="J3411" s="7" t="str">
        <f t="shared" si="177"/>
        <v>PAGADO</v>
      </c>
      <c r="K3411" s="33" t="s">
        <v>2640</v>
      </c>
    </row>
    <row r="3412" spans="1:11" x14ac:dyDescent="0.25">
      <c r="A3412">
        <v>2025</v>
      </c>
      <c r="C3412" s="9" t="s">
        <v>3298</v>
      </c>
      <c r="D3412" s="9" t="s">
        <v>2105</v>
      </c>
      <c r="F3412" s="6">
        <v>60</v>
      </c>
      <c r="G3412" s="6">
        <f t="shared" si="175"/>
        <v>60</v>
      </c>
      <c r="H3412" s="6">
        <v>60</v>
      </c>
      <c r="I3412" s="26">
        <f t="shared" si="176"/>
        <v>0</v>
      </c>
      <c r="J3412" s="7" t="str">
        <f t="shared" si="177"/>
        <v>PAGADO</v>
      </c>
      <c r="K3412" s="33" t="s">
        <v>2640</v>
      </c>
    </row>
    <row r="3413" spans="1:11" x14ac:dyDescent="0.25">
      <c r="A3413">
        <v>2025</v>
      </c>
      <c r="C3413" s="9" t="s">
        <v>3299</v>
      </c>
      <c r="D3413" s="9" t="s">
        <v>2278</v>
      </c>
      <c r="F3413" s="6">
        <v>55</v>
      </c>
      <c r="G3413" s="6">
        <f t="shared" si="175"/>
        <v>55</v>
      </c>
      <c r="H3413" s="65">
        <v>55</v>
      </c>
      <c r="I3413" s="26">
        <f t="shared" si="176"/>
        <v>0</v>
      </c>
      <c r="J3413" s="7" t="str">
        <f t="shared" si="177"/>
        <v>PAGADO</v>
      </c>
      <c r="K3413" s="33" t="s">
        <v>2640</v>
      </c>
    </row>
    <row r="3414" spans="1:11" x14ac:dyDescent="0.25">
      <c r="A3414">
        <v>2025</v>
      </c>
      <c r="C3414" s="9" t="s">
        <v>3300</v>
      </c>
      <c r="D3414" s="9" t="s">
        <v>2278</v>
      </c>
      <c r="F3414" s="6">
        <v>55</v>
      </c>
      <c r="G3414" s="6">
        <f t="shared" si="175"/>
        <v>55</v>
      </c>
      <c r="H3414" s="65">
        <v>55</v>
      </c>
      <c r="I3414" s="26">
        <f t="shared" si="176"/>
        <v>0</v>
      </c>
      <c r="J3414" s="7" t="str">
        <f t="shared" si="177"/>
        <v>PAGADO</v>
      </c>
      <c r="K3414" s="33" t="s">
        <v>2640</v>
      </c>
    </row>
    <row r="3415" spans="1:11" x14ac:dyDescent="0.25">
      <c r="A3415">
        <v>2025</v>
      </c>
      <c r="C3415" s="9" t="s">
        <v>3301</v>
      </c>
      <c r="D3415" t="s">
        <v>2965</v>
      </c>
      <c r="F3415" s="6">
        <v>80</v>
      </c>
      <c r="G3415" s="6">
        <f t="shared" si="175"/>
        <v>80</v>
      </c>
      <c r="H3415" s="6">
        <f>40+40</f>
        <v>80</v>
      </c>
      <c r="I3415" s="26">
        <f t="shared" si="176"/>
        <v>0</v>
      </c>
      <c r="J3415" s="7" t="str">
        <f t="shared" si="177"/>
        <v>PAGADO</v>
      </c>
      <c r="K3415" s="33" t="s">
        <v>2640</v>
      </c>
    </row>
    <row r="3416" spans="1:11" x14ac:dyDescent="0.25">
      <c r="A3416">
        <v>2025</v>
      </c>
      <c r="C3416" s="9" t="s">
        <v>3302</v>
      </c>
      <c r="D3416" t="s">
        <v>816</v>
      </c>
      <c r="F3416" s="6">
        <v>70</v>
      </c>
      <c r="G3416" s="6">
        <f t="shared" si="175"/>
        <v>70</v>
      </c>
      <c r="H3416" s="6">
        <v>70</v>
      </c>
      <c r="I3416" s="26">
        <f t="shared" si="176"/>
        <v>0</v>
      </c>
      <c r="J3416" s="7" t="str">
        <f t="shared" si="177"/>
        <v>PAGADO</v>
      </c>
      <c r="K3416" s="33" t="s">
        <v>2640</v>
      </c>
    </row>
    <row r="3417" spans="1:11" x14ac:dyDescent="0.25">
      <c r="A3417">
        <v>2025</v>
      </c>
      <c r="C3417" s="9" t="s">
        <v>3303</v>
      </c>
      <c r="D3417" t="s">
        <v>2031</v>
      </c>
      <c r="F3417" s="6">
        <v>35</v>
      </c>
      <c r="G3417" s="6">
        <f t="shared" si="175"/>
        <v>35</v>
      </c>
      <c r="H3417" s="6">
        <v>35</v>
      </c>
      <c r="I3417" s="26">
        <f t="shared" si="176"/>
        <v>0</v>
      </c>
      <c r="J3417" s="7" t="str">
        <f t="shared" si="177"/>
        <v>PAGADO</v>
      </c>
      <c r="K3417" s="33" t="s">
        <v>2640</v>
      </c>
    </row>
    <row r="3418" spans="1:11" x14ac:dyDescent="0.25">
      <c r="A3418">
        <v>2025</v>
      </c>
      <c r="C3418" s="9" t="s">
        <v>3304</v>
      </c>
      <c r="D3418" t="s">
        <v>2031</v>
      </c>
      <c r="F3418" s="6">
        <v>35</v>
      </c>
      <c r="G3418" s="6">
        <f t="shared" si="175"/>
        <v>35</v>
      </c>
      <c r="H3418" s="6">
        <v>35</v>
      </c>
      <c r="I3418" s="26">
        <f t="shared" si="176"/>
        <v>0</v>
      </c>
      <c r="J3418" s="7" t="str">
        <f t="shared" si="177"/>
        <v>PAGADO</v>
      </c>
      <c r="K3418" s="33" t="s">
        <v>2640</v>
      </c>
    </row>
    <row r="3419" spans="1:11" x14ac:dyDescent="0.25">
      <c r="A3419">
        <v>2025</v>
      </c>
      <c r="C3419" t="s">
        <v>1126</v>
      </c>
      <c r="D3419" s="9" t="s">
        <v>3018</v>
      </c>
      <c r="F3419" s="6">
        <v>80</v>
      </c>
      <c r="G3419" s="6">
        <f t="shared" si="175"/>
        <v>80</v>
      </c>
      <c r="H3419" s="6">
        <f>40+40</f>
        <v>80</v>
      </c>
      <c r="I3419" s="26">
        <f t="shared" si="176"/>
        <v>0</v>
      </c>
      <c r="J3419" s="7" t="str">
        <f t="shared" si="177"/>
        <v>PAGADO</v>
      </c>
      <c r="K3419" s="33" t="s">
        <v>2640</v>
      </c>
    </row>
    <row r="3420" spans="1:11" x14ac:dyDescent="0.25">
      <c r="A3420">
        <v>2025</v>
      </c>
      <c r="C3420" s="9" t="s">
        <v>3305</v>
      </c>
      <c r="D3420" s="9" t="s">
        <v>2278</v>
      </c>
      <c r="F3420" s="6">
        <v>60</v>
      </c>
      <c r="G3420" s="6">
        <f t="shared" si="175"/>
        <v>60</v>
      </c>
      <c r="H3420" s="65">
        <f>30+30</f>
        <v>60</v>
      </c>
      <c r="I3420" s="26">
        <f t="shared" si="176"/>
        <v>0</v>
      </c>
      <c r="J3420" s="7" t="str">
        <f t="shared" si="177"/>
        <v>PAGADO</v>
      </c>
      <c r="K3420" s="33" t="s">
        <v>2640</v>
      </c>
    </row>
    <row r="3421" spans="1:11" x14ac:dyDescent="0.25">
      <c r="A3421">
        <v>2025</v>
      </c>
      <c r="C3421" s="9" t="s">
        <v>3292</v>
      </c>
      <c r="D3421" s="9" t="s">
        <v>2278</v>
      </c>
      <c r="F3421" s="6">
        <v>60</v>
      </c>
      <c r="G3421" s="6">
        <f t="shared" si="175"/>
        <v>60</v>
      </c>
      <c r="H3421" s="65">
        <f>30+30</f>
        <v>60</v>
      </c>
      <c r="I3421" s="26">
        <f t="shared" si="176"/>
        <v>0</v>
      </c>
      <c r="J3421" s="7" t="str">
        <f t="shared" si="177"/>
        <v>PAGADO</v>
      </c>
      <c r="K3421" s="33" t="s">
        <v>2640</v>
      </c>
    </row>
    <row r="3422" spans="1:11" x14ac:dyDescent="0.25">
      <c r="A3422">
        <v>2025</v>
      </c>
      <c r="C3422" s="9" t="s">
        <v>3306</v>
      </c>
      <c r="D3422" s="9" t="s">
        <v>816</v>
      </c>
      <c r="F3422" s="6">
        <v>80</v>
      </c>
      <c r="G3422" s="6">
        <f t="shared" si="175"/>
        <v>80</v>
      </c>
      <c r="H3422" s="6">
        <v>80</v>
      </c>
      <c r="I3422" s="26">
        <f t="shared" si="176"/>
        <v>0</v>
      </c>
      <c r="J3422" s="7" t="str">
        <f t="shared" si="177"/>
        <v>PAGADO</v>
      </c>
      <c r="K3422" s="33" t="s">
        <v>2640</v>
      </c>
    </row>
    <row r="3423" spans="1:11" x14ac:dyDescent="0.25">
      <c r="A3423">
        <v>2025</v>
      </c>
      <c r="C3423" s="9" t="s">
        <v>3307</v>
      </c>
      <c r="D3423" s="9" t="s">
        <v>2278</v>
      </c>
      <c r="F3423" s="6">
        <v>90</v>
      </c>
      <c r="G3423" s="6">
        <f t="shared" si="175"/>
        <v>90</v>
      </c>
      <c r="H3423" s="65">
        <f>45+45</f>
        <v>90</v>
      </c>
      <c r="I3423" s="26">
        <f t="shared" si="176"/>
        <v>0</v>
      </c>
      <c r="J3423" s="7" t="str">
        <f t="shared" si="177"/>
        <v>PAGADO</v>
      </c>
      <c r="K3423" s="33" t="s">
        <v>2640</v>
      </c>
    </row>
    <row r="3424" spans="1:11" x14ac:dyDescent="0.25">
      <c r="A3424">
        <v>2025</v>
      </c>
      <c r="C3424" s="9" t="s">
        <v>1778</v>
      </c>
      <c r="D3424" s="9" t="s">
        <v>3018</v>
      </c>
      <c r="F3424" s="6">
        <v>75</v>
      </c>
      <c r="G3424" s="6">
        <f t="shared" si="175"/>
        <v>75</v>
      </c>
      <c r="H3424" s="6">
        <v>75</v>
      </c>
      <c r="I3424" s="26">
        <f t="shared" si="176"/>
        <v>0</v>
      </c>
      <c r="J3424" s="7" t="str">
        <f t="shared" si="177"/>
        <v>PAGADO</v>
      </c>
      <c r="K3424" s="33" t="s">
        <v>2640</v>
      </c>
    </row>
    <row r="3425" spans="1:11" x14ac:dyDescent="0.25">
      <c r="A3425">
        <v>2025</v>
      </c>
      <c r="C3425" s="9" t="s">
        <v>3301</v>
      </c>
      <c r="D3425" s="9" t="s">
        <v>2275</v>
      </c>
      <c r="F3425" s="6">
        <v>80</v>
      </c>
      <c r="G3425" s="6">
        <f t="shared" si="175"/>
        <v>80</v>
      </c>
      <c r="H3425" s="16">
        <v>80</v>
      </c>
      <c r="I3425" s="26">
        <f t="shared" si="176"/>
        <v>0</v>
      </c>
      <c r="J3425" s="7" t="str">
        <f t="shared" si="177"/>
        <v>PAGADO</v>
      </c>
      <c r="K3425" s="33" t="s">
        <v>2640</v>
      </c>
    </row>
    <row r="3426" spans="1:11" x14ac:dyDescent="0.25">
      <c r="A3426">
        <v>2025</v>
      </c>
      <c r="C3426" s="9" t="s">
        <v>3308</v>
      </c>
      <c r="D3426" s="9" t="s">
        <v>2275</v>
      </c>
      <c r="F3426" s="6">
        <v>70</v>
      </c>
      <c r="G3426" s="6">
        <f t="shared" si="175"/>
        <v>70</v>
      </c>
      <c r="H3426" s="16">
        <v>70</v>
      </c>
      <c r="I3426" s="26">
        <f t="shared" si="176"/>
        <v>0</v>
      </c>
      <c r="J3426" s="7" t="str">
        <f t="shared" si="177"/>
        <v>PAGADO</v>
      </c>
      <c r="K3426" s="33" t="s">
        <v>2640</v>
      </c>
    </row>
    <row r="3427" spans="1:11" x14ac:dyDescent="0.25">
      <c r="A3427">
        <v>2025</v>
      </c>
      <c r="C3427" s="9" t="s">
        <v>3309</v>
      </c>
      <c r="D3427" s="9" t="s">
        <v>3135</v>
      </c>
      <c r="F3427" s="6">
        <v>70</v>
      </c>
      <c r="G3427" s="6">
        <f t="shared" si="175"/>
        <v>70</v>
      </c>
      <c r="H3427" s="6">
        <v>70</v>
      </c>
      <c r="I3427" s="26">
        <f t="shared" si="176"/>
        <v>0</v>
      </c>
      <c r="J3427" s="7" t="str">
        <f t="shared" si="177"/>
        <v>PAGADO</v>
      </c>
      <c r="K3427" s="33" t="s">
        <v>2640</v>
      </c>
    </row>
    <row r="3428" spans="1:11" x14ac:dyDescent="0.25">
      <c r="A3428">
        <v>2025</v>
      </c>
      <c r="C3428" s="9" t="s">
        <v>3310</v>
      </c>
      <c r="D3428" s="9" t="s">
        <v>2363</v>
      </c>
      <c r="F3428" s="6">
        <v>70</v>
      </c>
      <c r="G3428" s="6">
        <f t="shared" si="175"/>
        <v>70</v>
      </c>
      <c r="H3428" s="6">
        <f>35+35</f>
        <v>70</v>
      </c>
      <c r="I3428" s="26">
        <f t="shared" si="176"/>
        <v>0</v>
      </c>
      <c r="J3428" s="7" t="str">
        <f t="shared" si="177"/>
        <v>PAGADO</v>
      </c>
      <c r="K3428" s="33" t="s">
        <v>693</v>
      </c>
    </row>
    <row r="3429" spans="1:11" x14ac:dyDescent="0.25">
      <c r="A3429">
        <v>2025</v>
      </c>
      <c r="C3429" s="9" t="s">
        <v>3311</v>
      </c>
      <c r="D3429" s="9" t="s">
        <v>1849</v>
      </c>
      <c r="F3429" s="6">
        <v>65</v>
      </c>
      <c r="G3429" s="6">
        <f t="shared" si="175"/>
        <v>65</v>
      </c>
      <c r="H3429" s="6">
        <f>32.5+32.5</f>
        <v>65</v>
      </c>
      <c r="I3429" s="26">
        <f t="shared" si="176"/>
        <v>0</v>
      </c>
      <c r="J3429" s="7" t="str">
        <f t="shared" si="177"/>
        <v>PAGADO</v>
      </c>
      <c r="K3429" s="33" t="s">
        <v>2640</v>
      </c>
    </row>
    <row r="3430" spans="1:11" x14ac:dyDescent="0.25">
      <c r="A3430">
        <v>2025</v>
      </c>
      <c r="C3430" s="9" t="s">
        <v>3312</v>
      </c>
      <c r="D3430" s="9" t="s">
        <v>2147</v>
      </c>
      <c r="F3430" s="6">
        <v>80</v>
      </c>
      <c r="G3430" s="6">
        <f t="shared" si="175"/>
        <v>80</v>
      </c>
      <c r="H3430" s="6">
        <v>80</v>
      </c>
      <c r="I3430" s="26">
        <f t="shared" si="176"/>
        <v>0</v>
      </c>
      <c r="J3430" s="7" t="str">
        <f t="shared" si="177"/>
        <v>PAGADO</v>
      </c>
      <c r="K3430" s="33" t="s">
        <v>2640</v>
      </c>
    </row>
    <row r="3431" spans="1:11" x14ac:dyDescent="0.25">
      <c r="A3431">
        <v>2025</v>
      </c>
      <c r="C3431" s="9" t="s">
        <v>302</v>
      </c>
      <c r="D3431" s="9" t="s">
        <v>2147</v>
      </c>
      <c r="F3431" s="6">
        <v>55</v>
      </c>
      <c r="G3431" s="6">
        <f t="shared" si="175"/>
        <v>55</v>
      </c>
      <c r="H3431" s="6">
        <v>55</v>
      </c>
      <c r="I3431" s="26">
        <f t="shared" si="176"/>
        <v>0</v>
      </c>
      <c r="J3431" s="7" t="str">
        <f t="shared" si="177"/>
        <v>PAGADO</v>
      </c>
      <c r="K3431" s="33" t="s">
        <v>2640</v>
      </c>
    </row>
    <row r="3432" spans="1:11" x14ac:dyDescent="0.25">
      <c r="A3432">
        <v>2025</v>
      </c>
      <c r="C3432" s="9" t="s">
        <v>444</v>
      </c>
      <c r="D3432" s="9" t="s">
        <v>2147</v>
      </c>
      <c r="F3432" s="6">
        <v>55</v>
      </c>
      <c r="G3432" s="6">
        <f t="shared" si="175"/>
        <v>55</v>
      </c>
      <c r="H3432" s="6">
        <v>55</v>
      </c>
      <c r="I3432" s="26">
        <f t="shared" si="176"/>
        <v>0</v>
      </c>
      <c r="J3432" s="7" t="str">
        <f t="shared" si="177"/>
        <v>PAGADO</v>
      </c>
      <c r="K3432" s="33" t="s">
        <v>2640</v>
      </c>
    </row>
    <row r="3433" spans="1:11" x14ac:dyDescent="0.25">
      <c r="A3433">
        <v>2025</v>
      </c>
      <c r="C3433" s="9" t="s">
        <v>2446</v>
      </c>
      <c r="D3433" s="9" t="s">
        <v>2147</v>
      </c>
      <c r="F3433" s="6">
        <v>40</v>
      </c>
      <c r="G3433" s="6">
        <f t="shared" si="175"/>
        <v>40</v>
      </c>
      <c r="H3433" s="6">
        <v>40</v>
      </c>
      <c r="I3433" s="26">
        <f t="shared" si="176"/>
        <v>0</v>
      </c>
      <c r="J3433" s="7" t="str">
        <f t="shared" si="177"/>
        <v>PAGADO</v>
      </c>
      <c r="K3433" s="33" t="s">
        <v>2640</v>
      </c>
    </row>
    <row r="3434" spans="1:11" x14ac:dyDescent="0.25">
      <c r="A3434">
        <v>2025</v>
      </c>
      <c r="C3434" s="9" t="s">
        <v>3313</v>
      </c>
      <c r="D3434" s="9" t="s">
        <v>3198</v>
      </c>
      <c r="F3434" s="6">
        <v>50</v>
      </c>
      <c r="G3434" s="6">
        <f t="shared" si="175"/>
        <v>50</v>
      </c>
      <c r="H3434" s="6">
        <f>25+25</f>
        <v>50</v>
      </c>
      <c r="I3434" s="26">
        <f t="shared" si="176"/>
        <v>0</v>
      </c>
      <c r="J3434" s="7" t="str">
        <f t="shared" si="177"/>
        <v>PAGADO</v>
      </c>
      <c r="K3434" s="33" t="s">
        <v>2640</v>
      </c>
    </row>
    <row r="3435" spans="1:11" x14ac:dyDescent="0.25">
      <c r="A3435">
        <v>2025</v>
      </c>
      <c r="C3435" s="9" t="s">
        <v>3314</v>
      </c>
      <c r="D3435" s="9" t="s">
        <v>3198</v>
      </c>
      <c r="F3435" s="6">
        <v>50</v>
      </c>
      <c r="G3435" s="6">
        <f t="shared" si="175"/>
        <v>50</v>
      </c>
      <c r="H3435" s="6">
        <f>25+25</f>
        <v>50</v>
      </c>
      <c r="I3435" s="26">
        <f t="shared" si="176"/>
        <v>0</v>
      </c>
      <c r="J3435" s="7" t="str">
        <f t="shared" si="177"/>
        <v>PAGADO</v>
      </c>
      <c r="K3435" s="33" t="s">
        <v>2640</v>
      </c>
    </row>
    <row r="3436" spans="1:11" x14ac:dyDescent="0.25">
      <c r="A3436">
        <v>2025</v>
      </c>
      <c r="C3436" s="9" t="s">
        <v>1576</v>
      </c>
      <c r="D3436" s="9" t="s">
        <v>1460</v>
      </c>
      <c r="F3436" s="6">
        <v>170</v>
      </c>
      <c r="G3436" s="6">
        <f t="shared" si="175"/>
        <v>170</v>
      </c>
      <c r="H3436" s="6">
        <f>150+20</f>
        <v>170</v>
      </c>
      <c r="I3436" s="26">
        <f t="shared" si="176"/>
        <v>0</v>
      </c>
      <c r="J3436" s="7" t="str">
        <f t="shared" si="177"/>
        <v>PAGADO</v>
      </c>
      <c r="K3436" s="33" t="s">
        <v>2640</v>
      </c>
    </row>
    <row r="3437" spans="1:11" x14ac:dyDescent="0.25">
      <c r="A3437">
        <v>2025</v>
      </c>
      <c r="C3437" s="9" t="s">
        <v>3315</v>
      </c>
      <c r="D3437" s="9" t="s">
        <v>3316</v>
      </c>
      <c r="F3437" s="6">
        <v>80</v>
      </c>
      <c r="G3437" s="6">
        <f t="shared" si="175"/>
        <v>80</v>
      </c>
      <c r="H3437" s="6">
        <f>40+40</f>
        <v>80</v>
      </c>
      <c r="I3437" s="26">
        <f t="shared" si="176"/>
        <v>0</v>
      </c>
      <c r="J3437" s="7" t="str">
        <f t="shared" si="177"/>
        <v>PAGADO</v>
      </c>
      <c r="K3437" s="33" t="s">
        <v>3317</v>
      </c>
    </row>
    <row r="3438" spans="1:11" x14ac:dyDescent="0.25">
      <c r="A3438">
        <v>2025</v>
      </c>
      <c r="C3438" s="9" t="s">
        <v>3318</v>
      </c>
      <c r="D3438" s="9" t="s">
        <v>3316</v>
      </c>
      <c r="F3438" s="6">
        <v>80</v>
      </c>
      <c r="G3438" s="6">
        <f t="shared" si="175"/>
        <v>80</v>
      </c>
      <c r="H3438" s="6">
        <f>40+40</f>
        <v>80</v>
      </c>
      <c r="I3438" s="26">
        <f t="shared" si="176"/>
        <v>0</v>
      </c>
      <c r="J3438" s="7" t="str">
        <f t="shared" si="177"/>
        <v>PAGADO</v>
      </c>
      <c r="K3438" s="33" t="s">
        <v>3317</v>
      </c>
    </row>
    <row r="3439" spans="1:11" x14ac:dyDescent="0.25">
      <c r="A3439">
        <v>2025</v>
      </c>
      <c r="C3439" t="s">
        <v>3286</v>
      </c>
      <c r="D3439" s="9" t="s">
        <v>1309</v>
      </c>
      <c r="F3439" s="6">
        <v>65</v>
      </c>
      <c r="G3439" s="6">
        <f t="shared" si="175"/>
        <v>65</v>
      </c>
      <c r="H3439" s="6">
        <f>45+20</f>
        <v>65</v>
      </c>
      <c r="I3439" s="26">
        <f t="shared" si="176"/>
        <v>0</v>
      </c>
      <c r="J3439" s="7" t="str">
        <f t="shared" si="177"/>
        <v>PAGADO</v>
      </c>
      <c r="K3439" s="33" t="s">
        <v>2640</v>
      </c>
    </row>
    <row r="3440" spans="1:11" x14ac:dyDescent="0.25">
      <c r="A3440">
        <v>2025</v>
      </c>
      <c r="C3440" s="9" t="s">
        <v>2807</v>
      </c>
      <c r="D3440" s="9" t="s">
        <v>3081</v>
      </c>
      <c r="F3440" s="6">
        <v>65</v>
      </c>
      <c r="G3440" s="6">
        <f t="shared" si="175"/>
        <v>65</v>
      </c>
      <c r="H3440" s="6">
        <f>32.5+32.5</f>
        <v>65</v>
      </c>
      <c r="I3440" s="26">
        <f t="shared" si="176"/>
        <v>0</v>
      </c>
      <c r="J3440" s="7" t="str">
        <f t="shared" si="177"/>
        <v>PAGADO</v>
      </c>
      <c r="K3440" s="33" t="s">
        <v>2640</v>
      </c>
    </row>
    <row r="3441" spans="1:12" x14ac:dyDescent="0.25">
      <c r="A3441">
        <v>2025</v>
      </c>
      <c r="C3441" s="9" t="s">
        <v>3319</v>
      </c>
      <c r="D3441" s="9" t="s">
        <v>3081</v>
      </c>
      <c r="F3441" s="6">
        <v>70</v>
      </c>
      <c r="G3441" s="6">
        <f t="shared" si="175"/>
        <v>70</v>
      </c>
      <c r="H3441" s="6">
        <f>35+35</f>
        <v>70</v>
      </c>
      <c r="I3441" s="26">
        <f t="shared" si="176"/>
        <v>0</v>
      </c>
      <c r="J3441" s="7" t="str">
        <f t="shared" si="177"/>
        <v>PAGADO</v>
      </c>
      <c r="K3441" s="33" t="s">
        <v>2640</v>
      </c>
    </row>
    <row r="3442" spans="1:12" x14ac:dyDescent="0.25">
      <c r="A3442">
        <v>2025</v>
      </c>
      <c r="C3442" s="9" t="s">
        <v>3320</v>
      </c>
      <c r="D3442" s="9" t="s">
        <v>488</v>
      </c>
      <c r="F3442" s="6">
        <v>55</v>
      </c>
      <c r="G3442" s="6">
        <f t="shared" si="175"/>
        <v>55</v>
      </c>
      <c r="H3442" s="6">
        <v>55</v>
      </c>
      <c r="I3442" s="26">
        <f t="shared" si="176"/>
        <v>0</v>
      </c>
      <c r="J3442" s="7" t="str">
        <f t="shared" si="177"/>
        <v>PAGADO</v>
      </c>
      <c r="K3442" s="33" t="s">
        <v>2640</v>
      </c>
    </row>
    <row r="3443" spans="1:12" x14ac:dyDescent="0.25">
      <c r="A3443">
        <v>2025</v>
      </c>
      <c r="C3443" s="9" t="s">
        <v>3321</v>
      </c>
      <c r="D3443" s="9" t="s">
        <v>3198</v>
      </c>
      <c r="F3443" s="6">
        <v>65</v>
      </c>
      <c r="G3443" s="6">
        <f t="shared" si="175"/>
        <v>65</v>
      </c>
      <c r="H3443" s="6">
        <f>32.5+32.5</f>
        <v>65</v>
      </c>
      <c r="I3443" s="26">
        <f t="shared" si="176"/>
        <v>0</v>
      </c>
      <c r="J3443" s="7" t="str">
        <f t="shared" si="177"/>
        <v>PAGADO</v>
      </c>
      <c r="K3443" s="33" t="s">
        <v>2640</v>
      </c>
    </row>
    <row r="3444" spans="1:12" x14ac:dyDescent="0.25">
      <c r="A3444">
        <v>2025</v>
      </c>
      <c r="C3444" s="9" t="s">
        <v>3322</v>
      </c>
      <c r="D3444" s="9" t="s">
        <v>3198</v>
      </c>
      <c r="F3444" s="6">
        <v>65</v>
      </c>
      <c r="G3444" s="6">
        <f t="shared" si="175"/>
        <v>65</v>
      </c>
      <c r="H3444" s="6">
        <f>32.5+32.5</f>
        <v>65</v>
      </c>
      <c r="I3444" s="26">
        <f t="shared" si="176"/>
        <v>0</v>
      </c>
      <c r="J3444" s="7" t="str">
        <f t="shared" si="177"/>
        <v>PAGADO</v>
      </c>
      <c r="K3444" s="33" t="s">
        <v>2640</v>
      </c>
    </row>
    <row r="3445" spans="1:12" x14ac:dyDescent="0.25">
      <c r="A3445">
        <v>2025</v>
      </c>
      <c r="C3445" s="9" t="s">
        <v>3323</v>
      </c>
      <c r="D3445" s="9" t="s">
        <v>2278</v>
      </c>
      <c r="F3445" s="6">
        <v>60</v>
      </c>
      <c r="G3445" s="6">
        <f t="shared" si="175"/>
        <v>60</v>
      </c>
      <c r="H3445" s="65">
        <f>30+30</f>
        <v>60</v>
      </c>
      <c r="I3445" s="26">
        <f t="shared" si="176"/>
        <v>0</v>
      </c>
      <c r="J3445" s="7" t="str">
        <f t="shared" si="177"/>
        <v>PAGADO</v>
      </c>
      <c r="K3445" s="33" t="s">
        <v>2640</v>
      </c>
    </row>
    <row r="3446" spans="1:12" x14ac:dyDescent="0.25">
      <c r="A3446">
        <v>2025</v>
      </c>
      <c r="C3446" t="s">
        <v>3257</v>
      </c>
      <c r="D3446" t="s">
        <v>2857</v>
      </c>
      <c r="F3446" s="6">
        <v>320</v>
      </c>
      <c r="G3446" s="6">
        <f t="shared" si="175"/>
        <v>320</v>
      </c>
      <c r="H3446" s="6">
        <f>160+160</f>
        <v>320</v>
      </c>
      <c r="I3446" s="26">
        <f t="shared" si="176"/>
        <v>0</v>
      </c>
      <c r="J3446" s="7" t="str">
        <f t="shared" si="177"/>
        <v>PAGADO</v>
      </c>
      <c r="K3446" s="33" t="s">
        <v>2640</v>
      </c>
    </row>
    <row r="3447" spans="1:12" x14ac:dyDescent="0.25">
      <c r="A3447">
        <v>2025</v>
      </c>
      <c r="C3447" t="s">
        <v>3324</v>
      </c>
      <c r="D3447" t="s">
        <v>1523</v>
      </c>
      <c r="F3447" s="6">
        <v>290</v>
      </c>
      <c r="G3447" s="6">
        <f t="shared" si="175"/>
        <v>290</v>
      </c>
      <c r="H3447" s="6">
        <f>100+190</f>
        <v>290</v>
      </c>
      <c r="I3447" s="26">
        <f t="shared" si="176"/>
        <v>0</v>
      </c>
      <c r="J3447" s="7" t="str">
        <f t="shared" si="177"/>
        <v>PAGADO</v>
      </c>
      <c r="K3447" s="33" t="s">
        <v>2640</v>
      </c>
    </row>
    <row r="3448" spans="1:12" x14ac:dyDescent="0.25">
      <c r="A3448">
        <v>2025</v>
      </c>
      <c r="C3448" t="s">
        <v>3325</v>
      </c>
      <c r="D3448" t="s">
        <v>2058</v>
      </c>
      <c r="F3448" s="6">
        <v>150</v>
      </c>
      <c r="G3448" s="6">
        <f t="shared" si="175"/>
        <v>150</v>
      </c>
      <c r="H3448" s="6">
        <f>75+75</f>
        <v>150</v>
      </c>
      <c r="I3448" s="26">
        <f t="shared" si="176"/>
        <v>0</v>
      </c>
      <c r="J3448" s="7" t="str">
        <f t="shared" si="177"/>
        <v>PAGADO</v>
      </c>
      <c r="K3448" s="33" t="s">
        <v>2640</v>
      </c>
    </row>
    <row r="3449" spans="1:12" x14ac:dyDescent="0.25">
      <c r="A3449">
        <v>2025</v>
      </c>
      <c r="C3449" t="s">
        <v>3326</v>
      </c>
      <c r="D3449" s="9" t="s">
        <v>1078</v>
      </c>
      <c r="F3449" s="6">
        <v>180</v>
      </c>
      <c r="G3449" s="6">
        <f t="shared" si="175"/>
        <v>180</v>
      </c>
      <c r="H3449" s="6">
        <v>180</v>
      </c>
      <c r="I3449" s="26">
        <f t="shared" si="176"/>
        <v>0</v>
      </c>
      <c r="J3449" s="7" t="str">
        <f t="shared" si="177"/>
        <v>PAGADO</v>
      </c>
      <c r="K3449" s="33" t="s">
        <v>2640</v>
      </c>
    </row>
    <row r="3450" spans="1:12" x14ac:dyDescent="0.25">
      <c r="A3450">
        <v>2025</v>
      </c>
      <c r="C3450" s="9" t="s">
        <v>3273</v>
      </c>
      <c r="D3450" s="9" t="s">
        <v>2973</v>
      </c>
      <c r="F3450" s="6">
        <v>60</v>
      </c>
      <c r="G3450" s="6">
        <f t="shared" si="175"/>
        <v>60</v>
      </c>
      <c r="H3450" s="6">
        <v>60</v>
      </c>
      <c r="I3450" s="26">
        <f t="shared" si="176"/>
        <v>0</v>
      </c>
      <c r="J3450" s="7" t="str">
        <f t="shared" si="177"/>
        <v>PAGADO</v>
      </c>
      <c r="K3450" s="33" t="s">
        <v>1815</v>
      </c>
      <c r="L3450" s="9" t="s">
        <v>3274</v>
      </c>
    </row>
    <row r="3451" spans="1:12" x14ac:dyDescent="0.25">
      <c r="A3451">
        <v>2025</v>
      </c>
      <c r="C3451" s="9" t="s">
        <v>2756</v>
      </c>
      <c r="D3451" s="9" t="s">
        <v>2973</v>
      </c>
      <c r="F3451" s="6">
        <v>65</v>
      </c>
      <c r="G3451" s="6">
        <f t="shared" si="175"/>
        <v>65</v>
      </c>
      <c r="H3451" s="6">
        <v>65</v>
      </c>
      <c r="I3451" s="26">
        <f t="shared" si="176"/>
        <v>0</v>
      </c>
      <c r="J3451" s="7" t="str">
        <f t="shared" si="177"/>
        <v>PAGADO</v>
      </c>
      <c r="K3451" s="33" t="s">
        <v>2640</v>
      </c>
    </row>
    <row r="3452" spans="1:12" x14ac:dyDescent="0.25">
      <c r="A3452">
        <v>2025</v>
      </c>
      <c r="C3452" s="9" t="s">
        <v>3095</v>
      </c>
      <c r="D3452" s="9" t="s">
        <v>2973</v>
      </c>
      <c r="F3452" s="6">
        <v>65</v>
      </c>
      <c r="G3452" s="6">
        <f t="shared" si="175"/>
        <v>65</v>
      </c>
      <c r="H3452" s="6">
        <v>65</v>
      </c>
      <c r="I3452" s="26">
        <f t="shared" si="176"/>
        <v>0</v>
      </c>
      <c r="J3452" s="7" t="str">
        <f t="shared" si="177"/>
        <v>PAGADO</v>
      </c>
      <c r="K3452" s="33" t="s">
        <v>1815</v>
      </c>
      <c r="L3452" s="9" t="s">
        <v>3274</v>
      </c>
    </row>
    <row r="3453" spans="1:12" x14ac:dyDescent="0.25">
      <c r="A3453">
        <v>2025</v>
      </c>
      <c r="C3453" s="9" t="s">
        <v>3327</v>
      </c>
      <c r="D3453" s="9" t="s">
        <v>18</v>
      </c>
      <c r="F3453" s="6">
        <v>130</v>
      </c>
      <c r="G3453" s="6">
        <f t="shared" si="175"/>
        <v>130</v>
      </c>
      <c r="H3453" s="6">
        <f>50+50+30</f>
        <v>130</v>
      </c>
      <c r="I3453" s="26">
        <f t="shared" si="176"/>
        <v>0</v>
      </c>
      <c r="J3453" s="7" t="str">
        <f t="shared" si="177"/>
        <v>PAGADO</v>
      </c>
      <c r="K3453" s="33" t="s">
        <v>2640</v>
      </c>
    </row>
    <row r="3454" spans="1:12" x14ac:dyDescent="0.25">
      <c r="A3454">
        <v>2025</v>
      </c>
      <c r="C3454" s="9" t="s">
        <v>3283</v>
      </c>
      <c r="D3454" s="9" t="s">
        <v>3101</v>
      </c>
      <c r="F3454" s="6">
        <v>60</v>
      </c>
      <c r="G3454" s="6">
        <f t="shared" ref="G3454:G3517" si="178">F3454-E3454</f>
        <v>60</v>
      </c>
      <c r="H3454" s="6">
        <f>30+20</f>
        <v>50</v>
      </c>
      <c r="I3454" s="26">
        <f t="shared" si="176"/>
        <v>10</v>
      </c>
      <c r="J3454" s="7" t="str">
        <f t="shared" si="177"/>
        <v>DEBE</v>
      </c>
      <c r="K3454" s="33" t="s">
        <v>2640</v>
      </c>
    </row>
    <row r="3455" spans="1:12" x14ac:dyDescent="0.25">
      <c r="A3455">
        <v>2025</v>
      </c>
      <c r="C3455" s="9" t="s">
        <v>1553</v>
      </c>
      <c r="D3455" s="9" t="s">
        <v>661</v>
      </c>
      <c r="F3455" s="6">
        <v>90</v>
      </c>
      <c r="G3455" s="6">
        <f t="shared" si="178"/>
        <v>90</v>
      </c>
      <c r="H3455" s="6">
        <f>45+45</f>
        <v>90</v>
      </c>
      <c r="I3455" s="26">
        <f t="shared" si="176"/>
        <v>0</v>
      </c>
      <c r="J3455" s="7" t="str">
        <f t="shared" si="177"/>
        <v>PAGADO</v>
      </c>
      <c r="K3455" s="33" t="s">
        <v>2640</v>
      </c>
    </row>
    <row r="3456" spans="1:12" x14ac:dyDescent="0.25">
      <c r="A3456">
        <v>2025</v>
      </c>
      <c r="C3456" s="9" t="s">
        <v>3328</v>
      </c>
      <c r="D3456" s="9" t="s">
        <v>2969</v>
      </c>
      <c r="F3456" s="6">
        <v>65</v>
      </c>
      <c r="G3456" s="6">
        <f t="shared" si="178"/>
        <v>65</v>
      </c>
      <c r="H3456" s="6">
        <f>32.5+32.5</f>
        <v>65</v>
      </c>
      <c r="I3456" s="26">
        <f t="shared" si="176"/>
        <v>0</v>
      </c>
      <c r="J3456" s="7" t="str">
        <f t="shared" si="177"/>
        <v>PAGADO</v>
      </c>
      <c r="K3456" s="33" t="s">
        <v>2258</v>
      </c>
    </row>
    <row r="3457" spans="1:11" x14ac:dyDescent="0.25">
      <c r="A3457">
        <v>2025</v>
      </c>
      <c r="C3457" s="9" t="s">
        <v>3329</v>
      </c>
      <c r="D3457" s="9" t="s">
        <v>2969</v>
      </c>
      <c r="F3457" s="6">
        <v>55</v>
      </c>
      <c r="G3457" s="6">
        <f t="shared" si="178"/>
        <v>55</v>
      </c>
      <c r="H3457" s="6">
        <f>27.5+27.5</f>
        <v>55</v>
      </c>
      <c r="I3457" s="26">
        <f t="shared" si="176"/>
        <v>0</v>
      </c>
      <c r="J3457" s="7" t="str">
        <f t="shared" si="177"/>
        <v>PAGADO</v>
      </c>
      <c r="K3457" s="33" t="s">
        <v>1815</v>
      </c>
    </row>
    <row r="3458" spans="1:11" x14ac:dyDescent="0.25">
      <c r="A3458">
        <v>2025</v>
      </c>
      <c r="C3458" t="s">
        <v>3330</v>
      </c>
      <c r="D3458" s="9" t="s">
        <v>2928</v>
      </c>
      <c r="F3458" s="6">
        <v>50</v>
      </c>
      <c r="G3458" s="6">
        <f t="shared" si="178"/>
        <v>50</v>
      </c>
      <c r="H3458" s="6">
        <v>50</v>
      </c>
      <c r="I3458" s="26">
        <f t="shared" si="176"/>
        <v>0</v>
      </c>
      <c r="J3458" s="7" t="str">
        <f t="shared" si="177"/>
        <v>PAGADO</v>
      </c>
    </row>
    <row r="3459" spans="1:11" x14ac:dyDescent="0.25">
      <c r="A3459">
        <v>2025</v>
      </c>
      <c r="C3459" t="s">
        <v>2747</v>
      </c>
      <c r="D3459" s="9" t="s">
        <v>3331</v>
      </c>
      <c r="F3459" s="6">
        <v>55</v>
      </c>
      <c r="G3459" s="6">
        <f t="shared" si="178"/>
        <v>55</v>
      </c>
      <c r="H3459" s="6">
        <f>20+35</f>
        <v>55</v>
      </c>
      <c r="I3459" s="26">
        <f t="shared" si="176"/>
        <v>0</v>
      </c>
      <c r="J3459" s="7" t="str">
        <f t="shared" si="177"/>
        <v>PAGADO</v>
      </c>
      <c r="K3459" s="33" t="s">
        <v>1815</v>
      </c>
    </row>
    <row r="3460" spans="1:11" x14ac:dyDescent="0.25">
      <c r="A3460">
        <v>2025</v>
      </c>
      <c r="C3460" t="s">
        <v>3332</v>
      </c>
      <c r="D3460" s="9" t="s">
        <v>3213</v>
      </c>
      <c r="F3460" s="6">
        <v>240</v>
      </c>
      <c r="G3460" s="6">
        <f t="shared" si="178"/>
        <v>240</v>
      </c>
      <c r="H3460" s="6">
        <v>240</v>
      </c>
      <c r="I3460" s="26">
        <f t="shared" si="176"/>
        <v>0</v>
      </c>
      <c r="J3460" s="7" t="str">
        <f t="shared" si="177"/>
        <v>PAGADO</v>
      </c>
    </row>
    <row r="3461" spans="1:11" x14ac:dyDescent="0.25">
      <c r="A3461">
        <v>2025</v>
      </c>
      <c r="C3461" s="9" t="s">
        <v>2252</v>
      </c>
      <c r="D3461" s="9" t="s">
        <v>2363</v>
      </c>
      <c r="F3461" s="6">
        <v>70</v>
      </c>
      <c r="G3461" s="6">
        <f t="shared" si="178"/>
        <v>70</v>
      </c>
      <c r="H3461" s="6">
        <v>70</v>
      </c>
      <c r="I3461" s="26">
        <f t="shared" si="176"/>
        <v>0</v>
      </c>
      <c r="J3461" s="7" t="str">
        <f t="shared" si="177"/>
        <v>PAGADO</v>
      </c>
      <c r="K3461" s="33" t="s">
        <v>693</v>
      </c>
    </row>
    <row r="3462" spans="1:11" x14ac:dyDescent="0.25">
      <c r="A3462">
        <v>2025</v>
      </c>
      <c r="C3462" s="9" t="s">
        <v>2637</v>
      </c>
      <c r="D3462" s="9" t="s">
        <v>3333</v>
      </c>
      <c r="F3462" s="6">
        <v>80</v>
      </c>
      <c r="G3462" s="6">
        <f t="shared" si="178"/>
        <v>80</v>
      </c>
      <c r="H3462" s="6">
        <v>80</v>
      </c>
      <c r="I3462" s="26">
        <f t="shared" si="176"/>
        <v>0</v>
      </c>
      <c r="J3462" s="7" t="str">
        <f t="shared" si="177"/>
        <v>PAGADO</v>
      </c>
      <c r="K3462" s="33" t="s">
        <v>2247</v>
      </c>
    </row>
    <row r="3463" spans="1:11" x14ac:dyDescent="0.25">
      <c r="A3463">
        <v>2025</v>
      </c>
      <c r="C3463" s="9" t="s">
        <v>3334</v>
      </c>
      <c r="D3463" s="9" t="s">
        <v>1309</v>
      </c>
      <c r="F3463" s="6">
        <v>40</v>
      </c>
      <c r="G3463" s="6">
        <f t="shared" si="178"/>
        <v>40</v>
      </c>
      <c r="H3463" s="6">
        <v>40</v>
      </c>
      <c r="I3463" s="26">
        <f t="shared" si="176"/>
        <v>0</v>
      </c>
      <c r="J3463" s="7" t="str">
        <f t="shared" si="177"/>
        <v>PAGADO</v>
      </c>
      <c r="K3463" s="33" t="s">
        <v>2640</v>
      </c>
    </row>
    <row r="3464" spans="1:11" x14ac:dyDescent="0.25">
      <c r="A3464">
        <v>2025</v>
      </c>
      <c r="C3464" s="9" t="s">
        <v>3335</v>
      </c>
      <c r="D3464" s="9" t="s">
        <v>2147</v>
      </c>
      <c r="F3464" s="6">
        <v>80</v>
      </c>
      <c r="G3464" s="6">
        <f t="shared" si="178"/>
        <v>80</v>
      </c>
      <c r="H3464" s="6">
        <v>80</v>
      </c>
      <c r="I3464" s="26">
        <f t="shared" si="176"/>
        <v>0</v>
      </c>
      <c r="J3464" s="7" t="str">
        <f t="shared" si="177"/>
        <v>PAGADO</v>
      </c>
      <c r="K3464" s="33" t="s">
        <v>2640</v>
      </c>
    </row>
    <row r="3465" spans="1:11" x14ac:dyDescent="0.25">
      <c r="A3465">
        <v>2025</v>
      </c>
      <c r="C3465" s="9" t="s">
        <v>3336</v>
      </c>
      <c r="D3465" s="9" t="s">
        <v>3198</v>
      </c>
      <c r="F3465" s="6">
        <v>60</v>
      </c>
      <c r="G3465" s="6">
        <f t="shared" si="178"/>
        <v>60</v>
      </c>
      <c r="H3465" s="6">
        <f>30+30</f>
        <v>60</v>
      </c>
      <c r="I3465" s="26">
        <f t="shared" si="176"/>
        <v>0</v>
      </c>
      <c r="J3465" s="7" t="str">
        <f t="shared" si="177"/>
        <v>PAGADO</v>
      </c>
      <c r="K3465" s="33" t="s">
        <v>2640</v>
      </c>
    </row>
    <row r="3466" spans="1:11" x14ac:dyDescent="0.25">
      <c r="A3466">
        <v>2025</v>
      </c>
      <c r="C3466" s="9" t="s">
        <v>2800</v>
      </c>
      <c r="D3466" s="9" t="s">
        <v>3029</v>
      </c>
      <c r="F3466" s="6">
        <v>70</v>
      </c>
      <c r="G3466" s="6">
        <f t="shared" si="178"/>
        <v>70</v>
      </c>
      <c r="H3466" s="6">
        <f>35+35</f>
        <v>70</v>
      </c>
      <c r="I3466" s="26">
        <f t="shared" si="176"/>
        <v>0</v>
      </c>
      <c r="J3466" s="7" t="str">
        <f t="shared" si="177"/>
        <v>PAGADO</v>
      </c>
      <c r="K3466" s="33" t="s">
        <v>2640</v>
      </c>
    </row>
    <row r="3467" spans="1:11" x14ac:dyDescent="0.25">
      <c r="A3467">
        <v>2025</v>
      </c>
      <c r="C3467" s="9" t="s">
        <v>3337</v>
      </c>
      <c r="D3467" s="9" t="s">
        <v>1309</v>
      </c>
      <c r="F3467" s="6">
        <v>80</v>
      </c>
      <c r="G3467" s="6">
        <f t="shared" si="178"/>
        <v>80</v>
      </c>
      <c r="H3467" s="6">
        <f>40+40</f>
        <v>80</v>
      </c>
      <c r="I3467" s="26">
        <f t="shared" si="176"/>
        <v>0</v>
      </c>
      <c r="J3467" s="7" t="str">
        <f t="shared" si="177"/>
        <v>PAGADO</v>
      </c>
      <c r="K3467" s="33" t="s">
        <v>2640</v>
      </c>
    </row>
    <row r="3468" spans="1:11" x14ac:dyDescent="0.25">
      <c r="A3468">
        <v>2025</v>
      </c>
      <c r="C3468" s="9" t="s">
        <v>3338</v>
      </c>
      <c r="D3468" s="9" t="s">
        <v>2363</v>
      </c>
      <c r="F3468" s="6">
        <v>65</v>
      </c>
      <c r="G3468" s="6">
        <f t="shared" si="178"/>
        <v>65</v>
      </c>
      <c r="H3468" s="6">
        <f>32.5+32.5</f>
        <v>65</v>
      </c>
      <c r="I3468" s="26">
        <f t="shared" si="176"/>
        <v>0</v>
      </c>
      <c r="J3468" s="7" t="str">
        <f t="shared" si="177"/>
        <v>PAGADO</v>
      </c>
      <c r="K3468" s="33" t="s">
        <v>693</v>
      </c>
    </row>
    <row r="3469" spans="1:11" x14ac:dyDescent="0.25">
      <c r="A3469">
        <v>2025</v>
      </c>
      <c r="C3469" s="9" t="s">
        <v>3339</v>
      </c>
      <c r="D3469" s="9" t="s">
        <v>2363</v>
      </c>
      <c r="F3469" s="6">
        <v>65</v>
      </c>
      <c r="G3469" s="6">
        <f t="shared" si="178"/>
        <v>65</v>
      </c>
      <c r="H3469" s="6">
        <f>32.5+32.5</f>
        <v>65</v>
      </c>
      <c r="I3469" s="26">
        <f t="shared" si="176"/>
        <v>0</v>
      </c>
      <c r="J3469" s="7" t="str">
        <f t="shared" si="177"/>
        <v>PAGADO</v>
      </c>
      <c r="K3469" s="33" t="s">
        <v>693</v>
      </c>
    </row>
    <row r="3470" spans="1:11" x14ac:dyDescent="0.25">
      <c r="A3470">
        <v>2025</v>
      </c>
      <c r="C3470" s="9" t="s">
        <v>3340</v>
      </c>
      <c r="D3470" s="9" t="s">
        <v>2147</v>
      </c>
      <c r="F3470" s="6">
        <v>65</v>
      </c>
      <c r="G3470" s="6">
        <f t="shared" si="178"/>
        <v>65</v>
      </c>
      <c r="H3470" s="6">
        <v>65</v>
      </c>
      <c r="I3470" s="26">
        <f t="shared" si="176"/>
        <v>0</v>
      </c>
      <c r="J3470" s="7" t="str">
        <f t="shared" si="177"/>
        <v>PAGADO</v>
      </c>
      <c r="K3470" s="33" t="s">
        <v>2640</v>
      </c>
    </row>
    <row r="3471" spans="1:11" x14ac:dyDescent="0.25">
      <c r="A3471">
        <v>2025</v>
      </c>
      <c r="C3471" s="9" t="s">
        <v>3341</v>
      </c>
      <c r="D3471" s="9" t="s">
        <v>1309</v>
      </c>
      <c r="F3471" s="6">
        <v>60</v>
      </c>
      <c r="G3471" s="6">
        <f t="shared" si="178"/>
        <v>60</v>
      </c>
      <c r="H3471" s="6">
        <v>60</v>
      </c>
      <c r="I3471" s="26">
        <f t="shared" si="176"/>
        <v>0</v>
      </c>
      <c r="J3471" s="7" t="str">
        <f t="shared" si="177"/>
        <v>PAGADO</v>
      </c>
      <c r="K3471" s="33" t="s">
        <v>2640</v>
      </c>
    </row>
    <row r="3472" spans="1:11" x14ac:dyDescent="0.25">
      <c r="A3472">
        <v>2025</v>
      </c>
      <c r="C3472" s="9" t="s">
        <v>3342</v>
      </c>
      <c r="D3472" s="9" t="s">
        <v>1309</v>
      </c>
      <c r="F3472" s="6">
        <v>60</v>
      </c>
      <c r="G3472" s="6">
        <f t="shared" si="178"/>
        <v>60</v>
      </c>
      <c r="H3472" s="24">
        <f>30+30</f>
        <v>60</v>
      </c>
      <c r="I3472" s="26">
        <f t="shared" si="176"/>
        <v>0</v>
      </c>
      <c r="J3472" s="7" t="str">
        <f t="shared" si="177"/>
        <v>PAGADO</v>
      </c>
      <c r="K3472" s="33" t="s">
        <v>2640</v>
      </c>
    </row>
    <row r="3473" spans="1:12" x14ac:dyDescent="0.25">
      <c r="A3473">
        <v>2025</v>
      </c>
      <c r="C3473" s="9" t="s">
        <v>3343</v>
      </c>
      <c r="D3473" s="9" t="s">
        <v>67</v>
      </c>
      <c r="F3473" s="6">
        <v>70</v>
      </c>
      <c r="G3473" s="6">
        <f t="shared" si="178"/>
        <v>70</v>
      </c>
      <c r="H3473" s="6">
        <v>70</v>
      </c>
      <c r="I3473" s="26">
        <f t="shared" si="176"/>
        <v>0</v>
      </c>
      <c r="J3473" s="7" t="str">
        <f t="shared" si="177"/>
        <v>PAGADO</v>
      </c>
      <c r="K3473" s="33" t="s">
        <v>2640</v>
      </c>
    </row>
    <row r="3474" spans="1:12" x14ac:dyDescent="0.25">
      <c r="A3474">
        <v>2025</v>
      </c>
      <c r="C3474" s="9" t="s">
        <v>2800</v>
      </c>
      <c r="D3474" s="9" t="s">
        <v>816</v>
      </c>
      <c r="F3474" s="6">
        <v>70</v>
      </c>
      <c r="G3474" s="6">
        <f t="shared" si="178"/>
        <v>70</v>
      </c>
      <c r="H3474" s="6">
        <v>70</v>
      </c>
      <c r="I3474" s="26">
        <f t="shared" ref="I3474:I3537" si="179">F3474-H3474</f>
        <v>0</v>
      </c>
      <c r="J3474" s="7" t="str">
        <f t="shared" ref="J3474:J3537" si="180">IF(I3474&gt;0,"DEBE","PAGADO")</f>
        <v>PAGADO</v>
      </c>
      <c r="K3474" s="33" t="s">
        <v>2640</v>
      </c>
    </row>
    <row r="3475" spans="1:12" x14ac:dyDescent="0.25">
      <c r="A3475">
        <v>2025</v>
      </c>
      <c r="C3475" s="9" t="s">
        <v>3344</v>
      </c>
      <c r="D3475" s="9" t="s">
        <v>1510</v>
      </c>
      <c r="F3475" s="6">
        <v>65</v>
      </c>
      <c r="G3475" s="6">
        <f t="shared" si="178"/>
        <v>65</v>
      </c>
      <c r="H3475" s="6">
        <f>32.5+32.5</f>
        <v>65</v>
      </c>
      <c r="I3475" s="26">
        <f t="shared" si="179"/>
        <v>0</v>
      </c>
      <c r="J3475" s="7" t="str">
        <f t="shared" si="180"/>
        <v>PAGADO</v>
      </c>
      <c r="K3475" s="33" t="s">
        <v>2640</v>
      </c>
    </row>
    <row r="3476" spans="1:12" x14ac:dyDescent="0.25">
      <c r="A3476">
        <v>2025</v>
      </c>
      <c r="C3476" s="9" t="s">
        <v>3194</v>
      </c>
      <c r="D3476" s="9" t="s">
        <v>1510</v>
      </c>
      <c r="F3476" s="6">
        <v>65</v>
      </c>
      <c r="G3476" s="6">
        <f t="shared" si="178"/>
        <v>65</v>
      </c>
      <c r="H3476" s="6">
        <f>32.5+32.5</f>
        <v>65</v>
      </c>
      <c r="I3476" s="26">
        <f t="shared" si="179"/>
        <v>0</v>
      </c>
      <c r="J3476" s="7" t="str">
        <f t="shared" si="180"/>
        <v>PAGADO</v>
      </c>
      <c r="K3476" s="33" t="s">
        <v>2640</v>
      </c>
    </row>
    <row r="3477" spans="1:12" x14ac:dyDescent="0.25">
      <c r="A3477">
        <v>2025</v>
      </c>
      <c r="C3477" s="9" t="s">
        <v>3285</v>
      </c>
      <c r="D3477" s="9" t="s">
        <v>1510</v>
      </c>
      <c r="F3477" s="6">
        <v>65</v>
      </c>
      <c r="G3477" s="6">
        <f t="shared" si="178"/>
        <v>65</v>
      </c>
      <c r="H3477" s="6">
        <v>65</v>
      </c>
      <c r="I3477" s="26">
        <f t="shared" si="179"/>
        <v>0</v>
      </c>
      <c r="J3477" s="7" t="str">
        <f t="shared" si="180"/>
        <v>PAGADO</v>
      </c>
      <c r="K3477" s="33" t="s">
        <v>2640</v>
      </c>
    </row>
    <row r="3478" spans="1:12" x14ac:dyDescent="0.25">
      <c r="A3478">
        <v>2025</v>
      </c>
      <c r="C3478" s="9" t="s">
        <v>3284</v>
      </c>
      <c r="D3478" s="9" t="s">
        <v>1510</v>
      </c>
      <c r="F3478" s="6">
        <v>65</v>
      </c>
      <c r="G3478" s="6">
        <f t="shared" si="178"/>
        <v>65</v>
      </c>
      <c r="H3478" s="6">
        <v>65</v>
      </c>
      <c r="I3478" s="26">
        <f t="shared" si="179"/>
        <v>0</v>
      </c>
      <c r="J3478" s="7" t="str">
        <f t="shared" si="180"/>
        <v>PAGADO</v>
      </c>
      <c r="K3478" s="33" t="s">
        <v>2640</v>
      </c>
    </row>
    <row r="3479" spans="1:12" x14ac:dyDescent="0.25">
      <c r="A3479">
        <v>2025</v>
      </c>
      <c r="C3479" s="9" t="s">
        <v>3345</v>
      </c>
      <c r="D3479" s="9" t="s">
        <v>1510</v>
      </c>
      <c r="F3479" s="6">
        <v>55</v>
      </c>
      <c r="G3479" s="6">
        <f t="shared" si="178"/>
        <v>55</v>
      </c>
      <c r="H3479" s="6">
        <v>55</v>
      </c>
      <c r="I3479" s="26">
        <f t="shared" si="179"/>
        <v>0</v>
      </c>
      <c r="J3479" s="7" t="str">
        <f t="shared" si="180"/>
        <v>PAGADO</v>
      </c>
      <c r="K3479" s="33" t="s">
        <v>2640</v>
      </c>
    </row>
    <row r="3480" spans="1:12" x14ac:dyDescent="0.25">
      <c r="A3480">
        <v>2025</v>
      </c>
      <c r="C3480" s="9" t="s">
        <v>2800</v>
      </c>
      <c r="D3480" s="9" t="s">
        <v>1510</v>
      </c>
      <c r="F3480" s="6">
        <v>70</v>
      </c>
      <c r="G3480" s="6">
        <f t="shared" si="178"/>
        <v>70</v>
      </c>
      <c r="H3480" s="6">
        <v>70</v>
      </c>
      <c r="I3480" s="26">
        <f t="shared" si="179"/>
        <v>0</v>
      </c>
      <c r="J3480" s="7" t="str">
        <f t="shared" si="180"/>
        <v>PAGADO</v>
      </c>
      <c r="K3480" s="33" t="s">
        <v>2640</v>
      </c>
      <c r="L3480" s="59" t="s">
        <v>3346</v>
      </c>
    </row>
    <row r="3481" spans="1:12" x14ac:dyDescent="0.25">
      <c r="A3481">
        <v>2025</v>
      </c>
      <c r="C3481" s="9" t="s">
        <v>3341</v>
      </c>
      <c r="D3481" s="9" t="s">
        <v>1510</v>
      </c>
      <c r="F3481" s="6">
        <v>60</v>
      </c>
      <c r="G3481" s="6">
        <f t="shared" si="178"/>
        <v>60</v>
      </c>
      <c r="H3481" s="6">
        <v>60</v>
      </c>
      <c r="I3481" s="26">
        <f t="shared" si="179"/>
        <v>0</v>
      </c>
      <c r="J3481" s="7" t="str">
        <f t="shared" si="180"/>
        <v>PAGADO</v>
      </c>
      <c r="K3481" s="33" t="s">
        <v>2640</v>
      </c>
    </row>
    <row r="3482" spans="1:12" x14ac:dyDescent="0.25">
      <c r="A3482">
        <v>2025</v>
      </c>
      <c r="C3482" s="9" t="s">
        <v>3342</v>
      </c>
      <c r="D3482" s="9" t="s">
        <v>1510</v>
      </c>
      <c r="F3482" s="6">
        <v>60</v>
      </c>
      <c r="G3482" s="6">
        <f t="shared" si="178"/>
        <v>60</v>
      </c>
      <c r="H3482" s="6">
        <v>60</v>
      </c>
      <c r="I3482" s="26">
        <f t="shared" si="179"/>
        <v>0</v>
      </c>
      <c r="J3482" s="7" t="str">
        <f t="shared" si="180"/>
        <v>PAGADO</v>
      </c>
      <c r="K3482" s="33" t="s">
        <v>2640</v>
      </c>
    </row>
    <row r="3483" spans="1:12" x14ac:dyDescent="0.25">
      <c r="A3483">
        <v>2025</v>
      </c>
      <c r="C3483" s="9" t="s">
        <v>3347</v>
      </c>
      <c r="D3483" s="9" t="s">
        <v>1849</v>
      </c>
      <c r="F3483" s="6">
        <v>75</v>
      </c>
      <c r="G3483" s="6">
        <f t="shared" si="178"/>
        <v>75</v>
      </c>
      <c r="H3483" s="6">
        <v>75</v>
      </c>
      <c r="I3483" s="26">
        <f t="shared" si="179"/>
        <v>0</v>
      </c>
      <c r="J3483" s="7" t="str">
        <f t="shared" si="180"/>
        <v>PAGADO</v>
      </c>
      <c r="K3483" s="33" t="s">
        <v>2640</v>
      </c>
    </row>
    <row r="3484" spans="1:12" x14ac:dyDescent="0.25">
      <c r="A3484">
        <v>2025</v>
      </c>
      <c r="C3484" s="9" t="s">
        <v>3311</v>
      </c>
      <c r="D3484" s="9" t="s">
        <v>1849</v>
      </c>
      <c r="F3484" s="6">
        <v>75</v>
      </c>
      <c r="G3484" s="6">
        <f t="shared" si="178"/>
        <v>75</v>
      </c>
      <c r="H3484" s="6">
        <v>75</v>
      </c>
      <c r="I3484" s="26">
        <f t="shared" si="179"/>
        <v>0</v>
      </c>
      <c r="J3484" s="7" t="str">
        <f t="shared" si="180"/>
        <v>PAGADO</v>
      </c>
      <c r="K3484" s="33" t="s">
        <v>2640</v>
      </c>
    </row>
    <row r="3485" spans="1:12" x14ac:dyDescent="0.25">
      <c r="A3485">
        <v>2025</v>
      </c>
      <c r="C3485" s="9" t="s">
        <v>3348</v>
      </c>
      <c r="D3485" s="9" t="s">
        <v>2275</v>
      </c>
      <c r="F3485" s="6">
        <v>70</v>
      </c>
      <c r="G3485" s="6">
        <f t="shared" si="178"/>
        <v>70</v>
      </c>
      <c r="H3485" s="16">
        <v>70</v>
      </c>
      <c r="I3485" s="26">
        <f t="shared" si="179"/>
        <v>0</v>
      </c>
      <c r="J3485" s="7" t="str">
        <f t="shared" si="180"/>
        <v>PAGADO</v>
      </c>
      <c r="K3485" s="33" t="s">
        <v>2640</v>
      </c>
    </row>
    <row r="3486" spans="1:12" x14ac:dyDescent="0.25">
      <c r="A3486">
        <v>2025</v>
      </c>
      <c r="C3486" s="9" t="s">
        <v>3299</v>
      </c>
      <c r="D3486" s="9" t="s">
        <v>3029</v>
      </c>
      <c r="F3486" s="6">
        <v>55</v>
      </c>
      <c r="G3486" s="6">
        <f t="shared" si="178"/>
        <v>55</v>
      </c>
      <c r="H3486" s="6">
        <v>55</v>
      </c>
      <c r="I3486" s="26">
        <f t="shared" si="179"/>
        <v>0</v>
      </c>
      <c r="J3486" s="7" t="str">
        <f t="shared" si="180"/>
        <v>PAGADO</v>
      </c>
      <c r="K3486" s="33" t="s">
        <v>2640</v>
      </c>
    </row>
    <row r="3487" spans="1:12" x14ac:dyDescent="0.25">
      <c r="A3487">
        <v>2025</v>
      </c>
      <c r="C3487" s="9" t="s">
        <v>3349</v>
      </c>
      <c r="D3487" s="9" t="s">
        <v>1380</v>
      </c>
      <c r="F3487" s="6">
        <v>65</v>
      </c>
      <c r="G3487" s="6">
        <f t="shared" si="178"/>
        <v>65</v>
      </c>
      <c r="H3487" s="6">
        <v>65</v>
      </c>
      <c r="I3487" s="26">
        <f t="shared" si="179"/>
        <v>0</v>
      </c>
      <c r="J3487" s="7" t="str">
        <f t="shared" si="180"/>
        <v>PAGADO</v>
      </c>
      <c r="K3487" s="33" t="s">
        <v>2640</v>
      </c>
    </row>
    <row r="3488" spans="1:12" x14ac:dyDescent="0.25">
      <c r="A3488">
        <v>2025</v>
      </c>
      <c r="C3488" s="9" t="s">
        <v>3350</v>
      </c>
      <c r="D3488" s="9" t="s">
        <v>1380</v>
      </c>
      <c r="F3488" s="6">
        <v>10</v>
      </c>
      <c r="G3488" s="6">
        <f t="shared" si="178"/>
        <v>10</v>
      </c>
      <c r="H3488" s="6">
        <v>10</v>
      </c>
      <c r="I3488" s="26">
        <f t="shared" si="179"/>
        <v>0</v>
      </c>
      <c r="J3488" s="7" t="str">
        <f t="shared" si="180"/>
        <v>PAGADO</v>
      </c>
      <c r="K3488" s="33" t="s">
        <v>2640</v>
      </c>
    </row>
    <row r="3489" spans="1:12" x14ac:dyDescent="0.25">
      <c r="A3489">
        <v>2025</v>
      </c>
      <c r="C3489" s="9" t="s">
        <v>3351</v>
      </c>
      <c r="D3489" s="9" t="s">
        <v>1425</v>
      </c>
      <c r="F3489" s="6">
        <v>75</v>
      </c>
      <c r="G3489" s="6">
        <f t="shared" si="178"/>
        <v>75</v>
      </c>
      <c r="H3489" s="6">
        <f>37.5+37.5</f>
        <v>75</v>
      </c>
      <c r="I3489" s="26">
        <f t="shared" si="179"/>
        <v>0</v>
      </c>
      <c r="J3489" s="7" t="str">
        <f t="shared" si="180"/>
        <v>PAGADO</v>
      </c>
      <c r="K3489" s="33" t="s">
        <v>2640</v>
      </c>
    </row>
    <row r="3490" spans="1:12" x14ac:dyDescent="0.25">
      <c r="A3490">
        <v>2025</v>
      </c>
      <c r="C3490" s="9" t="s">
        <v>1515</v>
      </c>
      <c r="D3490" s="9" t="s">
        <v>3029</v>
      </c>
      <c r="F3490" s="6">
        <v>50</v>
      </c>
      <c r="G3490" s="6">
        <f t="shared" si="178"/>
        <v>50</v>
      </c>
      <c r="H3490" s="6">
        <f>25+25</f>
        <v>50</v>
      </c>
      <c r="I3490" s="26">
        <f t="shared" si="179"/>
        <v>0</v>
      </c>
      <c r="J3490" s="7" t="str">
        <f t="shared" si="180"/>
        <v>PAGADO</v>
      </c>
      <c r="K3490" s="33" t="s">
        <v>2640</v>
      </c>
    </row>
    <row r="3491" spans="1:12" x14ac:dyDescent="0.25">
      <c r="A3491">
        <v>2025</v>
      </c>
      <c r="C3491" s="9" t="s">
        <v>3342</v>
      </c>
      <c r="D3491" s="9" t="s">
        <v>3029</v>
      </c>
      <c r="F3491" s="6">
        <v>60</v>
      </c>
      <c r="G3491" s="6">
        <f t="shared" si="178"/>
        <v>60</v>
      </c>
      <c r="H3491" s="6">
        <f>30+30</f>
        <v>60</v>
      </c>
      <c r="I3491" s="26">
        <f t="shared" si="179"/>
        <v>0</v>
      </c>
      <c r="J3491" s="7" t="str">
        <f t="shared" si="180"/>
        <v>PAGADO</v>
      </c>
      <c r="K3491" s="33" t="s">
        <v>2640</v>
      </c>
    </row>
    <row r="3492" spans="1:12" x14ac:dyDescent="0.25">
      <c r="A3492">
        <v>2025</v>
      </c>
      <c r="C3492" s="9" t="s">
        <v>3285</v>
      </c>
      <c r="D3492" s="9" t="s">
        <v>3352</v>
      </c>
      <c r="F3492" s="6">
        <v>65</v>
      </c>
      <c r="G3492" s="6">
        <f t="shared" si="178"/>
        <v>65</v>
      </c>
      <c r="H3492" s="6">
        <v>65</v>
      </c>
      <c r="I3492" s="26">
        <f t="shared" si="179"/>
        <v>0</v>
      </c>
      <c r="J3492" s="7" t="str">
        <f t="shared" si="180"/>
        <v>PAGADO</v>
      </c>
      <c r="K3492" s="33" t="s">
        <v>2640</v>
      </c>
    </row>
    <row r="3493" spans="1:12" ht="14.25" customHeight="1" x14ac:dyDescent="0.25">
      <c r="A3493">
        <v>2025</v>
      </c>
      <c r="C3493" s="9" t="s">
        <v>3353</v>
      </c>
      <c r="D3493" s="9" t="s">
        <v>3354</v>
      </c>
      <c r="F3493" s="6">
        <v>30</v>
      </c>
      <c r="G3493" s="6">
        <f t="shared" si="178"/>
        <v>30</v>
      </c>
      <c r="H3493" s="6">
        <v>30</v>
      </c>
      <c r="I3493" s="26">
        <f t="shared" si="179"/>
        <v>0</v>
      </c>
      <c r="J3493" s="7" t="str">
        <f t="shared" si="180"/>
        <v>PAGADO</v>
      </c>
    </row>
    <row r="3494" spans="1:12" x14ac:dyDescent="0.25">
      <c r="A3494">
        <v>2025</v>
      </c>
      <c r="C3494" s="9" t="s">
        <v>3355</v>
      </c>
      <c r="D3494" s="9" t="s">
        <v>2147</v>
      </c>
      <c r="F3494" s="6">
        <v>70</v>
      </c>
      <c r="G3494" s="6">
        <f t="shared" si="178"/>
        <v>70</v>
      </c>
      <c r="H3494" s="6">
        <v>70</v>
      </c>
      <c r="I3494" s="26">
        <f t="shared" si="179"/>
        <v>0</v>
      </c>
      <c r="J3494" s="7" t="str">
        <f t="shared" si="180"/>
        <v>PAGADO</v>
      </c>
    </row>
    <row r="3495" spans="1:12" x14ac:dyDescent="0.25">
      <c r="A3495">
        <v>2025</v>
      </c>
      <c r="C3495" s="9" t="s">
        <v>3356</v>
      </c>
      <c r="D3495" s="9" t="s">
        <v>2147</v>
      </c>
      <c r="F3495" s="6">
        <v>50</v>
      </c>
      <c r="G3495" s="6">
        <f t="shared" si="178"/>
        <v>50</v>
      </c>
      <c r="H3495" s="6">
        <v>50</v>
      </c>
      <c r="I3495" s="26">
        <f t="shared" si="179"/>
        <v>0</v>
      </c>
      <c r="J3495" s="7" t="str">
        <f t="shared" si="180"/>
        <v>PAGADO</v>
      </c>
    </row>
    <row r="3496" spans="1:12" x14ac:dyDescent="0.25">
      <c r="A3496">
        <v>2025</v>
      </c>
      <c r="C3496" s="9" t="s">
        <v>2367</v>
      </c>
      <c r="D3496" s="9" t="s">
        <v>1145</v>
      </c>
      <c r="F3496" s="6">
        <v>70</v>
      </c>
      <c r="G3496" s="6">
        <f t="shared" si="178"/>
        <v>70</v>
      </c>
      <c r="H3496" s="6">
        <v>70</v>
      </c>
      <c r="I3496" s="26">
        <f t="shared" si="179"/>
        <v>0</v>
      </c>
      <c r="J3496" s="7" t="str">
        <f t="shared" si="180"/>
        <v>PAGADO</v>
      </c>
    </row>
    <row r="3497" spans="1:12" x14ac:dyDescent="0.25">
      <c r="A3497">
        <v>2025</v>
      </c>
      <c r="C3497" s="9" t="s">
        <v>3357</v>
      </c>
      <c r="D3497" s="9" t="s">
        <v>1145</v>
      </c>
      <c r="F3497" s="6">
        <v>30</v>
      </c>
      <c r="G3497" s="6">
        <f t="shared" si="178"/>
        <v>30</v>
      </c>
      <c r="H3497" s="6">
        <v>30</v>
      </c>
      <c r="I3497" s="26">
        <f t="shared" si="179"/>
        <v>0</v>
      </c>
      <c r="J3497" s="7" t="str">
        <f t="shared" si="180"/>
        <v>PAGADO</v>
      </c>
    </row>
    <row r="3498" spans="1:12" x14ac:dyDescent="0.25">
      <c r="A3498">
        <v>2025</v>
      </c>
      <c r="C3498" s="9" t="s">
        <v>3358</v>
      </c>
      <c r="D3498" s="9" t="s">
        <v>2275</v>
      </c>
      <c r="F3498" s="6">
        <v>90</v>
      </c>
      <c r="G3498" s="6">
        <f t="shared" si="178"/>
        <v>90</v>
      </c>
      <c r="H3498" s="16">
        <v>90</v>
      </c>
      <c r="I3498" s="26">
        <f t="shared" si="179"/>
        <v>0</v>
      </c>
      <c r="J3498" s="7" t="str">
        <f t="shared" si="180"/>
        <v>PAGADO</v>
      </c>
      <c r="K3498" s="33" t="s">
        <v>2640</v>
      </c>
      <c r="L3498" s="14" t="s">
        <v>3346</v>
      </c>
    </row>
    <row r="3499" spans="1:12" x14ac:dyDescent="0.25">
      <c r="A3499">
        <v>2025</v>
      </c>
      <c r="C3499" s="9" t="s">
        <v>3359</v>
      </c>
      <c r="D3499" s="9" t="s">
        <v>2275</v>
      </c>
      <c r="F3499" s="6">
        <v>80</v>
      </c>
      <c r="G3499" s="6">
        <f t="shared" si="178"/>
        <v>80</v>
      </c>
      <c r="H3499" s="16">
        <v>80</v>
      </c>
      <c r="I3499" s="26">
        <f t="shared" si="179"/>
        <v>0</v>
      </c>
      <c r="J3499" s="7" t="str">
        <f t="shared" si="180"/>
        <v>PAGADO</v>
      </c>
      <c r="K3499" s="33" t="s">
        <v>2640</v>
      </c>
      <c r="L3499" s="14" t="s">
        <v>3346</v>
      </c>
    </row>
    <row r="3500" spans="1:12" x14ac:dyDescent="0.25">
      <c r="A3500">
        <v>2025</v>
      </c>
      <c r="C3500" s="9" t="s">
        <v>3360</v>
      </c>
      <c r="D3500" s="9" t="s">
        <v>2275</v>
      </c>
      <c r="F3500" s="6">
        <v>80</v>
      </c>
      <c r="G3500" s="6">
        <f t="shared" si="178"/>
        <v>80</v>
      </c>
      <c r="H3500" s="16">
        <v>80</v>
      </c>
      <c r="I3500" s="26">
        <f t="shared" si="179"/>
        <v>0</v>
      </c>
      <c r="J3500" s="7" t="str">
        <f t="shared" si="180"/>
        <v>PAGADO</v>
      </c>
      <c r="K3500" s="33" t="s">
        <v>2640</v>
      </c>
      <c r="L3500" s="14" t="s">
        <v>3346</v>
      </c>
    </row>
    <row r="3501" spans="1:12" x14ac:dyDescent="0.25">
      <c r="A3501">
        <v>2025</v>
      </c>
      <c r="C3501" s="9" t="s">
        <v>3361</v>
      </c>
      <c r="D3501" s="9" t="s">
        <v>2530</v>
      </c>
      <c r="F3501" s="6">
        <v>70</v>
      </c>
      <c r="G3501" s="6">
        <f t="shared" si="178"/>
        <v>70</v>
      </c>
      <c r="H3501" s="75">
        <f>35+35</f>
        <v>70</v>
      </c>
      <c r="I3501" s="26">
        <f t="shared" si="179"/>
        <v>0</v>
      </c>
      <c r="J3501" s="7" t="str">
        <f t="shared" si="180"/>
        <v>PAGADO</v>
      </c>
      <c r="K3501" s="33" t="s">
        <v>1815</v>
      </c>
    </row>
    <row r="3502" spans="1:12" x14ac:dyDescent="0.25">
      <c r="A3502">
        <v>2025</v>
      </c>
      <c r="C3502" s="9" t="s">
        <v>3362</v>
      </c>
      <c r="D3502" s="9" t="s">
        <v>2530</v>
      </c>
      <c r="F3502" s="6">
        <v>90</v>
      </c>
      <c r="G3502" s="6">
        <f t="shared" si="178"/>
        <v>90</v>
      </c>
      <c r="H3502" s="75">
        <v>45</v>
      </c>
      <c r="I3502" s="26">
        <f t="shared" si="179"/>
        <v>45</v>
      </c>
      <c r="J3502" s="7" t="str">
        <f t="shared" si="180"/>
        <v>DEBE</v>
      </c>
      <c r="K3502" t="s">
        <v>3363</v>
      </c>
    </row>
    <row r="3503" spans="1:12" x14ac:dyDescent="0.25">
      <c r="A3503">
        <v>2025</v>
      </c>
      <c r="C3503" s="9" t="s">
        <v>3364</v>
      </c>
      <c r="D3503" s="9" t="s">
        <v>2530</v>
      </c>
      <c r="F3503" s="6">
        <v>120</v>
      </c>
      <c r="G3503" s="6">
        <f t="shared" si="178"/>
        <v>120</v>
      </c>
      <c r="H3503" s="75">
        <v>60</v>
      </c>
      <c r="I3503" s="26">
        <f t="shared" si="179"/>
        <v>60</v>
      </c>
      <c r="J3503" s="7" t="str">
        <f t="shared" si="180"/>
        <v>DEBE</v>
      </c>
      <c r="K3503" t="s">
        <v>3363</v>
      </c>
    </row>
    <row r="3504" spans="1:12" x14ac:dyDescent="0.25">
      <c r="A3504">
        <v>2025</v>
      </c>
      <c r="C3504" s="9" t="s">
        <v>3365</v>
      </c>
      <c r="D3504" s="9" t="s">
        <v>2530</v>
      </c>
      <c r="F3504" s="6">
        <v>90</v>
      </c>
      <c r="G3504" s="6">
        <f t="shared" si="178"/>
        <v>90</v>
      </c>
      <c r="H3504" s="75">
        <v>90</v>
      </c>
      <c r="I3504" s="26">
        <f t="shared" si="179"/>
        <v>0</v>
      </c>
      <c r="J3504" s="7" t="str">
        <f t="shared" si="180"/>
        <v>PAGADO</v>
      </c>
      <c r="K3504" s="33" t="s">
        <v>2640</v>
      </c>
    </row>
    <row r="3505" spans="1:12" x14ac:dyDescent="0.25">
      <c r="A3505">
        <v>2025</v>
      </c>
      <c r="C3505" s="9" t="s">
        <v>3366</v>
      </c>
      <c r="D3505" s="9" t="s">
        <v>2530</v>
      </c>
      <c r="F3505" s="6">
        <v>90</v>
      </c>
      <c r="G3505" s="6">
        <f t="shared" si="178"/>
        <v>90</v>
      </c>
      <c r="H3505" s="75">
        <v>45</v>
      </c>
      <c r="I3505" s="26">
        <f t="shared" si="179"/>
        <v>45</v>
      </c>
      <c r="J3505" s="7" t="str">
        <f t="shared" si="180"/>
        <v>DEBE</v>
      </c>
      <c r="K3505" s="33" t="s">
        <v>2712</v>
      </c>
      <c r="L3505" s="18" t="s">
        <v>3367</v>
      </c>
    </row>
    <row r="3506" spans="1:12" x14ac:dyDescent="0.25">
      <c r="A3506">
        <v>2025</v>
      </c>
      <c r="C3506" s="9" t="s">
        <v>3368</v>
      </c>
      <c r="D3506" s="9" t="s">
        <v>2530</v>
      </c>
      <c r="F3506" s="6">
        <v>80</v>
      </c>
      <c r="G3506" s="6">
        <f t="shared" si="178"/>
        <v>80</v>
      </c>
      <c r="H3506" s="75">
        <v>80</v>
      </c>
      <c r="I3506" s="26">
        <f t="shared" si="179"/>
        <v>0</v>
      </c>
      <c r="J3506" s="7" t="str">
        <f t="shared" si="180"/>
        <v>PAGADO</v>
      </c>
      <c r="K3506" s="33" t="s">
        <v>2640</v>
      </c>
    </row>
    <row r="3507" spans="1:12" x14ac:dyDescent="0.25">
      <c r="A3507">
        <v>2025</v>
      </c>
      <c r="C3507" t="s">
        <v>3369</v>
      </c>
      <c r="D3507" s="9" t="s">
        <v>3354</v>
      </c>
      <c r="F3507" s="6">
        <v>30</v>
      </c>
      <c r="G3507" s="6">
        <f t="shared" si="178"/>
        <v>30</v>
      </c>
      <c r="H3507" s="6">
        <v>30</v>
      </c>
      <c r="I3507" s="26">
        <f t="shared" si="179"/>
        <v>0</v>
      </c>
      <c r="J3507" s="7" t="str">
        <f t="shared" si="180"/>
        <v>PAGADO</v>
      </c>
    </row>
    <row r="3508" spans="1:12" x14ac:dyDescent="0.25">
      <c r="A3508">
        <v>2025</v>
      </c>
      <c r="C3508" t="s">
        <v>3251</v>
      </c>
      <c r="D3508" t="s">
        <v>3370</v>
      </c>
      <c r="F3508" s="6">
        <v>200</v>
      </c>
      <c r="G3508" s="6">
        <f t="shared" si="178"/>
        <v>200</v>
      </c>
      <c r="H3508" s="6">
        <v>200</v>
      </c>
      <c r="I3508" s="26">
        <f t="shared" si="179"/>
        <v>0</v>
      </c>
      <c r="J3508" s="7" t="str">
        <f t="shared" si="180"/>
        <v>PAGADO</v>
      </c>
    </row>
    <row r="3509" spans="1:12" x14ac:dyDescent="0.25">
      <c r="A3509">
        <v>2025</v>
      </c>
      <c r="C3509" t="s">
        <v>734</v>
      </c>
      <c r="D3509" s="9" t="s">
        <v>2023</v>
      </c>
      <c r="F3509" s="6">
        <v>110</v>
      </c>
      <c r="G3509" s="6">
        <f t="shared" si="178"/>
        <v>110</v>
      </c>
      <c r="H3509" s="6">
        <v>110</v>
      </c>
      <c r="I3509" s="26">
        <f t="shared" si="179"/>
        <v>0</v>
      </c>
      <c r="J3509" s="7" t="str">
        <f t="shared" si="180"/>
        <v>PAGADO</v>
      </c>
    </row>
    <row r="3510" spans="1:12" x14ac:dyDescent="0.25">
      <c r="A3510">
        <v>2025</v>
      </c>
      <c r="C3510" t="s">
        <v>3371</v>
      </c>
      <c r="D3510" t="s">
        <v>3372</v>
      </c>
      <c r="F3510" s="6">
        <v>160</v>
      </c>
      <c r="G3510" s="6">
        <f t="shared" si="178"/>
        <v>160</v>
      </c>
      <c r="H3510" s="6">
        <v>160</v>
      </c>
      <c r="I3510" s="26">
        <f t="shared" si="179"/>
        <v>0</v>
      </c>
      <c r="J3510" s="7" t="str">
        <f t="shared" si="180"/>
        <v>PAGADO</v>
      </c>
    </row>
    <row r="3511" spans="1:12" x14ac:dyDescent="0.25">
      <c r="A3511">
        <v>2025</v>
      </c>
      <c r="C3511" s="9" t="s">
        <v>3373</v>
      </c>
      <c r="D3511" s="9" t="s">
        <v>3213</v>
      </c>
      <c r="F3511" s="6">
        <v>60</v>
      </c>
      <c r="G3511" s="6">
        <f t="shared" si="178"/>
        <v>60</v>
      </c>
      <c r="H3511" s="6">
        <v>60</v>
      </c>
      <c r="I3511" s="26">
        <f t="shared" si="179"/>
        <v>0</v>
      </c>
      <c r="J3511" s="7" t="str">
        <f t="shared" si="180"/>
        <v>PAGADO</v>
      </c>
    </row>
    <row r="3512" spans="1:12" x14ac:dyDescent="0.25">
      <c r="A3512">
        <v>2025</v>
      </c>
      <c r="C3512" s="9" t="s">
        <v>3374</v>
      </c>
      <c r="D3512" s="9" t="s">
        <v>3208</v>
      </c>
      <c r="F3512" s="6">
        <v>50</v>
      </c>
      <c r="G3512" s="6">
        <f t="shared" si="178"/>
        <v>50</v>
      </c>
      <c r="H3512" s="6">
        <v>50</v>
      </c>
      <c r="I3512" s="26">
        <f t="shared" si="179"/>
        <v>0</v>
      </c>
      <c r="J3512" s="7" t="str">
        <f t="shared" si="180"/>
        <v>PAGADO</v>
      </c>
    </row>
    <row r="3513" spans="1:12" x14ac:dyDescent="0.25">
      <c r="A3513">
        <v>2025</v>
      </c>
      <c r="C3513" s="9" t="s">
        <v>3375</v>
      </c>
      <c r="D3513" s="9" t="s">
        <v>3208</v>
      </c>
      <c r="F3513" s="6">
        <v>50</v>
      </c>
      <c r="G3513" s="6">
        <f t="shared" si="178"/>
        <v>50</v>
      </c>
      <c r="H3513" s="6">
        <v>50</v>
      </c>
      <c r="I3513" s="26">
        <f t="shared" si="179"/>
        <v>0</v>
      </c>
      <c r="J3513" s="7" t="str">
        <f t="shared" si="180"/>
        <v>PAGADO</v>
      </c>
    </row>
    <row r="3514" spans="1:12" x14ac:dyDescent="0.25">
      <c r="A3514">
        <v>2025</v>
      </c>
      <c r="C3514" s="9" t="s">
        <v>3334</v>
      </c>
      <c r="D3514" s="9" t="s">
        <v>3376</v>
      </c>
      <c r="F3514" s="6">
        <v>40</v>
      </c>
      <c r="G3514" s="6">
        <f t="shared" si="178"/>
        <v>40</v>
      </c>
      <c r="H3514" s="6">
        <v>40</v>
      </c>
      <c r="I3514" s="26">
        <f t="shared" si="179"/>
        <v>0</v>
      </c>
      <c r="J3514" s="7" t="str">
        <f t="shared" si="180"/>
        <v>PAGADO</v>
      </c>
      <c r="K3514" s="33" t="s">
        <v>2640</v>
      </c>
    </row>
    <row r="3515" spans="1:12" x14ac:dyDescent="0.25">
      <c r="A3515">
        <v>2025</v>
      </c>
      <c r="C3515" s="9" t="s">
        <v>3377</v>
      </c>
      <c r="D3515" s="9" t="s">
        <v>2530</v>
      </c>
      <c r="F3515" s="6">
        <v>100</v>
      </c>
      <c r="G3515" s="6">
        <f t="shared" si="178"/>
        <v>100</v>
      </c>
      <c r="H3515" s="75">
        <v>100</v>
      </c>
      <c r="I3515" s="26">
        <f t="shared" si="179"/>
        <v>0</v>
      </c>
      <c r="J3515" s="7" t="str">
        <f t="shared" si="180"/>
        <v>PAGADO</v>
      </c>
      <c r="K3515" s="33" t="s">
        <v>2640</v>
      </c>
      <c r="L3515" s="18" t="s">
        <v>3367</v>
      </c>
    </row>
    <row r="3516" spans="1:12" x14ac:dyDescent="0.25">
      <c r="A3516">
        <v>2025</v>
      </c>
      <c r="C3516" s="9" t="s">
        <v>3378</v>
      </c>
      <c r="D3516" s="9" t="s">
        <v>2969</v>
      </c>
      <c r="F3516" s="6">
        <v>85</v>
      </c>
      <c r="G3516" s="6">
        <f t="shared" si="178"/>
        <v>85</v>
      </c>
      <c r="H3516" s="26">
        <v>85</v>
      </c>
      <c r="I3516" s="26">
        <f t="shared" si="179"/>
        <v>0</v>
      </c>
      <c r="J3516" s="7" t="str">
        <f t="shared" si="180"/>
        <v>PAGADO</v>
      </c>
      <c r="K3516" s="33" t="s">
        <v>2640</v>
      </c>
    </row>
    <row r="3517" spans="1:12" x14ac:dyDescent="0.25">
      <c r="A3517">
        <v>2025</v>
      </c>
      <c r="C3517" s="9" t="s">
        <v>3379</v>
      </c>
      <c r="D3517" s="9" t="s">
        <v>2969</v>
      </c>
      <c r="F3517" s="6">
        <v>55</v>
      </c>
      <c r="G3517" s="6">
        <f t="shared" si="178"/>
        <v>55</v>
      </c>
      <c r="H3517" s="6">
        <v>55</v>
      </c>
      <c r="I3517" s="26">
        <f t="shared" si="179"/>
        <v>0</v>
      </c>
      <c r="J3517" s="7" t="str">
        <f t="shared" si="180"/>
        <v>PAGADO</v>
      </c>
      <c r="K3517" s="33" t="s">
        <v>2640</v>
      </c>
    </row>
    <row r="3518" spans="1:12" x14ac:dyDescent="0.25">
      <c r="A3518">
        <v>2025</v>
      </c>
      <c r="C3518" s="9" t="s">
        <v>3380</v>
      </c>
      <c r="D3518" s="9" t="s">
        <v>2969</v>
      </c>
      <c r="F3518" s="6">
        <v>65</v>
      </c>
      <c r="G3518" s="6">
        <f t="shared" ref="G3518:G3581" si="181">F3518-E3518</f>
        <v>65</v>
      </c>
      <c r="H3518" s="6">
        <v>65</v>
      </c>
      <c r="I3518" s="26">
        <f t="shared" si="179"/>
        <v>0</v>
      </c>
      <c r="J3518" s="7" t="str">
        <f t="shared" si="180"/>
        <v>PAGADO</v>
      </c>
      <c r="K3518" s="33" t="s">
        <v>2640</v>
      </c>
    </row>
    <row r="3519" spans="1:12" x14ac:dyDescent="0.25">
      <c r="A3519">
        <v>2025</v>
      </c>
      <c r="C3519" s="9" t="s">
        <v>2720</v>
      </c>
      <c r="D3519" s="9" t="s">
        <v>2969</v>
      </c>
      <c r="F3519" s="6">
        <v>50</v>
      </c>
      <c r="G3519" s="6">
        <f t="shared" si="181"/>
        <v>50</v>
      </c>
      <c r="H3519" s="6">
        <v>50</v>
      </c>
      <c r="I3519" s="26">
        <f t="shared" si="179"/>
        <v>0</v>
      </c>
      <c r="J3519" s="7" t="str">
        <f t="shared" si="180"/>
        <v>PAGADO</v>
      </c>
      <c r="K3519" s="33" t="s">
        <v>2640</v>
      </c>
    </row>
    <row r="3520" spans="1:12" x14ac:dyDescent="0.25">
      <c r="A3520">
        <v>2025</v>
      </c>
      <c r="C3520" t="s">
        <v>2901</v>
      </c>
      <c r="D3520" s="9" t="s">
        <v>3354</v>
      </c>
      <c r="F3520" s="6">
        <v>80</v>
      </c>
      <c r="G3520" s="6">
        <f t="shared" si="181"/>
        <v>80</v>
      </c>
      <c r="H3520" s="6">
        <v>80</v>
      </c>
      <c r="I3520" s="26">
        <f t="shared" si="179"/>
        <v>0</v>
      </c>
      <c r="J3520" s="7" t="str">
        <f t="shared" si="180"/>
        <v>PAGADO</v>
      </c>
    </row>
    <row r="3521" spans="1:11" x14ac:dyDescent="0.25">
      <c r="A3521">
        <v>2025</v>
      </c>
      <c r="C3521" t="s">
        <v>1699</v>
      </c>
      <c r="D3521" s="9" t="s">
        <v>814</v>
      </c>
      <c r="F3521" s="6">
        <v>120</v>
      </c>
      <c r="G3521" s="6">
        <f t="shared" si="181"/>
        <v>120</v>
      </c>
      <c r="H3521" s="6">
        <f>60+60</f>
        <v>120</v>
      </c>
      <c r="I3521" s="6">
        <f t="shared" si="179"/>
        <v>0</v>
      </c>
      <c r="J3521" s="7" t="str">
        <f t="shared" si="180"/>
        <v>PAGADO</v>
      </c>
    </row>
    <row r="3522" spans="1:11" x14ac:dyDescent="0.25">
      <c r="A3522">
        <v>2025</v>
      </c>
      <c r="C3522" t="s">
        <v>3381</v>
      </c>
      <c r="D3522" s="9" t="s">
        <v>3382</v>
      </c>
      <c r="F3522" s="6">
        <v>75</v>
      </c>
      <c r="G3522" s="6">
        <f t="shared" si="181"/>
        <v>75</v>
      </c>
      <c r="H3522" s="6">
        <v>75</v>
      </c>
      <c r="I3522" s="6">
        <f t="shared" si="179"/>
        <v>0</v>
      </c>
      <c r="J3522" s="7" t="str">
        <f t="shared" si="180"/>
        <v>PAGADO</v>
      </c>
    </row>
    <row r="3523" spans="1:11" x14ac:dyDescent="0.25">
      <c r="A3523">
        <v>2025</v>
      </c>
      <c r="C3523" t="s">
        <v>3244</v>
      </c>
      <c r="D3523" s="9" t="s">
        <v>3383</v>
      </c>
      <c r="F3523" s="6">
        <v>150</v>
      </c>
      <c r="G3523" s="6">
        <f t="shared" si="181"/>
        <v>150</v>
      </c>
      <c r="H3523" s="6">
        <v>150</v>
      </c>
      <c r="I3523" s="26">
        <f t="shared" si="179"/>
        <v>0</v>
      </c>
      <c r="J3523" s="7" t="str">
        <f t="shared" si="180"/>
        <v>PAGADO</v>
      </c>
    </row>
    <row r="3524" spans="1:11" x14ac:dyDescent="0.25">
      <c r="A3524">
        <v>2025</v>
      </c>
      <c r="C3524" t="s">
        <v>3384</v>
      </c>
      <c r="D3524" s="9" t="s">
        <v>3385</v>
      </c>
      <c r="F3524" s="6">
        <v>100</v>
      </c>
      <c r="G3524" s="6">
        <f t="shared" si="181"/>
        <v>100</v>
      </c>
      <c r="H3524" s="6">
        <v>100</v>
      </c>
      <c r="I3524" s="26">
        <f t="shared" si="179"/>
        <v>0</v>
      </c>
      <c r="J3524" s="7" t="str">
        <f t="shared" si="180"/>
        <v>PAGADO</v>
      </c>
    </row>
    <row r="3525" spans="1:11" x14ac:dyDescent="0.25">
      <c r="A3525">
        <v>2025</v>
      </c>
      <c r="C3525" s="9" t="s">
        <v>3386</v>
      </c>
      <c r="D3525" s="9" t="s">
        <v>3387</v>
      </c>
      <c r="F3525" s="6">
        <v>100</v>
      </c>
      <c r="G3525" s="6">
        <f t="shared" si="181"/>
        <v>100</v>
      </c>
      <c r="H3525" s="6">
        <v>100</v>
      </c>
      <c r="I3525" s="26">
        <f t="shared" si="179"/>
        <v>0</v>
      </c>
      <c r="J3525" s="7" t="str">
        <f t="shared" si="180"/>
        <v>PAGADO</v>
      </c>
    </row>
    <row r="3526" spans="1:11" x14ac:dyDescent="0.25">
      <c r="A3526">
        <v>2025</v>
      </c>
      <c r="C3526" s="9" t="s">
        <v>3388</v>
      </c>
      <c r="D3526" s="9" t="s">
        <v>2147</v>
      </c>
      <c r="F3526" s="6">
        <v>90</v>
      </c>
      <c r="G3526" s="6">
        <f t="shared" si="181"/>
        <v>90</v>
      </c>
      <c r="H3526" s="6">
        <v>90</v>
      </c>
      <c r="I3526" s="26">
        <f t="shared" si="179"/>
        <v>0</v>
      </c>
      <c r="J3526" s="7" t="str">
        <f t="shared" si="180"/>
        <v>PAGADO</v>
      </c>
    </row>
    <row r="3527" spans="1:11" x14ac:dyDescent="0.25">
      <c r="A3527">
        <v>2025</v>
      </c>
      <c r="C3527" s="9" t="s">
        <v>3389</v>
      </c>
      <c r="D3527" s="9" t="s">
        <v>3390</v>
      </c>
      <c r="F3527" s="6">
        <v>50</v>
      </c>
      <c r="G3527" s="6">
        <f t="shared" si="181"/>
        <v>50</v>
      </c>
      <c r="H3527" s="6">
        <v>50</v>
      </c>
      <c r="I3527" s="26">
        <f t="shared" si="179"/>
        <v>0</v>
      </c>
      <c r="J3527" s="7" t="str">
        <f t="shared" si="180"/>
        <v>PAGADO</v>
      </c>
    </row>
    <row r="3528" spans="1:11" x14ac:dyDescent="0.25">
      <c r="A3528">
        <v>2025</v>
      </c>
      <c r="C3528" s="9" t="s">
        <v>3391</v>
      </c>
      <c r="D3528" s="9" t="s">
        <v>3390</v>
      </c>
      <c r="F3528" s="6">
        <v>50</v>
      </c>
      <c r="G3528" s="6">
        <f t="shared" si="181"/>
        <v>50</v>
      </c>
      <c r="H3528" s="6">
        <v>50</v>
      </c>
      <c r="I3528" s="26">
        <f t="shared" si="179"/>
        <v>0</v>
      </c>
      <c r="J3528" s="7" t="str">
        <f t="shared" si="180"/>
        <v>PAGADO</v>
      </c>
    </row>
    <row r="3529" spans="1:11" x14ac:dyDescent="0.25">
      <c r="A3529">
        <v>2025</v>
      </c>
      <c r="C3529" s="9" t="s">
        <v>3392</v>
      </c>
      <c r="D3529" s="9" t="s">
        <v>1055</v>
      </c>
      <c r="F3529" s="6">
        <v>120</v>
      </c>
      <c r="G3529" s="6">
        <f t="shared" si="181"/>
        <v>120</v>
      </c>
      <c r="H3529" s="6">
        <f>25+30+30+30+5</f>
        <v>120</v>
      </c>
      <c r="I3529" s="26">
        <f t="shared" si="179"/>
        <v>0</v>
      </c>
      <c r="J3529" s="7" t="str">
        <f t="shared" si="180"/>
        <v>PAGADO</v>
      </c>
      <c r="K3529" s="33" t="s">
        <v>2714</v>
      </c>
    </row>
    <row r="3530" spans="1:11" x14ac:dyDescent="0.25">
      <c r="A3530">
        <v>2025</v>
      </c>
      <c r="C3530" s="9" t="s">
        <v>3393</v>
      </c>
      <c r="D3530" s="9" t="s">
        <v>3394</v>
      </c>
      <c r="F3530" s="6">
        <v>50</v>
      </c>
      <c r="G3530" s="6">
        <f t="shared" si="181"/>
        <v>50</v>
      </c>
      <c r="H3530" s="6">
        <v>50</v>
      </c>
      <c r="I3530" s="26">
        <f t="shared" si="179"/>
        <v>0</v>
      </c>
      <c r="J3530" s="7" t="str">
        <f t="shared" si="180"/>
        <v>PAGADO</v>
      </c>
    </row>
    <row r="3531" spans="1:11" x14ac:dyDescent="0.25">
      <c r="A3531">
        <v>2025</v>
      </c>
      <c r="C3531" s="9" t="s">
        <v>715</v>
      </c>
      <c r="D3531" s="9" t="s">
        <v>3395</v>
      </c>
      <c r="F3531" s="6">
        <v>50</v>
      </c>
      <c r="G3531" s="6">
        <f t="shared" si="181"/>
        <v>50</v>
      </c>
      <c r="H3531" s="6">
        <v>50</v>
      </c>
      <c r="I3531" s="26">
        <f t="shared" si="179"/>
        <v>0</v>
      </c>
      <c r="J3531" s="7" t="str">
        <f t="shared" si="180"/>
        <v>PAGADO</v>
      </c>
    </row>
    <row r="3532" spans="1:11" x14ac:dyDescent="0.25">
      <c r="A3532">
        <v>2025</v>
      </c>
      <c r="C3532" s="9" t="s">
        <v>3332</v>
      </c>
      <c r="D3532" s="9" t="s">
        <v>3396</v>
      </c>
      <c r="F3532" s="6">
        <v>220</v>
      </c>
      <c r="G3532" s="6">
        <f t="shared" si="181"/>
        <v>220</v>
      </c>
      <c r="H3532" s="6">
        <v>220</v>
      </c>
      <c r="I3532" s="26">
        <f t="shared" si="179"/>
        <v>0</v>
      </c>
      <c r="J3532" s="7" t="str">
        <f t="shared" si="180"/>
        <v>PAGADO</v>
      </c>
    </row>
    <row r="3533" spans="1:11" x14ac:dyDescent="0.25">
      <c r="A3533">
        <v>2025</v>
      </c>
      <c r="C3533" s="9" t="s">
        <v>3397</v>
      </c>
      <c r="D3533" t="s">
        <v>1589</v>
      </c>
      <c r="F3533" s="6">
        <v>50</v>
      </c>
      <c r="G3533" s="6">
        <f t="shared" si="181"/>
        <v>50</v>
      </c>
      <c r="H3533" s="6">
        <v>50</v>
      </c>
      <c r="I3533" s="6">
        <f t="shared" si="179"/>
        <v>0</v>
      </c>
      <c r="J3533" s="7" t="str">
        <f t="shared" si="180"/>
        <v>PAGADO</v>
      </c>
    </row>
    <row r="3534" spans="1:11" x14ac:dyDescent="0.25">
      <c r="A3534">
        <v>2025</v>
      </c>
      <c r="C3534" s="9" t="s">
        <v>685</v>
      </c>
      <c r="D3534" t="s">
        <v>2018</v>
      </c>
      <c r="F3534" s="6">
        <v>140</v>
      </c>
      <c r="G3534" s="6">
        <f t="shared" si="181"/>
        <v>140</v>
      </c>
      <c r="H3534" s="6">
        <f>40+100</f>
        <v>140</v>
      </c>
      <c r="I3534" s="26">
        <f t="shared" si="179"/>
        <v>0</v>
      </c>
      <c r="J3534" s="7" t="str">
        <f t="shared" si="180"/>
        <v>PAGADO</v>
      </c>
    </row>
    <row r="3535" spans="1:11" x14ac:dyDescent="0.25">
      <c r="A3535">
        <v>2025</v>
      </c>
      <c r="C3535" s="9" t="s">
        <v>3398</v>
      </c>
      <c r="D3535" s="9" t="s">
        <v>2278</v>
      </c>
      <c r="F3535" s="6">
        <v>210</v>
      </c>
      <c r="G3535" s="6">
        <f t="shared" si="181"/>
        <v>210</v>
      </c>
      <c r="H3535" s="6">
        <v>210</v>
      </c>
      <c r="I3535" s="48">
        <f t="shared" si="179"/>
        <v>0</v>
      </c>
      <c r="J3535" s="7" t="str">
        <f t="shared" si="180"/>
        <v>PAGADO</v>
      </c>
      <c r="K3535" s="60" t="s">
        <v>693</v>
      </c>
    </row>
    <row r="3536" spans="1:11" x14ac:dyDescent="0.25">
      <c r="A3536">
        <v>2025</v>
      </c>
      <c r="C3536" s="9" t="s">
        <v>3399</v>
      </c>
      <c r="D3536" s="9" t="s">
        <v>2278</v>
      </c>
      <c r="F3536" s="6">
        <v>75</v>
      </c>
      <c r="G3536" s="6">
        <f t="shared" si="181"/>
        <v>75</v>
      </c>
      <c r="H3536" s="65">
        <f>37.5+37.5</f>
        <v>75</v>
      </c>
      <c r="I3536" s="26">
        <f t="shared" si="179"/>
        <v>0</v>
      </c>
      <c r="J3536" s="7" t="str">
        <f t="shared" si="180"/>
        <v>PAGADO</v>
      </c>
      <c r="K3536" s="60" t="s">
        <v>693</v>
      </c>
    </row>
    <row r="3537" spans="1:12" x14ac:dyDescent="0.25">
      <c r="A3537">
        <v>2025</v>
      </c>
      <c r="C3537" s="9" t="s">
        <v>3400</v>
      </c>
      <c r="D3537" s="9" t="s">
        <v>2278</v>
      </c>
      <c r="F3537" s="6">
        <v>50</v>
      </c>
      <c r="G3537" s="6">
        <f t="shared" si="181"/>
        <v>50</v>
      </c>
      <c r="H3537" s="6">
        <v>50</v>
      </c>
      <c r="I3537" s="48">
        <f t="shared" si="179"/>
        <v>0</v>
      </c>
      <c r="J3537" s="7" t="str">
        <f t="shared" si="180"/>
        <v>PAGADO</v>
      </c>
      <c r="K3537" s="60" t="s">
        <v>693</v>
      </c>
    </row>
    <row r="3538" spans="1:12" x14ac:dyDescent="0.25">
      <c r="A3538">
        <v>2025</v>
      </c>
      <c r="C3538" s="9" t="s">
        <v>2220</v>
      </c>
      <c r="D3538" s="9" t="s">
        <v>2903</v>
      </c>
      <c r="F3538" s="6">
        <v>65</v>
      </c>
      <c r="G3538" s="6">
        <f t="shared" si="181"/>
        <v>65</v>
      </c>
      <c r="H3538" s="6">
        <v>65</v>
      </c>
      <c r="I3538" s="26">
        <f t="shared" ref="I3538:I3601" si="182">F3538-H3538</f>
        <v>0</v>
      </c>
      <c r="J3538" s="7" t="str">
        <f t="shared" ref="J3538:J3601" si="183">IF(I3538&gt;0,"DEBE","PAGADO")</f>
        <v>PAGADO</v>
      </c>
      <c r="K3538" s="33" t="s">
        <v>2640</v>
      </c>
    </row>
    <row r="3539" spans="1:12" x14ac:dyDescent="0.25">
      <c r="A3539">
        <v>2025</v>
      </c>
      <c r="C3539" s="9" t="s">
        <v>3401</v>
      </c>
      <c r="D3539" s="9" t="s">
        <v>2903</v>
      </c>
      <c r="F3539" s="6">
        <v>60</v>
      </c>
      <c r="G3539" s="6">
        <f t="shared" si="181"/>
        <v>60</v>
      </c>
      <c r="H3539" s="6">
        <v>60</v>
      </c>
      <c r="I3539" s="26">
        <f t="shared" si="182"/>
        <v>0</v>
      </c>
      <c r="J3539" s="7" t="str">
        <f t="shared" si="183"/>
        <v>PAGADO</v>
      </c>
      <c r="K3539" s="33" t="s">
        <v>2640</v>
      </c>
    </row>
    <row r="3540" spans="1:12" x14ac:dyDescent="0.25">
      <c r="A3540">
        <v>2025</v>
      </c>
      <c r="C3540" s="9" t="s">
        <v>3402</v>
      </c>
      <c r="D3540" s="9" t="s">
        <v>3403</v>
      </c>
      <c r="F3540" s="6">
        <v>65</v>
      </c>
      <c r="G3540" s="6">
        <f t="shared" si="181"/>
        <v>65</v>
      </c>
      <c r="H3540" s="6">
        <v>65</v>
      </c>
      <c r="I3540" s="26">
        <f t="shared" si="182"/>
        <v>0</v>
      </c>
      <c r="J3540" s="7" t="str">
        <f t="shared" si="183"/>
        <v>PAGADO</v>
      </c>
    </row>
    <row r="3541" spans="1:12" x14ac:dyDescent="0.25">
      <c r="A3541">
        <v>2025</v>
      </c>
      <c r="C3541" s="9" t="s">
        <v>3404</v>
      </c>
      <c r="D3541" s="9" t="s">
        <v>3403</v>
      </c>
      <c r="F3541" s="6">
        <v>60</v>
      </c>
      <c r="G3541" s="6">
        <f t="shared" si="181"/>
        <v>60</v>
      </c>
      <c r="H3541" s="6">
        <v>60</v>
      </c>
      <c r="I3541" s="26">
        <f t="shared" si="182"/>
        <v>0</v>
      </c>
      <c r="J3541" s="7" t="str">
        <f t="shared" si="183"/>
        <v>PAGADO</v>
      </c>
    </row>
    <row r="3542" spans="1:12" x14ac:dyDescent="0.25">
      <c r="A3542">
        <v>2025</v>
      </c>
      <c r="C3542" t="s">
        <v>3405</v>
      </c>
      <c r="D3542" s="9" t="s">
        <v>3247</v>
      </c>
      <c r="F3542" s="6">
        <v>90</v>
      </c>
      <c r="G3542" s="6">
        <f t="shared" si="181"/>
        <v>90</v>
      </c>
      <c r="H3542" s="6">
        <f>60+30</f>
        <v>90</v>
      </c>
      <c r="I3542" s="26">
        <f t="shared" si="182"/>
        <v>0</v>
      </c>
      <c r="J3542" s="7" t="str">
        <f t="shared" si="183"/>
        <v>PAGADO</v>
      </c>
    </row>
    <row r="3543" spans="1:12" x14ac:dyDescent="0.25">
      <c r="A3543">
        <v>2025</v>
      </c>
      <c r="C3543" t="s">
        <v>3406</v>
      </c>
      <c r="D3543" s="9" t="s">
        <v>3247</v>
      </c>
      <c r="F3543" s="6">
        <v>90</v>
      </c>
      <c r="G3543" s="6">
        <f t="shared" si="181"/>
        <v>90</v>
      </c>
      <c r="H3543" s="6">
        <f>50+40</f>
        <v>90</v>
      </c>
      <c r="I3543" s="26">
        <f t="shared" si="182"/>
        <v>0</v>
      </c>
      <c r="J3543" s="7" t="str">
        <f t="shared" si="183"/>
        <v>PAGADO</v>
      </c>
    </row>
    <row r="3544" spans="1:12" x14ac:dyDescent="0.25">
      <c r="A3544">
        <v>2025</v>
      </c>
      <c r="C3544" t="s">
        <v>3407</v>
      </c>
      <c r="D3544" s="9" t="s">
        <v>3247</v>
      </c>
      <c r="F3544" s="6">
        <v>70</v>
      </c>
      <c r="G3544" s="6">
        <f t="shared" si="181"/>
        <v>70</v>
      </c>
      <c r="H3544" s="6">
        <f>50+20</f>
        <v>70</v>
      </c>
      <c r="I3544" s="26">
        <f t="shared" si="182"/>
        <v>0</v>
      </c>
      <c r="J3544" s="7" t="str">
        <f t="shared" si="183"/>
        <v>PAGADO</v>
      </c>
    </row>
    <row r="3545" spans="1:12" x14ac:dyDescent="0.25">
      <c r="A3545">
        <v>2025</v>
      </c>
      <c r="C3545" t="s">
        <v>3408</v>
      </c>
      <c r="D3545" s="9" t="s">
        <v>3409</v>
      </c>
      <c r="F3545" s="6">
        <v>130</v>
      </c>
      <c r="G3545" s="6">
        <f t="shared" si="181"/>
        <v>130</v>
      </c>
      <c r="H3545" s="6">
        <v>130</v>
      </c>
      <c r="I3545" s="26">
        <f t="shared" si="182"/>
        <v>0</v>
      </c>
      <c r="J3545" s="7" t="str">
        <f t="shared" si="183"/>
        <v>PAGADO</v>
      </c>
    </row>
    <row r="3546" spans="1:12" x14ac:dyDescent="0.25">
      <c r="A3546">
        <v>2025</v>
      </c>
      <c r="C3546" t="s">
        <v>3410</v>
      </c>
      <c r="D3546" s="9" t="s">
        <v>3411</v>
      </c>
      <c r="F3546" s="6">
        <v>20</v>
      </c>
      <c r="G3546" s="6">
        <f t="shared" si="181"/>
        <v>20</v>
      </c>
      <c r="H3546" s="6">
        <v>20</v>
      </c>
      <c r="I3546" s="26">
        <f t="shared" si="182"/>
        <v>0</v>
      </c>
      <c r="J3546" s="7" t="str">
        <f t="shared" si="183"/>
        <v>PAGADO</v>
      </c>
    </row>
    <row r="3547" spans="1:12" x14ac:dyDescent="0.25">
      <c r="A3547">
        <v>2025</v>
      </c>
      <c r="C3547" t="s">
        <v>3412</v>
      </c>
      <c r="D3547" s="9" t="s">
        <v>1078</v>
      </c>
      <c r="F3547" s="6">
        <v>20</v>
      </c>
      <c r="G3547" s="6">
        <f t="shared" si="181"/>
        <v>20</v>
      </c>
      <c r="H3547" s="6">
        <v>20</v>
      </c>
      <c r="I3547" s="26">
        <f t="shared" si="182"/>
        <v>0</v>
      </c>
      <c r="J3547" s="7" t="str">
        <f t="shared" si="183"/>
        <v>PAGADO</v>
      </c>
    </row>
    <row r="3548" spans="1:12" x14ac:dyDescent="0.25">
      <c r="A3548">
        <v>2025</v>
      </c>
      <c r="C3548" t="s">
        <v>3413</v>
      </c>
      <c r="D3548" t="s">
        <v>1425</v>
      </c>
      <c r="F3548" s="6">
        <v>40</v>
      </c>
      <c r="G3548" s="6">
        <f t="shared" si="181"/>
        <v>40</v>
      </c>
      <c r="H3548" s="6">
        <v>40</v>
      </c>
      <c r="I3548" s="26">
        <f t="shared" si="182"/>
        <v>0</v>
      </c>
      <c r="J3548" s="7" t="str">
        <f t="shared" si="183"/>
        <v>PAGADO</v>
      </c>
    </row>
    <row r="3549" spans="1:12" x14ac:dyDescent="0.25">
      <c r="A3549">
        <v>2025</v>
      </c>
      <c r="C3549" s="9" t="s">
        <v>3414</v>
      </c>
      <c r="D3549" s="9" t="s">
        <v>597</v>
      </c>
      <c r="F3549" s="6">
        <v>75</v>
      </c>
      <c r="G3549" s="6">
        <f t="shared" si="181"/>
        <v>75</v>
      </c>
      <c r="H3549" s="24">
        <v>75</v>
      </c>
      <c r="I3549" s="26">
        <f t="shared" si="182"/>
        <v>0</v>
      </c>
      <c r="J3549" s="7" t="str">
        <f t="shared" si="183"/>
        <v>PAGADO</v>
      </c>
    </row>
    <row r="3550" spans="1:12" x14ac:dyDescent="0.25">
      <c r="A3550">
        <v>2025</v>
      </c>
      <c r="C3550" s="9" t="s">
        <v>3415</v>
      </c>
      <c r="D3550" s="9" t="s">
        <v>597</v>
      </c>
      <c r="F3550" s="6">
        <v>75</v>
      </c>
      <c r="G3550" s="6">
        <f t="shared" si="181"/>
        <v>75</v>
      </c>
      <c r="H3550" s="24">
        <v>75</v>
      </c>
      <c r="I3550" s="26">
        <f t="shared" si="182"/>
        <v>0</v>
      </c>
      <c r="J3550" s="7" t="str">
        <f t="shared" si="183"/>
        <v>PAGADO</v>
      </c>
      <c r="K3550" s="33" t="s">
        <v>2640</v>
      </c>
    </row>
    <row r="3551" spans="1:12" x14ac:dyDescent="0.25">
      <c r="A3551">
        <v>2025</v>
      </c>
      <c r="C3551" s="9" t="s">
        <v>3416</v>
      </c>
      <c r="D3551" s="9" t="s">
        <v>597</v>
      </c>
      <c r="F3551" s="6">
        <v>150</v>
      </c>
      <c r="G3551" s="6">
        <f t="shared" si="181"/>
        <v>150</v>
      </c>
      <c r="H3551" s="6">
        <f>80+70</f>
        <v>150</v>
      </c>
      <c r="I3551" s="26">
        <f t="shared" si="182"/>
        <v>0</v>
      </c>
      <c r="J3551" s="7" t="str">
        <f t="shared" si="183"/>
        <v>PAGADO</v>
      </c>
      <c r="K3551" s="33" t="s">
        <v>2640</v>
      </c>
      <c r="L3551" s="28"/>
    </row>
    <row r="3552" spans="1:12" x14ac:dyDescent="0.25">
      <c r="A3552">
        <v>2025</v>
      </c>
      <c r="C3552" s="9" t="s">
        <v>3417</v>
      </c>
      <c r="D3552" s="9" t="s">
        <v>597</v>
      </c>
      <c r="F3552" s="6">
        <v>80</v>
      </c>
      <c r="G3552" s="6">
        <f t="shared" si="181"/>
        <v>80</v>
      </c>
      <c r="H3552" s="6">
        <v>80</v>
      </c>
      <c r="I3552" s="26">
        <f t="shared" si="182"/>
        <v>0</v>
      </c>
      <c r="J3552" s="7" t="str">
        <f t="shared" si="183"/>
        <v>PAGADO</v>
      </c>
      <c r="K3552" s="33" t="s">
        <v>2640</v>
      </c>
    </row>
    <row r="3553" spans="1:11" x14ac:dyDescent="0.25">
      <c r="A3553">
        <v>2025</v>
      </c>
      <c r="C3553" s="14" t="s">
        <v>3418</v>
      </c>
      <c r="D3553" s="14" t="s">
        <v>597</v>
      </c>
      <c r="E3553" s="15"/>
      <c r="F3553" s="16">
        <v>110</v>
      </c>
      <c r="G3553" s="16">
        <f t="shared" si="181"/>
        <v>110</v>
      </c>
      <c r="H3553" s="16">
        <v>110</v>
      </c>
      <c r="I3553" s="16">
        <f t="shared" si="182"/>
        <v>0</v>
      </c>
      <c r="J3553" s="17" t="str">
        <f t="shared" si="183"/>
        <v>PAGADO</v>
      </c>
      <c r="K3553" s="59" t="s">
        <v>2712</v>
      </c>
    </row>
    <row r="3554" spans="1:11" x14ac:dyDescent="0.25">
      <c r="A3554">
        <v>2025</v>
      </c>
      <c r="C3554" t="s">
        <v>3419</v>
      </c>
      <c r="D3554" t="s">
        <v>3420</v>
      </c>
      <c r="F3554" s="6">
        <v>110</v>
      </c>
      <c r="G3554" s="6">
        <f t="shared" si="181"/>
        <v>110</v>
      </c>
      <c r="H3554" s="6">
        <v>110</v>
      </c>
      <c r="I3554" s="26">
        <f t="shared" si="182"/>
        <v>0</v>
      </c>
      <c r="J3554" s="7" t="str">
        <f t="shared" si="183"/>
        <v>PAGADO</v>
      </c>
    </row>
    <row r="3555" spans="1:11" x14ac:dyDescent="0.25">
      <c r="A3555">
        <v>2025</v>
      </c>
      <c r="C3555" t="s">
        <v>3421</v>
      </c>
      <c r="D3555" t="s">
        <v>2906</v>
      </c>
      <c r="F3555" s="6">
        <v>55</v>
      </c>
      <c r="G3555" s="6">
        <f t="shared" si="181"/>
        <v>55</v>
      </c>
      <c r="H3555" s="6">
        <v>55</v>
      </c>
      <c r="I3555" s="26">
        <f t="shared" si="182"/>
        <v>0</v>
      </c>
      <c r="J3555" s="7" t="str">
        <f t="shared" si="183"/>
        <v>PAGADO</v>
      </c>
    </row>
    <row r="3556" spans="1:11" x14ac:dyDescent="0.25">
      <c r="A3556">
        <v>2025</v>
      </c>
      <c r="C3556" t="s">
        <v>3422</v>
      </c>
      <c r="D3556" t="s">
        <v>488</v>
      </c>
      <c r="F3556" s="6">
        <v>400</v>
      </c>
      <c r="G3556" s="6">
        <f t="shared" si="181"/>
        <v>400</v>
      </c>
      <c r="H3556" s="6">
        <f>175+50+175</f>
        <v>400</v>
      </c>
      <c r="I3556" s="26">
        <f t="shared" si="182"/>
        <v>0</v>
      </c>
      <c r="J3556" s="7" t="str">
        <f t="shared" si="183"/>
        <v>PAGADO</v>
      </c>
    </row>
    <row r="3557" spans="1:11" x14ac:dyDescent="0.25">
      <c r="A3557">
        <v>2025</v>
      </c>
      <c r="C3557" t="s">
        <v>736</v>
      </c>
      <c r="D3557" t="s">
        <v>2820</v>
      </c>
      <c r="F3557" s="6">
        <v>55</v>
      </c>
      <c r="G3557" s="6">
        <f t="shared" si="181"/>
        <v>55</v>
      </c>
      <c r="H3557" s="6">
        <v>55</v>
      </c>
      <c r="I3557" s="26">
        <f t="shared" si="182"/>
        <v>0</v>
      </c>
      <c r="J3557" s="7" t="str">
        <f t="shared" si="183"/>
        <v>PAGADO</v>
      </c>
    </row>
    <row r="3558" spans="1:11" x14ac:dyDescent="0.25">
      <c r="A3558">
        <v>2025</v>
      </c>
      <c r="C3558" t="s">
        <v>3423</v>
      </c>
      <c r="D3558" t="s">
        <v>3424</v>
      </c>
      <c r="F3558" s="6">
        <v>60</v>
      </c>
      <c r="G3558" s="6">
        <f t="shared" si="181"/>
        <v>60</v>
      </c>
      <c r="H3558" s="6">
        <f>30+30</f>
        <v>60</v>
      </c>
      <c r="I3558" s="26">
        <f t="shared" si="182"/>
        <v>0</v>
      </c>
      <c r="J3558" s="7" t="str">
        <f t="shared" si="183"/>
        <v>PAGADO</v>
      </c>
      <c r="K3558" s="33" t="s">
        <v>1815</v>
      </c>
    </row>
    <row r="3559" spans="1:11" x14ac:dyDescent="0.25">
      <c r="A3559">
        <v>2025</v>
      </c>
      <c r="C3559" s="9" t="s">
        <v>3425</v>
      </c>
      <c r="D3559" s="9" t="s">
        <v>816</v>
      </c>
      <c r="F3559" s="6">
        <v>240</v>
      </c>
      <c r="G3559" s="6">
        <f t="shared" si="181"/>
        <v>240</v>
      </c>
      <c r="H3559" s="6">
        <v>240</v>
      </c>
      <c r="I3559" s="74">
        <f t="shared" si="182"/>
        <v>0</v>
      </c>
      <c r="J3559" s="7" t="str">
        <f t="shared" si="183"/>
        <v>PAGADO</v>
      </c>
    </row>
    <row r="3560" spans="1:11" x14ac:dyDescent="0.25">
      <c r="A3560">
        <v>2025</v>
      </c>
      <c r="C3560" s="9" t="s">
        <v>2391</v>
      </c>
      <c r="D3560" s="9" t="s">
        <v>2878</v>
      </c>
      <c r="F3560" s="6">
        <v>110</v>
      </c>
      <c r="G3560" s="6">
        <f t="shared" si="181"/>
        <v>110</v>
      </c>
      <c r="H3560" s="6">
        <v>110</v>
      </c>
      <c r="I3560" s="26">
        <f t="shared" si="182"/>
        <v>0</v>
      </c>
      <c r="J3560" s="7" t="str">
        <f t="shared" si="183"/>
        <v>PAGADO</v>
      </c>
    </row>
    <row r="3561" spans="1:11" x14ac:dyDescent="0.25">
      <c r="A3561">
        <v>2025</v>
      </c>
      <c r="C3561" s="9" t="s">
        <v>3426</v>
      </c>
      <c r="D3561" s="9" t="s">
        <v>2878</v>
      </c>
      <c r="F3561" s="6">
        <v>100</v>
      </c>
      <c r="G3561" s="6">
        <f t="shared" si="181"/>
        <v>100</v>
      </c>
      <c r="H3561" s="6">
        <v>100</v>
      </c>
      <c r="I3561" s="26">
        <f t="shared" si="182"/>
        <v>0</v>
      </c>
      <c r="J3561" s="7" t="str">
        <f t="shared" si="183"/>
        <v>PAGADO</v>
      </c>
    </row>
    <row r="3562" spans="1:11" x14ac:dyDescent="0.25">
      <c r="A3562">
        <v>2025</v>
      </c>
      <c r="C3562" s="9" t="s">
        <v>2688</v>
      </c>
      <c r="D3562" s="9" t="s">
        <v>2878</v>
      </c>
      <c r="F3562" s="6">
        <v>70</v>
      </c>
      <c r="G3562" s="6">
        <f t="shared" si="181"/>
        <v>70</v>
      </c>
      <c r="H3562" s="6">
        <v>70</v>
      </c>
      <c r="I3562" s="26">
        <f t="shared" si="182"/>
        <v>0</v>
      </c>
      <c r="J3562" s="7" t="str">
        <f t="shared" si="183"/>
        <v>PAGADO</v>
      </c>
    </row>
    <row r="3563" spans="1:11" x14ac:dyDescent="0.25">
      <c r="A3563">
        <v>2025</v>
      </c>
      <c r="C3563" s="9" t="s">
        <v>1442</v>
      </c>
      <c r="D3563" s="9" t="s">
        <v>3427</v>
      </c>
      <c r="F3563" s="6">
        <v>160</v>
      </c>
      <c r="G3563" s="6">
        <f t="shared" si="181"/>
        <v>160</v>
      </c>
      <c r="H3563" s="6">
        <v>160</v>
      </c>
      <c r="I3563" s="26">
        <f t="shared" si="182"/>
        <v>0</v>
      </c>
      <c r="J3563" s="7" t="str">
        <f t="shared" si="183"/>
        <v>PAGADO</v>
      </c>
    </row>
    <row r="3564" spans="1:11" x14ac:dyDescent="0.25">
      <c r="A3564">
        <v>2025</v>
      </c>
      <c r="C3564" s="9" t="s">
        <v>2496</v>
      </c>
      <c r="D3564" s="9" t="s">
        <v>3427</v>
      </c>
      <c r="F3564" s="6">
        <v>65</v>
      </c>
      <c r="G3564" s="6">
        <f t="shared" si="181"/>
        <v>65</v>
      </c>
      <c r="H3564" s="6">
        <v>65</v>
      </c>
      <c r="I3564" s="26">
        <f t="shared" si="182"/>
        <v>0</v>
      </c>
      <c r="J3564" s="7" t="str">
        <f t="shared" si="183"/>
        <v>PAGADO</v>
      </c>
    </row>
    <row r="3565" spans="1:11" x14ac:dyDescent="0.25">
      <c r="A3565">
        <v>2025</v>
      </c>
      <c r="C3565" s="9" t="s">
        <v>3428</v>
      </c>
      <c r="D3565" s="9" t="s">
        <v>3331</v>
      </c>
      <c r="F3565" s="6">
        <v>50</v>
      </c>
      <c r="G3565" s="6">
        <f t="shared" si="181"/>
        <v>50</v>
      </c>
      <c r="H3565" s="16">
        <f>20+30</f>
        <v>50</v>
      </c>
      <c r="I3565" s="26">
        <f t="shared" si="182"/>
        <v>0</v>
      </c>
      <c r="J3565" s="7" t="str">
        <f t="shared" si="183"/>
        <v>PAGADO</v>
      </c>
      <c r="K3565" s="33" t="s">
        <v>2640</v>
      </c>
    </row>
    <row r="3566" spans="1:11" x14ac:dyDescent="0.25">
      <c r="A3566">
        <v>2025</v>
      </c>
      <c r="C3566" s="9" t="s">
        <v>3429</v>
      </c>
      <c r="D3566" s="9" t="s">
        <v>3430</v>
      </c>
      <c r="F3566" s="6">
        <v>60</v>
      </c>
      <c r="G3566" s="6">
        <f t="shared" si="181"/>
        <v>60</v>
      </c>
      <c r="H3566" s="6">
        <v>60</v>
      </c>
      <c r="I3566" s="26">
        <f t="shared" si="182"/>
        <v>0</v>
      </c>
      <c r="J3566" s="7" t="str">
        <f t="shared" si="183"/>
        <v>PAGADO</v>
      </c>
    </row>
    <row r="3567" spans="1:11" x14ac:dyDescent="0.25">
      <c r="A3567">
        <v>2025</v>
      </c>
      <c r="C3567" s="9" t="s">
        <v>3431</v>
      </c>
      <c r="D3567" s="9" t="s">
        <v>3432</v>
      </c>
      <c r="F3567" s="6">
        <v>60</v>
      </c>
      <c r="G3567" s="6">
        <f t="shared" si="181"/>
        <v>60</v>
      </c>
      <c r="H3567" s="6">
        <v>60</v>
      </c>
      <c r="I3567" s="26">
        <f t="shared" si="182"/>
        <v>0</v>
      </c>
      <c r="J3567" s="7" t="str">
        <f t="shared" si="183"/>
        <v>PAGADO</v>
      </c>
    </row>
    <row r="3568" spans="1:11" x14ac:dyDescent="0.25">
      <c r="A3568">
        <v>2025</v>
      </c>
      <c r="C3568" s="9" t="s">
        <v>3318</v>
      </c>
      <c r="D3568" s="9" t="s">
        <v>3433</v>
      </c>
      <c r="F3568" s="6">
        <v>70</v>
      </c>
      <c r="G3568" s="6">
        <f t="shared" si="181"/>
        <v>70</v>
      </c>
      <c r="H3568" s="6">
        <v>70</v>
      </c>
      <c r="I3568" s="26">
        <f t="shared" si="182"/>
        <v>0</v>
      </c>
      <c r="J3568" s="7" t="str">
        <f t="shared" si="183"/>
        <v>PAGADO</v>
      </c>
    </row>
    <row r="3569" spans="1:12" x14ac:dyDescent="0.25">
      <c r="A3569">
        <v>2025</v>
      </c>
      <c r="C3569" t="s">
        <v>2952</v>
      </c>
      <c r="D3569" s="9" t="s">
        <v>3434</v>
      </c>
      <c r="F3569" s="6">
        <v>80</v>
      </c>
      <c r="G3569" s="6">
        <f t="shared" si="181"/>
        <v>80</v>
      </c>
      <c r="H3569" s="6">
        <v>80</v>
      </c>
      <c r="I3569" s="16">
        <f t="shared" si="182"/>
        <v>0</v>
      </c>
      <c r="J3569" s="7" t="str">
        <f t="shared" si="183"/>
        <v>PAGADO</v>
      </c>
      <c r="K3569" s="33" t="s">
        <v>1815</v>
      </c>
    </row>
    <row r="3570" spans="1:12" x14ac:dyDescent="0.25">
      <c r="A3570">
        <v>2025</v>
      </c>
      <c r="C3570" t="s">
        <v>2951</v>
      </c>
      <c r="D3570" s="9" t="s">
        <v>3434</v>
      </c>
      <c r="F3570" s="6">
        <v>80</v>
      </c>
      <c r="G3570" s="6">
        <f t="shared" si="181"/>
        <v>80</v>
      </c>
      <c r="H3570" s="6">
        <v>80</v>
      </c>
      <c r="I3570" s="16">
        <f t="shared" si="182"/>
        <v>0</v>
      </c>
      <c r="J3570" s="7" t="str">
        <f t="shared" si="183"/>
        <v>PAGADO</v>
      </c>
      <c r="K3570" s="33" t="s">
        <v>1815</v>
      </c>
    </row>
    <row r="3571" spans="1:12" x14ac:dyDescent="0.25">
      <c r="A3571">
        <v>2025</v>
      </c>
      <c r="C3571" s="9" t="s">
        <v>3435</v>
      </c>
      <c r="D3571" s="9" t="s">
        <v>3434</v>
      </c>
      <c r="F3571" s="6">
        <v>20</v>
      </c>
      <c r="G3571" s="6">
        <f t="shared" si="181"/>
        <v>20</v>
      </c>
      <c r="H3571" s="6">
        <v>20</v>
      </c>
      <c r="I3571" s="26">
        <f t="shared" si="182"/>
        <v>0</v>
      </c>
      <c r="J3571" s="7" t="str">
        <f t="shared" si="183"/>
        <v>PAGADO</v>
      </c>
    </row>
    <row r="3572" spans="1:12" x14ac:dyDescent="0.25">
      <c r="A3572">
        <v>2025</v>
      </c>
      <c r="C3572" s="9" t="s">
        <v>3436</v>
      </c>
      <c r="D3572" s="9" t="s">
        <v>3434</v>
      </c>
      <c r="F3572" s="6">
        <v>60</v>
      </c>
      <c r="G3572" s="6">
        <f t="shared" si="181"/>
        <v>60</v>
      </c>
      <c r="H3572" s="6">
        <f>30+30</f>
        <v>60</v>
      </c>
      <c r="I3572" s="26">
        <f t="shared" si="182"/>
        <v>0</v>
      </c>
      <c r="J3572" s="7" t="str">
        <f t="shared" si="183"/>
        <v>PAGADO</v>
      </c>
      <c r="K3572" s="33" t="s">
        <v>2258</v>
      </c>
    </row>
    <row r="3573" spans="1:12" x14ac:dyDescent="0.25">
      <c r="A3573">
        <v>2025</v>
      </c>
      <c r="C3573" s="9" t="s">
        <v>3264</v>
      </c>
      <c r="D3573" s="9" t="s">
        <v>3387</v>
      </c>
      <c r="F3573" s="6">
        <v>150</v>
      </c>
      <c r="G3573" s="6">
        <f t="shared" si="181"/>
        <v>150</v>
      </c>
      <c r="H3573" s="6">
        <f>75+75</f>
        <v>150</v>
      </c>
      <c r="I3573" s="26">
        <f t="shared" si="182"/>
        <v>0</v>
      </c>
      <c r="J3573" s="7" t="str">
        <f t="shared" si="183"/>
        <v>PAGADO</v>
      </c>
      <c r="K3573" s="33" t="s">
        <v>2640</v>
      </c>
    </row>
    <row r="3574" spans="1:12" x14ac:dyDescent="0.25">
      <c r="A3574">
        <v>2025</v>
      </c>
      <c r="C3574" s="9" t="s">
        <v>3437</v>
      </c>
      <c r="D3574" s="9" t="s">
        <v>70</v>
      </c>
      <c r="F3574" s="6">
        <v>70</v>
      </c>
      <c r="G3574" s="6">
        <f t="shared" si="181"/>
        <v>70</v>
      </c>
      <c r="H3574" s="6">
        <v>70</v>
      </c>
      <c r="I3574" s="26">
        <f t="shared" si="182"/>
        <v>0</v>
      </c>
      <c r="J3574" s="7" t="str">
        <f t="shared" si="183"/>
        <v>PAGADO</v>
      </c>
      <c r="K3574" s="33" t="s">
        <v>2640</v>
      </c>
    </row>
    <row r="3575" spans="1:12" x14ac:dyDescent="0.25">
      <c r="A3575">
        <v>2025</v>
      </c>
      <c r="C3575" s="9" t="s">
        <v>3438</v>
      </c>
      <c r="D3575" s="9" t="s">
        <v>3354</v>
      </c>
      <c r="F3575" s="6">
        <v>0</v>
      </c>
      <c r="G3575" s="6">
        <f t="shared" si="181"/>
        <v>0</v>
      </c>
      <c r="H3575" s="6">
        <v>0</v>
      </c>
      <c r="I3575" s="26">
        <f t="shared" si="182"/>
        <v>0</v>
      </c>
      <c r="J3575" s="7" t="str">
        <f t="shared" si="183"/>
        <v>PAGADO</v>
      </c>
      <c r="K3575" s="33" t="s">
        <v>3439</v>
      </c>
    </row>
    <row r="3576" spans="1:12" x14ac:dyDescent="0.25">
      <c r="A3576">
        <v>2025</v>
      </c>
      <c r="C3576" s="9" t="s">
        <v>3440</v>
      </c>
      <c r="D3576" s="9" t="s">
        <v>3441</v>
      </c>
      <c r="F3576" s="6">
        <v>60</v>
      </c>
      <c r="G3576" s="6">
        <f t="shared" si="181"/>
        <v>60</v>
      </c>
      <c r="H3576" s="6">
        <v>60</v>
      </c>
      <c r="I3576" s="26">
        <f t="shared" si="182"/>
        <v>0</v>
      </c>
      <c r="J3576" s="7" t="str">
        <f t="shared" si="183"/>
        <v>PAGADO</v>
      </c>
    </row>
    <row r="3577" spans="1:12" x14ac:dyDescent="0.25">
      <c r="A3577">
        <v>2025</v>
      </c>
      <c r="C3577" s="9" t="s">
        <v>3442</v>
      </c>
      <c r="D3577" s="9" t="s">
        <v>3434</v>
      </c>
      <c r="F3577" s="6">
        <v>50</v>
      </c>
      <c r="G3577" s="6">
        <f t="shared" si="181"/>
        <v>50</v>
      </c>
      <c r="H3577" s="6">
        <f>25+25</f>
        <v>50</v>
      </c>
      <c r="I3577" s="26">
        <f t="shared" si="182"/>
        <v>0</v>
      </c>
      <c r="J3577" s="7" t="str">
        <f t="shared" si="183"/>
        <v>PAGADO</v>
      </c>
      <c r="K3577" s="33" t="s">
        <v>2640</v>
      </c>
    </row>
    <row r="3578" spans="1:12" x14ac:dyDescent="0.25">
      <c r="A3578">
        <v>2025</v>
      </c>
      <c r="C3578" s="9" t="s">
        <v>3443</v>
      </c>
      <c r="D3578" s="9" t="s">
        <v>3444</v>
      </c>
      <c r="F3578" s="6">
        <v>80</v>
      </c>
      <c r="G3578" s="6">
        <f t="shared" si="181"/>
        <v>80</v>
      </c>
      <c r="H3578" s="6">
        <v>80</v>
      </c>
      <c r="I3578" s="26">
        <f t="shared" si="182"/>
        <v>0</v>
      </c>
      <c r="J3578" s="7" t="str">
        <f t="shared" si="183"/>
        <v>PAGADO</v>
      </c>
    </row>
    <row r="3579" spans="1:12" x14ac:dyDescent="0.25">
      <c r="A3579">
        <v>2025</v>
      </c>
      <c r="C3579" s="9" t="s">
        <v>3445</v>
      </c>
      <c r="D3579" s="9" t="s">
        <v>3444</v>
      </c>
      <c r="F3579" s="6">
        <v>70</v>
      </c>
      <c r="G3579" s="6">
        <f t="shared" si="181"/>
        <v>70</v>
      </c>
      <c r="H3579" s="6">
        <v>70</v>
      </c>
      <c r="I3579" s="26">
        <f t="shared" si="182"/>
        <v>0</v>
      </c>
      <c r="J3579" s="7" t="str">
        <f t="shared" si="183"/>
        <v>PAGADO</v>
      </c>
    </row>
    <row r="3580" spans="1:12" x14ac:dyDescent="0.25">
      <c r="A3580">
        <v>2025</v>
      </c>
      <c r="C3580" s="9" t="s">
        <v>3446</v>
      </c>
      <c r="D3580" s="9" t="s">
        <v>3444</v>
      </c>
      <c r="F3580" s="6">
        <v>65</v>
      </c>
      <c r="G3580" s="6">
        <f t="shared" si="181"/>
        <v>65</v>
      </c>
      <c r="H3580" s="6">
        <v>65</v>
      </c>
      <c r="I3580" s="26">
        <f t="shared" si="182"/>
        <v>0</v>
      </c>
      <c r="J3580" s="7" t="str">
        <f t="shared" si="183"/>
        <v>PAGADO</v>
      </c>
    </row>
    <row r="3581" spans="1:12" x14ac:dyDescent="0.25">
      <c r="A3581">
        <v>2025</v>
      </c>
      <c r="C3581" s="9" t="s">
        <v>3447</v>
      </c>
      <c r="D3581" s="9" t="s">
        <v>3444</v>
      </c>
      <c r="F3581" s="6">
        <v>60</v>
      </c>
      <c r="G3581" s="6">
        <f t="shared" si="181"/>
        <v>60</v>
      </c>
      <c r="H3581" s="6">
        <v>60</v>
      </c>
      <c r="I3581" s="26">
        <f t="shared" si="182"/>
        <v>0</v>
      </c>
      <c r="J3581" s="7" t="str">
        <f t="shared" si="183"/>
        <v>PAGADO</v>
      </c>
    </row>
    <row r="3582" spans="1:12" x14ac:dyDescent="0.25">
      <c r="A3582">
        <v>2025</v>
      </c>
      <c r="C3582" t="s">
        <v>3448</v>
      </c>
      <c r="D3582" s="9" t="s">
        <v>3026</v>
      </c>
      <c r="F3582" s="6">
        <v>70</v>
      </c>
      <c r="G3582" s="6">
        <f t="shared" ref="G3582:G3645" si="184">F3582-E3582</f>
        <v>70</v>
      </c>
      <c r="H3582" s="6">
        <v>70</v>
      </c>
      <c r="I3582" s="26">
        <f t="shared" si="182"/>
        <v>0</v>
      </c>
      <c r="J3582" s="7" t="str">
        <f t="shared" si="183"/>
        <v>PAGADO</v>
      </c>
    </row>
    <row r="3583" spans="1:12" x14ac:dyDescent="0.25">
      <c r="A3583">
        <v>2025</v>
      </c>
      <c r="C3583" t="s">
        <v>3231</v>
      </c>
      <c r="D3583" s="9" t="s">
        <v>3026</v>
      </c>
      <c r="F3583" s="6">
        <v>60</v>
      </c>
      <c r="G3583" s="6">
        <f t="shared" si="184"/>
        <v>60</v>
      </c>
      <c r="H3583" s="6">
        <v>60</v>
      </c>
      <c r="I3583" s="26">
        <f t="shared" si="182"/>
        <v>0</v>
      </c>
      <c r="J3583" s="7" t="str">
        <f t="shared" si="183"/>
        <v>PAGADO</v>
      </c>
    </row>
    <row r="3584" spans="1:12" x14ac:dyDescent="0.25">
      <c r="A3584">
        <v>2025</v>
      </c>
      <c r="C3584" s="9" t="s">
        <v>3273</v>
      </c>
      <c r="D3584" s="9" t="s">
        <v>3449</v>
      </c>
      <c r="F3584" s="6">
        <v>60</v>
      </c>
      <c r="G3584" s="6">
        <f t="shared" si="184"/>
        <v>60</v>
      </c>
      <c r="H3584" s="6">
        <f>20+10+30</f>
        <v>60</v>
      </c>
      <c r="I3584" s="26">
        <f t="shared" si="182"/>
        <v>0</v>
      </c>
      <c r="J3584" s="7" t="str">
        <f t="shared" si="183"/>
        <v>PAGADO</v>
      </c>
      <c r="K3584" s="33" t="s">
        <v>1815</v>
      </c>
      <c r="L3584" s="9" t="s">
        <v>3274</v>
      </c>
    </row>
    <row r="3585" spans="1:11" x14ac:dyDescent="0.25">
      <c r="A3585">
        <v>2025</v>
      </c>
      <c r="C3585" s="9" t="s">
        <v>3450</v>
      </c>
      <c r="D3585" t="s">
        <v>3269</v>
      </c>
      <c r="F3585" s="6">
        <v>30</v>
      </c>
      <c r="G3585" s="6">
        <f t="shared" si="184"/>
        <v>30</v>
      </c>
      <c r="H3585" s="6">
        <v>30</v>
      </c>
      <c r="I3585" s="26">
        <f t="shared" si="182"/>
        <v>0</v>
      </c>
      <c r="J3585" s="7" t="str">
        <f t="shared" si="183"/>
        <v>PAGADO</v>
      </c>
    </row>
    <row r="3586" spans="1:11" x14ac:dyDescent="0.25">
      <c r="A3586">
        <v>2025</v>
      </c>
      <c r="C3586" t="s">
        <v>3451</v>
      </c>
      <c r="D3586" s="9" t="s">
        <v>2213</v>
      </c>
      <c r="F3586" s="6">
        <v>190</v>
      </c>
      <c r="G3586" s="6">
        <f t="shared" si="184"/>
        <v>190</v>
      </c>
      <c r="H3586" s="6">
        <v>190</v>
      </c>
      <c r="I3586" s="26">
        <f t="shared" si="182"/>
        <v>0</v>
      </c>
      <c r="J3586" s="7" t="str">
        <f t="shared" si="183"/>
        <v>PAGADO</v>
      </c>
    </row>
    <row r="3587" spans="1:11" x14ac:dyDescent="0.25">
      <c r="A3587">
        <v>2025</v>
      </c>
      <c r="C3587" t="s">
        <v>3452</v>
      </c>
      <c r="D3587" s="9" t="s">
        <v>2213</v>
      </c>
      <c r="F3587" s="6">
        <v>70</v>
      </c>
      <c r="G3587" s="6">
        <f t="shared" si="184"/>
        <v>70</v>
      </c>
      <c r="H3587" s="6">
        <v>70</v>
      </c>
      <c r="I3587" s="26">
        <f t="shared" si="182"/>
        <v>0</v>
      </c>
      <c r="J3587" s="7" t="str">
        <f t="shared" si="183"/>
        <v>PAGADO</v>
      </c>
    </row>
    <row r="3588" spans="1:11" x14ac:dyDescent="0.25">
      <c r="A3588">
        <v>2025</v>
      </c>
      <c r="C3588" t="s">
        <v>3453</v>
      </c>
      <c r="D3588" s="9" t="s">
        <v>2213</v>
      </c>
      <c r="F3588" s="6">
        <v>70</v>
      </c>
      <c r="G3588" s="6">
        <f t="shared" si="184"/>
        <v>70</v>
      </c>
      <c r="H3588" s="6">
        <v>70</v>
      </c>
      <c r="I3588" s="26">
        <f t="shared" si="182"/>
        <v>0</v>
      </c>
      <c r="J3588" s="7" t="str">
        <f t="shared" si="183"/>
        <v>PAGADO</v>
      </c>
    </row>
    <row r="3589" spans="1:11" x14ac:dyDescent="0.25">
      <c r="A3589">
        <v>2025</v>
      </c>
      <c r="C3589" s="9" t="s">
        <v>3454</v>
      </c>
      <c r="D3589" t="s">
        <v>2979</v>
      </c>
      <c r="F3589" s="6">
        <v>70</v>
      </c>
      <c r="G3589" s="6">
        <f t="shared" si="184"/>
        <v>70</v>
      </c>
      <c r="H3589" s="6">
        <v>70</v>
      </c>
      <c r="I3589" s="26">
        <f t="shared" si="182"/>
        <v>0</v>
      </c>
      <c r="J3589" s="7" t="str">
        <f t="shared" si="183"/>
        <v>PAGADO</v>
      </c>
    </row>
    <row r="3590" spans="1:11" x14ac:dyDescent="0.25">
      <c r="A3590">
        <v>2025</v>
      </c>
      <c r="C3590" s="9" t="s">
        <v>3455</v>
      </c>
      <c r="D3590" t="s">
        <v>3456</v>
      </c>
      <c r="F3590" s="6">
        <v>220</v>
      </c>
      <c r="G3590" s="6">
        <f t="shared" si="184"/>
        <v>220</v>
      </c>
      <c r="H3590" s="6">
        <v>220</v>
      </c>
      <c r="I3590" s="26">
        <f t="shared" si="182"/>
        <v>0</v>
      </c>
      <c r="J3590" s="7" t="str">
        <f t="shared" si="183"/>
        <v>PAGADO</v>
      </c>
    </row>
    <row r="3591" spans="1:11" x14ac:dyDescent="0.25">
      <c r="A3591">
        <v>2025</v>
      </c>
      <c r="C3591" s="9" t="s">
        <v>3457</v>
      </c>
      <c r="D3591" t="s">
        <v>3458</v>
      </c>
      <c r="F3591" s="6">
        <v>50</v>
      </c>
      <c r="G3591" s="6">
        <f t="shared" si="184"/>
        <v>50</v>
      </c>
      <c r="H3591" s="6">
        <v>50</v>
      </c>
      <c r="I3591" s="26">
        <f t="shared" si="182"/>
        <v>0</v>
      </c>
      <c r="J3591" s="7" t="str">
        <f t="shared" si="183"/>
        <v>PAGADO</v>
      </c>
    </row>
    <row r="3592" spans="1:11" x14ac:dyDescent="0.25">
      <c r="A3592">
        <v>2025</v>
      </c>
      <c r="C3592" s="9" t="s">
        <v>3459</v>
      </c>
      <c r="D3592" t="s">
        <v>3458</v>
      </c>
      <c r="F3592" s="6">
        <v>70</v>
      </c>
      <c r="G3592" s="6">
        <f t="shared" si="184"/>
        <v>70</v>
      </c>
      <c r="H3592" s="6">
        <v>70</v>
      </c>
      <c r="I3592" s="26">
        <f t="shared" si="182"/>
        <v>0</v>
      </c>
      <c r="J3592" s="7" t="str">
        <f t="shared" si="183"/>
        <v>PAGADO</v>
      </c>
    </row>
    <row r="3593" spans="1:11" x14ac:dyDescent="0.25">
      <c r="A3593">
        <v>2025</v>
      </c>
      <c r="C3593" s="9" t="s">
        <v>3460</v>
      </c>
      <c r="D3593" t="s">
        <v>3458</v>
      </c>
      <c r="F3593" s="6">
        <v>50</v>
      </c>
      <c r="G3593" s="6">
        <f t="shared" si="184"/>
        <v>50</v>
      </c>
      <c r="H3593" s="6">
        <v>50</v>
      </c>
      <c r="I3593" s="26">
        <f t="shared" si="182"/>
        <v>0</v>
      </c>
      <c r="J3593" s="7" t="str">
        <f t="shared" si="183"/>
        <v>PAGADO</v>
      </c>
    </row>
    <row r="3594" spans="1:11" x14ac:dyDescent="0.25">
      <c r="A3594">
        <v>2025</v>
      </c>
      <c r="C3594" t="s">
        <v>3461</v>
      </c>
      <c r="D3594" t="s">
        <v>3083</v>
      </c>
      <c r="F3594" s="6">
        <v>300</v>
      </c>
      <c r="G3594" s="6">
        <f t="shared" si="184"/>
        <v>300</v>
      </c>
      <c r="H3594" s="6">
        <f>150+150</f>
        <v>300</v>
      </c>
      <c r="I3594" s="26">
        <f t="shared" si="182"/>
        <v>0</v>
      </c>
      <c r="J3594" s="7" t="str">
        <f t="shared" si="183"/>
        <v>PAGADO</v>
      </c>
    </row>
    <row r="3595" spans="1:11" x14ac:dyDescent="0.25">
      <c r="A3595">
        <v>2025</v>
      </c>
      <c r="C3595" s="9" t="s">
        <v>1818</v>
      </c>
      <c r="D3595" s="9" t="s">
        <v>3444</v>
      </c>
      <c r="F3595" s="6">
        <v>80</v>
      </c>
      <c r="G3595" s="6">
        <f t="shared" si="184"/>
        <v>80</v>
      </c>
      <c r="H3595" s="6">
        <f>40+40</f>
        <v>80</v>
      </c>
      <c r="I3595" s="26">
        <f t="shared" si="182"/>
        <v>0</v>
      </c>
      <c r="J3595" s="7" t="str">
        <f t="shared" si="183"/>
        <v>PAGADO</v>
      </c>
      <c r="K3595" s="33" t="s">
        <v>1815</v>
      </c>
    </row>
    <row r="3596" spans="1:11" x14ac:dyDescent="0.25">
      <c r="A3596">
        <v>2025</v>
      </c>
      <c r="C3596" s="9" t="s">
        <v>3462</v>
      </c>
      <c r="D3596" s="9" t="s">
        <v>3463</v>
      </c>
      <c r="F3596" s="6">
        <v>55</v>
      </c>
      <c r="G3596" s="6">
        <f t="shared" si="184"/>
        <v>55</v>
      </c>
      <c r="H3596" s="6">
        <f>25+30</f>
        <v>55</v>
      </c>
      <c r="I3596" s="26">
        <f t="shared" si="182"/>
        <v>0</v>
      </c>
      <c r="J3596" s="7" t="str">
        <f t="shared" si="183"/>
        <v>PAGADO</v>
      </c>
    </row>
    <row r="3597" spans="1:11" x14ac:dyDescent="0.25">
      <c r="A3597">
        <v>2025</v>
      </c>
      <c r="C3597" s="9" t="s">
        <v>3464</v>
      </c>
      <c r="D3597" s="9" t="s">
        <v>3198</v>
      </c>
      <c r="F3597" s="6">
        <v>50</v>
      </c>
      <c r="G3597" s="6">
        <f t="shared" si="184"/>
        <v>50</v>
      </c>
      <c r="H3597" s="6">
        <v>50</v>
      </c>
      <c r="I3597" s="26">
        <f t="shared" si="182"/>
        <v>0</v>
      </c>
      <c r="J3597" s="7" t="str">
        <f t="shared" si="183"/>
        <v>PAGADO</v>
      </c>
    </row>
    <row r="3598" spans="1:11" x14ac:dyDescent="0.25">
      <c r="A3598">
        <v>2025</v>
      </c>
      <c r="C3598" s="9" t="s">
        <v>3465</v>
      </c>
      <c r="D3598" s="9" t="s">
        <v>3198</v>
      </c>
      <c r="F3598" s="6">
        <v>50</v>
      </c>
      <c r="G3598" s="6">
        <f t="shared" si="184"/>
        <v>50</v>
      </c>
      <c r="H3598" s="6">
        <v>50</v>
      </c>
      <c r="I3598" s="26">
        <f t="shared" si="182"/>
        <v>0</v>
      </c>
      <c r="J3598" s="7" t="str">
        <f t="shared" si="183"/>
        <v>PAGADO</v>
      </c>
    </row>
    <row r="3599" spans="1:11" x14ac:dyDescent="0.25">
      <c r="A3599">
        <v>2025</v>
      </c>
      <c r="C3599" s="9" t="s">
        <v>3466</v>
      </c>
      <c r="D3599" s="9" t="s">
        <v>3467</v>
      </c>
      <c r="F3599" s="6">
        <v>310</v>
      </c>
      <c r="G3599" s="6">
        <f t="shared" si="184"/>
        <v>310</v>
      </c>
      <c r="H3599" s="6">
        <f>100+210</f>
        <v>310</v>
      </c>
      <c r="I3599" s="26">
        <f t="shared" si="182"/>
        <v>0</v>
      </c>
      <c r="J3599" s="7" t="str">
        <f t="shared" si="183"/>
        <v>PAGADO</v>
      </c>
    </row>
    <row r="3600" spans="1:11" x14ac:dyDescent="0.25">
      <c r="A3600">
        <v>2025</v>
      </c>
      <c r="C3600" s="9" t="s">
        <v>3468</v>
      </c>
      <c r="D3600" s="9" t="s">
        <v>1145</v>
      </c>
      <c r="F3600" s="6">
        <v>35</v>
      </c>
      <c r="G3600" s="6">
        <f t="shared" si="184"/>
        <v>35</v>
      </c>
      <c r="H3600" s="6">
        <v>35</v>
      </c>
      <c r="I3600" s="26">
        <f t="shared" si="182"/>
        <v>0</v>
      </c>
      <c r="J3600" s="7" t="str">
        <f t="shared" si="183"/>
        <v>PAGADO</v>
      </c>
      <c r="K3600" s="33" t="s">
        <v>2640</v>
      </c>
    </row>
    <row r="3601" spans="1:11" x14ac:dyDescent="0.25">
      <c r="A3601">
        <v>2025</v>
      </c>
      <c r="C3601" s="9" t="s">
        <v>3469</v>
      </c>
      <c r="D3601" s="9" t="s">
        <v>1145</v>
      </c>
      <c r="F3601" s="6">
        <v>45</v>
      </c>
      <c r="G3601" s="6">
        <f t="shared" si="184"/>
        <v>45</v>
      </c>
      <c r="H3601" s="6">
        <v>45</v>
      </c>
      <c r="I3601" s="26">
        <f t="shared" si="182"/>
        <v>0</v>
      </c>
      <c r="J3601" s="7" t="str">
        <f t="shared" si="183"/>
        <v>PAGADO</v>
      </c>
      <c r="K3601" s="33" t="s">
        <v>2640</v>
      </c>
    </row>
    <row r="3602" spans="1:11" x14ac:dyDescent="0.25">
      <c r="A3602">
        <v>2025</v>
      </c>
      <c r="C3602" s="9" t="s">
        <v>3470</v>
      </c>
      <c r="D3602" s="9" t="s">
        <v>1145</v>
      </c>
      <c r="F3602" s="6">
        <v>45</v>
      </c>
      <c r="G3602" s="6">
        <f t="shared" si="184"/>
        <v>45</v>
      </c>
      <c r="H3602" s="6">
        <v>45</v>
      </c>
      <c r="I3602" s="26">
        <f t="shared" ref="I3602:I3665" si="185">F3602-H3602</f>
        <v>0</v>
      </c>
      <c r="J3602" s="7" t="str">
        <f t="shared" ref="J3602:J3665" si="186">IF(I3602&gt;0,"DEBE","PAGADO")</f>
        <v>PAGADO</v>
      </c>
      <c r="K3602" s="33" t="s">
        <v>2640</v>
      </c>
    </row>
    <row r="3603" spans="1:11" x14ac:dyDescent="0.25">
      <c r="A3603">
        <v>2025</v>
      </c>
      <c r="C3603" s="9" t="s">
        <v>3160</v>
      </c>
      <c r="D3603" s="9" t="s">
        <v>3213</v>
      </c>
      <c r="F3603" s="6">
        <v>70</v>
      </c>
      <c r="G3603" s="6">
        <f t="shared" si="184"/>
        <v>70</v>
      </c>
      <c r="H3603" s="6">
        <v>70</v>
      </c>
      <c r="I3603" s="26">
        <f t="shared" si="185"/>
        <v>0</v>
      </c>
      <c r="J3603" s="7" t="str">
        <f t="shared" si="186"/>
        <v>PAGADO</v>
      </c>
      <c r="K3603" s="33" t="s">
        <v>2640</v>
      </c>
    </row>
    <row r="3604" spans="1:11" x14ac:dyDescent="0.25">
      <c r="A3604">
        <v>2025</v>
      </c>
      <c r="C3604" s="9" t="s">
        <v>2535</v>
      </c>
      <c r="D3604" s="9" t="s">
        <v>3213</v>
      </c>
      <c r="F3604" s="6">
        <v>70</v>
      </c>
      <c r="G3604" s="6">
        <f t="shared" si="184"/>
        <v>70</v>
      </c>
      <c r="H3604" s="6">
        <v>70</v>
      </c>
      <c r="I3604" s="26">
        <f t="shared" si="185"/>
        <v>0</v>
      </c>
      <c r="J3604" s="7" t="str">
        <f t="shared" si="186"/>
        <v>PAGADO</v>
      </c>
      <c r="K3604" s="33" t="s">
        <v>2640</v>
      </c>
    </row>
    <row r="3605" spans="1:11" x14ac:dyDescent="0.25">
      <c r="A3605">
        <v>2025</v>
      </c>
      <c r="C3605" s="9" t="s">
        <v>3471</v>
      </c>
      <c r="D3605" s="9" t="s">
        <v>3213</v>
      </c>
      <c r="F3605" s="6">
        <v>70</v>
      </c>
      <c r="G3605" s="6">
        <f t="shared" si="184"/>
        <v>70</v>
      </c>
      <c r="H3605" s="6">
        <v>70</v>
      </c>
      <c r="I3605" s="26">
        <f t="shared" si="185"/>
        <v>0</v>
      </c>
      <c r="J3605" s="7" t="str">
        <f t="shared" si="186"/>
        <v>PAGADO</v>
      </c>
      <c r="K3605" s="33" t="s">
        <v>2640</v>
      </c>
    </row>
    <row r="3606" spans="1:11" x14ac:dyDescent="0.25">
      <c r="A3606">
        <v>2025</v>
      </c>
      <c r="C3606" s="9" t="s">
        <v>3472</v>
      </c>
      <c r="D3606" s="9" t="s">
        <v>3213</v>
      </c>
      <c r="F3606" s="6">
        <v>70</v>
      </c>
      <c r="G3606" s="6">
        <f t="shared" si="184"/>
        <v>70</v>
      </c>
      <c r="H3606" s="6">
        <v>70</v>
      </c>
      <c r="I3606" s="26">
        <f t="shared" si="185"/>
        <v>0</v>
      </c>
      <c r="J3606" s="7" t="str">
        <f t="shared" si="186"/>
        <v>PAGADO</v>
      </c>
      <c r="K3606" s="33" t="s">
        <v>2640</v>
      </c>
    </row>
    <row r="3607" spans="1:11" x14ac:dyDescent="0.25">
      <c r="A3607">
        <v>2025</v>
      </c>
      <c r="C3607" s="9" t="s">
        <v>3321</v>
      </c>
      <c r="D3607" s="9" t="s">
        <v>3213</v>
      </c>
      <c r="F3607" s="6">
        <v>65</v>
      </c>
      <c r="G3607" s="6">
        <f t="shared" si="184"/>
        <v>65</v>
      </c>
      <c r="H3607" s="6">
        <v>65</v>
      </c>
      <c r="I3607" s="26">
        <f t="shared" si="185"/>
        <v>0</v>
      </c>
      <c r="J3607" s="7" t="str">
        <f t="shared" si="186"/>
        <v>PAGADO</v>
      </c>
      <c r="K3607" s="33" t="s">
        <v>2640</v>
      </c>
    </row>
    <row r="3608" spans="1:11" x14ac:dyDescent="0.25">
      <c r="A3608">
        <v>2025</v>
      </c>
      <c r="C3608" s="9" t="s">
        <v>3473</v>
      </c>
      <c r="D3608" s="9" t="s">
        <v>2363</v>
      </c>
      <c r="F3608" s="6">
        <v>70</v>
      </c>
      <c r="G3608" s="6">
        <f t="shared" si="184"/>
        <v>70</v>
      </c>
      <c r="H3608" s="6">
        <f>35+35</f>
        <v>70</v>
      </c>
      <c r="I3608" s="26">
        <f t="shared" si="185"/>
        <v>0</v>
      </c>
      <c r="J3608" s="7" t="str">
        <f t="shared" si="186"/>
        <v>PAGADO</v>
      </c>
      <c r="K3608" s="33" t="s">
        <v>693</v>
      </c>
    </row>
    <row r="3609" spans="1:11" x14ac:dyDescent="0.25">
      <c r="A3609">
        <v>2025</v>
      </c>
      <c r="C3609" s="9" t="s">
        <v>1991</v>
      </c>
      <c r="D3609" s="9" t="s">
        <v>3449</v>
      </c>
      <c r="F3609" s="6">
        <v>60</v>
      </c>
      <c r="G3609" s="6">
        <f t="shared" si="184"/>
        <v>60</v>
      </c>
      <c r="H3609" s="6">
        <f>20+40</f>
        <v>60</v>
      </c>
      <c r="I3609" s="26">
        <f t="shared" si="185"/>
        <v>0</v>
      </c>
      <c r="J3609" s="7" t="str">
        <f t="shared" si="186"/>
        <v>PAGADO</v>
      </c>
      <c r="K3609" s="9"/>
    </row>
    <row r="3610" spans="1:11" x14ac:dyDescent="0.25">
      <c r="A3610">
        <v>2025</v>
      </c>
      <c r="C3610" t="s">
        <v>1439</v>
      </c>
      <c r="D3610" t="s">
        <v>3474</v>
      </c>
      <c r="F3610" s="6">
        <v>110</v>
      </c>
      <c r="G3610" s="6">
        <f t="shared" si="184"/>
        <v>110</v>
      </c>
      <c r="H3610" s="6">
        <v>110</v>
      </c>
      <c r="I3610" s="26">
        <f t="shared" si="185"/>
        <v>0</v>
      </c>
      <c r="J3610" s="7" t="str">
        <f t="shared" si="186"/>
        <v>PAGADO</v>
      </c>
    </row>
    <row r="3611" spans="1:11" x14ac:dyDescent="0.25">
      <c r="A3611">
        <v>2025</v>
      </c>
      <c r="C3611" t="s">
        <v>1440</v>
      </c>
      <c r="D3611" t="s">
        <v>3474</v>
      </c>
      <c r="F3611" s="6">
        <v>120</v>
      </c>
      <c r="G3611" s="6">
        <f t="shared" si="184"/>
        <v>120</v>
      </c>
      <c r="H3611" s="6">
        <v>120</v>
      </c>
      <c r="I3611" s="26">
        <f t="shared" si="185"/>
        <v>0</v>
      </c>
      <c r="J3611" s="7" t="str">
        <f t="shared" si="186"/>
        <v>PAGADO</v>
      </c>
    </row>
    <row r="3612" spans="1:11" x14ac:dyDescent="0.25">
      <c r="A3612">
        <v>2025</v>
      </c>
      <c r="C3612" s="9" t="s">
        <v>3475</v>
      </c>
      <c r="D3612" s="9" t="s">
        <v>3101</v>
      </c>
      <c r="F3612" s="6">
        <v>110</v>
      </c>
      <c r="G3612" s="6">
        <f t="shared" si="184"/>
        <v>110</v>
      </c>
      <c r="H3612" s="6">
        <f>50+60</f>
        <v>110</v>
      </c>
      <c r="I3612" s="26">
        <f t="shared" si="185"/>
        <v>0</v>
      </c>
      <c r="J3612" s="7" t="str">
        <f t="shared" si="186"/>
        <v>PAGADO</v>
      </c>
      <c r="K3612" s="9" t="s">
        <v>3476</v>
      </c>
    </row>
    <row r="3613" spans="1:11" x14ac:dyDescent="0.25">
      <c r="A3613">
        <v>2025</v>
      </c>
      <c r="C3613" t="s">
        <v>3477</v>
      </c>
      <c r="D3613" s="9" t="s">
        <v>3076</v>
      </c>
      <c r="F3613" s="6">
        <v>60</v>
      </c>
      <c r="G3613" s="6">
        <f t="shared" si="184"/>
        <v>60</v>
      </c>
      <c r="H3613" s="6">
        <v>60</v>
      </c>
      <c r="I3613" s="26">
        <f t="shared" si="185"/>
        <v>0</v>
      </c>
      <c r="J3613" s="7" t="str">
        <f t="shared" si="186"/>
        <v>PAGADO</v>
      </c>
      <c r="K3613" s="33" t="s">
        <v>2640</v>
      </c>
    </row>
    <row r="3614" spans="1:11" x14ac:dyDescent="0.25">
      <c r="A3614">
        <v>2025</v>
      </c>
      <c r="C3614" t="s">
        <v>3478</v>
      </c>
      <c r="D3614" s="9" t="s">
        <v>3479</v>
      </c>
      <c r="F3614" s="6">
        <v>35</v>
      </c>
      <c r="G3614" s="6">
        <f t="shared" si="184"/>
        <v>35</v>
      </c>
      <c r="H3614" s="6">
        <f>10+25</f>
        <v>35</v>
      </c>
      <c r="I3614" s="26">
        <f t="shared" si="185"/>
        <v>0</v>
      </c>
      <c r="J3614" s="7" t="str">
        <f t="shared" si="186"/>
        <v>PAGADO</v>
      </c>
    </row>
    <row r="3615" spans="1:11" x14ac:dyDescent="0.25">
      <c r="A3615">
        <v>2025</v>
      </c>
      <c r="C3615" s="9" t="s">
        <v>3480</v>
      </c>
      <c r="D3615" s="9" t="s">
        <v>18</v>
      </c>
      <c r="F3615" s="6">
        <v>380</v>
      </c>
      <c r="G3615" s="6">
        <f t="shared" si="184"/>
        <v>380</v>
      </c>
      <c r="H3615" s="6">
        <f>200+140+40</f>
        <v>380</v>
      </c>
      <c r="I3615" s="26">
        <f t="shared" si="185"/>
        <v>0</v>
      </c>
      <c r="J3615" s="7" t="str">
        <f t="shared" si="186"/>
        <v>PAGADO</v>
      </c>
      <c r="K3615" s="33" t="s">
        <v>2479</v>
      </c>
    </row>
    <row r="3616" spans="1:11" x14ac:dyDescent="0.25">
      <c r="A3616">
        <v>2025</v>
      </c>
      <c r="C3616" s="9" t="s">
        <v>3481</v>
      </c>
      <c r="D3616" s="9" t="s">
        <v>18</v>
      </c>
      <c r="F3616" s="6">
        <v>220</v>
      </c>
      <c r="G3616" s="6">
        <f t="shared" si="184"/>
        <v>220</v>
      </c>
      <c r="H3616" s="6">
        <f>130+90</f>
        <v>220</v>
      </c>
      <c r="I3616" s="26">
        <f t="shared" si="185"/>
        <v>0</v>
      </c>
      <c r="J3616" s="7" t="str">
        <f t="shared" si="186"/>
        <v>PAGADO</v>
      </c>
    </row>
    <row r="3617" spans="1:11" x14ac:dyDescent="0.25">
      <c r="A3617">
        <v>2025</v>
      </c>
      <c r="C3617" s="9" t="s">
        <v>3482</v>
      </c>
      <c r="D3617" s="9" t="s">
        <v>18</v>
      </c>
      <c r="F3617" s="6">
        <v>80</v>
      </c>
      <c r="G3617" s="6">
        <f t="shared" si="184"/>
        <v>80</v>
      </c>
      <c r="H3617" s="6">
        <f>50+30</f>
        <v>80</v>
      </c>
      <c r="I3617" s="26">
        <f t="shared" si="185"/>
        <v>0</v>
      </c>
      <c r="J3617" s="7" t="str">
        <f t="shared" si="186"/>
        <v>PAGADO</v>
      </c>
      <c r="K3617" s="33" t="s">
        <v>1815</v>
      </c>
    </row>
    <row r="3618" spans="1:11" x14ac:dyDescent="0.25">
      <c r="A3618">
        <v>2025</v>
      </c>
      <c r="C3618" s="9" t="s">
        <v>2341</v>
      </c>
      <c r="D3618" s="9" t="s">
        <v>1399</v>
      </c>
      <c r="F3618" s="6">
        <v>100</v>
      </c>
      <c r="G3618" s="6">
        <f t="shared" si="184"/>
        <v>100</v>
      </c>
      <c r="H3618" s="6">
        <v>100</v>
      </c>
      <c r="I3618" s="26">
        <f t="shared" si="185"/>
        <v>0</v>
      </c>
      <c r="J3618" s="7" t="str">
        <f t="shared" si="186"/>
        <v>PAGADO</v>
      </c>
    </row>
    <row r="3619" spans="1:11" x14ac:dyDescent="0.25">
      <c r="A3619">
        <v>2025</v>
      </c>
      <c r="C3619" s="9" t="s">
        <v>3483</v>
      </c>
      <c r="D3619" s="9" t="s">
        <v>816</v>
      </c>
      <c r="F3619" s="6">
        <v>250</v>
      </c>
      <c r="G3619" s="6">
        <f t="shared" si="184"/>
        <v>250</v>
      </c>
      <c r="H3619" s="6">
        <v>250</v>
      </c>
      <c r="I3619" s="26">
        <f t="shared" si="185"/>
        <v>0</v>
      </c>
      <c r="J3619" s="7" t="str">
        <f t="shared" si="186"/>
        <v>PAGADO</v>
      </c>
    </row>
    <row r="3620" spans="1:11" x14ac:dyDescent="0.25">
      <c r="A3620">
        <v>2025</v>
      </c>
      <c r="C3620" s="9" t="s">
        <v>3484</v>
      </c>
      <c r="D3620" s="9" t="s">
        <v>2278</v>
      </c>
      <c r="F3620" s="6">
        <v>90</v>
      </c>
      <c r="G3620" s="6">
        <f t="shared" si="184"/>
        <v>90</v>
      </c>
      <c r="H3620" s="65">
        <v>90</v>
      </c>
      <c r="I3620" s="26">
        <f t="shared" si="185"/>
        <v>0</v>
      </c>
      <c r="J3620" s="7" t="str">
        <f t="shared" si="186"/>
        <v>PAGADO</v>
      </c>
      <c r="K3620" s="33" t="s">
        <v>2640</v>
      </c>
    </row>
    <row r="3621" spans="1:11" x14ac:dyDescent="0.25">
      <c r="A3621">
        <v>2025</v>
      </c>
      <c r="C3621" s="9" t="s">
        <v>3485</v>
      </c>
      <c r="D3621" s="9" t="s">
        <v>2278</v>
      </c>
      <c r="F3621" s="6">
        <v>60</v>
      </c>
      <c r="G3621" s="6">
        <f t="shared" si="184"/>
        <v>60</v>
      </c>
      <c r="H3621" s="80">
        <f>30+30</f>
        <v>60</v>
      </c>
      <c r="I3621" s="26">
        <f t="shared" si="185"/>
        <v>0</v>
      </c>
      <c r="J3621" s="7" t="str">
        <f t="shared" si="186"/>
        <v>PAGADO</v>
      </c>
      <c r="K3621" s="33" t="s">
        <v>3486</v>
      </c>
    </row>
    <row r="3622" spans="1:11" x14ac:dyDescent="0.25">
      <c r="A3622">
        <v>2025</v>
      </c>
      <c r="C3622" s="9" t="s">
        <v>3487</v>
      </c>
      <c r="D3622" s="9" t="s">
        <v>2180</v>
      </c>
      <c r="F3622" s="6">
        <v>220</v>
      </c>
      <c r="G3622" s="6">
        <f t="shared" si="184"/>
        <v>220</v>
      </c>
      <c r="H3622" s="6">
        <f>110+110</f>
        <v>220</v>
      </c>
      <c r="I3622" s="26">
        <f t="shared" si="185"/>
        <v>0</v>
      </c>
      <c r="J3622" s="7" t="str">
        <f t="shared" si="186"/>
        <v>PAGADO</v>
      </c>
      <c r="K3622" s="59" t="s">
        <v>1823</v>
      </c>
    </row>
    <row r="3623" spans="1:11" x14ac:dyDescent="0.25">
      <c r="A3623">
        <v>2025</v>
      </c>
      <c r="C3623" s="9" t="s">
        <v>3488</v>
      </c>
      <c r="D3623" s="9" t="s">
        <v>816</v>
      </c>
      <c r="F3623" s="6">
        <v>180</v>
      </c>
      <c r="G3623" s="6">
        <f t="shared" si="184"/>
        <v>180</v>
      </c>
      <c r="H3623" s="6">
        <v>180</v>
      </c>
      <c r="I3623" s="26">
        <f t="shared" si="185"/>
        <v>0</v>
      </c>
      <c r="J3623" s="7" t="str">
        <f t="shared" si="186"/>
        <v>PAGADO</v>
      </c>
      <c r="K3623" s="33" t="s">
        <v>1815</v>
      </c>
    </row>
    <row r="3624" spans="1:11" x14ac:dyDescent="0.25">
      <c r="A3624">
        <v>2025</v>
      </c>
      <c r="C3624" s="9" t="s">
        <v>3489</v>
      </c>
      <c r="D3624" s="9" t="s">
        <v>2278</v>
      </c>
      <c r="F3624" s="6">
        <v>160</v>
      </c>
      <c r="G3624" s="6">
        <f t="shared" si="184"/>
        <v>160</v>
      </c>
      <c r="H3624" s="80">
        <f>80+80</f>
        <v>160</v>
      </c>
      <c r="I3624" s="26">
        <f t="shared" si="185"/>
        <v>0</v>
      </c>
      <c r="J3624" s="7" t="str">
        <f t="shared" si="186"/>
        <v>PAGADO</v>
      </c>
      <c r="K3624" s="33" t="s">
        <v>3486</v>
      </c>
    </row>
    <row r="3625" spans="1:11" x14ac:dyDescent="0.25">
      <c r="A3625">
        <v>2025</v>
      </c>
      <c r="C3625" s="9" t="s">
        <v>3490</v>
      </c>
      <c r="D3625" s="9" t="s">
        <v>2278</v>
      </c>
      <c r="F3625" s="6">
        <v>220</v>
      </c>
      <c r="G3625" s="6">
        <f t="shared" si="184"/>
        <v>220</v>
      </c>
      <c r="H3625" s="65">
        <v>220</v>
      </c>
      <c r="I3625" s="26">
        <f t="shared" si="185"/>
        <v>0</v>
      </c>
      <c r="J3625" s="7" t="str">
        <f t="shared" si="186"/>
        <v>PAGADO</v>
      </c>
      <c r="K3625" s="33" t="s">
        <v>2640</v>
      </c>
    </row>
    <row r="3626" spans="1:11" x14ac:dyDescent="0.25">
      <c r="A3626">
        <v>2025</v>
      </c>
      <c r="C3626" s="9" t="s">
        <v>3491</v>
      </c>
      <c r="D3626" s="9" t="s">
        <v>3213</v>
      </c>
      <c r="F3626" s="6">
        <v>80</v>
      </c>
      <c r="G3626" s="6">
        <f t="shared" si="184"/>
        <v>80</v>
      </c>
      <c r="H3626" s="6">
        <v>80</v>
      </c>
      <c r="I3626" s="26">
        <f t="shared" si="185"/>
        <v>0</v>
      </c>
      <c r="J3626" s="7" t="str">
        <f t="shared" si="186"/>
        <v>PAGADO</v>
      </c>
    </row>
    <row r="3627" spans="1:11" x14ac:dyDescent="0.25">
      <c r="A3627">
        <v>2025</v>
      </c>
      <c r="C3627" s="9" t="s">
        <v>3492</v>
      </c>
      <c r="D3627" s="9" t="s">
        <v>3213</v>
      </c>
      <c r="F3627" s="6">
        <v>180</v>
      </c>
      <c r="G3627" s="6">
        <f t="shared" si="184"/>
        <v>180</v>
      </c>
      <c r="H3627" s="6">
        <v>180</v>
      </c>
      <c r="I3627" s="26">
        <f t="shared" si="185"/>
        <v>0</v>
      </c>
      <c r="J3627" s="7" t="str">
        <f t="shared" si="186"/>
        <v>PAGADO</v>
      </c>
    </row>
    <row r="3628" spans="1:11" x14ac:dyDescent="0.25">
      <c r="A3628">
        <v>2025</v>
      </c>
      <c r="C3628" t="s">
        <v>3493</v>
      </c>
      <c r="D3628" t="s">
        <v>1523</v>
      </c>
      <c r="F3628" s="6">
        <v>120</v>
      </c>
      <c r="G3628" s="6">
        <f t="shared" si="184"/>
        <v>120</v>
      </c>
      <c r="H3628" s="6">
        <v>120</v>
      </c>
      <c r="I3628" s="26">
        <f t="shared" si="185"/>
        <v>0</v>
      </c>
      <c r="J3628" s="7" t="str">
        <f t="shared" si="186"/>
        <v>PAGADO</v>
      </c>
      <c r="K3628" s="33" t="s">
        <v>2258</v>
      </c>
    </row>
    <row r="3629" spans="1:11" x14ac:dyDescent="0.25">
      <c r="A3629">
        <v>2025</v>
      </c>
      <c r="C3629" t="s">
        <v>3494</v>
      </c>
      <c r="D3629" t="s">
        <v>3495</v>
      </c>
      <c r="F3629" s="6">
        <v>70</v>
      </c>
      <c r="G3629" s="6">
        <f t="shared" si="184"/>
        <v>70</v>
      </c>
      <c r="H3629" s="6">
        <v>70</v>
      </c>
      <c r="I3629" s="26">
        <f t="shared" si="185"/>
        <v>0</v>
      </c>
      <c r="J3629" s="7" t="str">
        <f t="shared" si="186"/>
        <v>PAGADO</v>
      </c>
    </row>
    <row r="3630" spans="1:11" x14ac:dyDescent="0.25">
      <c r="A3630">
        <v>2025</v>
      </c>
      <c r="C3630" t="s">
        <v>3496</v>
      </c>
      <c r="D3630" t="s">
        <v>3497</v>
      </c>
      <c r="F3630" s="6">
        <v>70</v>
      </c>
      <c r="G3630" s="6">
        <f t="shared" si="184"/>
        <v>70</v>
      </c>
      <c r="H3630" s="6">
        <v>70</v>
      </c>
      <c r="I3630" s="26">
        <f t="shared" si="185"/>
        <v>0</v>
      </c>
      <c r="J3630" s="7" t="str">
        <f t="shared" si="186"/>
        <v>PAGADO</v>
      </c>
    </row>
    <row r="3631" spans="1:11" x14ac:dyDescent="0.25">
      <c r="A3631">
        <v>2025</v>
      </c>
      <c r="C3631" t="s">
        <v>3212</v>
      </c>
      <c r="D3631" t="s">
        <v>3497</v>
      </c>
      <c r="F3631" s="6">
        <v>60</v>
      </c>
      <c r="G3631" s="6">
        <f t="shared" si="184"/>
        <v>60</v>
      </c>
      <c r="H3631" s="6">
        <v>60</v>
      </c>
      <c r="I3631" s="26">
        <f t="shared" si="185"/>
        <v>0</v>
      </c>
      <c r="J3631" s="7" t="str">
        <f t="shared" si="186"/>
        <v>PAGADO</v>
      </c>
    </row>
    <row r="3632" spans="1:11" x14ac:dyDescent="0.25">
      <c r="A3632">
        <v>2025</v>
      </c>
      <c r="C3632" t="s">
        <v>3498</v>
      </c>
      <c r="D3632" t="s">
        <v>2906</v>
      </c>
      <c r="F3632" s="6">
        <v>65</v>
      </c>
      <c r="G3632" s="6">
        <f t="shared" si="184"/>
        <v>65</v>
      </c>
      <c r="H3632" s="6">
        <v>65</v>
      </c>
      <c r="I3632" s="26">
        <f t="shared" si="185"/>
        <v>0</v>
      </c>
      <c r="J3632" s="7" t="str">
        <f t="shared" si="186"/>
        <v>PAGADO</v>
      </c>
    </row>
    <row r="3633" spans="1:11" x14ac:dyDescent="0.25">
      <c r="A3633">
        <v>2025</v>
      </c>
      <c r="C3633" t="s">
        <v>3499</v>
      </c>
      <c r="D3633" t="s">
        <v>2906</v>
      </c>
      <c r="F3633" s="6">
        <v>35</v>
      </c>
      <c r="G3633" s="6">
        <f t="shared" si="184"/>
        <v>35</v>
      </c>
      <c r="H3633" s="6">
        <v>35</v>
      </c>
      <c r="I3633" s="26">
        <f t="shared" si="185"/>
        <v>0</v>
      </c>
      <c r="J3633" s="7" t="str">
        <f t="shared" si="186"/>
        <v>PAGADO</v>
      </c>
    </row>
    <row r="3634" spans="1:11" x14ac:dyDescent="0.25">
      <c r="A3634">
        <v>2025</v>
      </c>
      <c r="C3634" t="s">
        <v>3500</v>
      </c>
      <c r="D3634" t="s">
        <v>488</v>
      </c>
      <c r="F3634" s="6">
        <v>260</v>
      </c>
      <c r="G3634" s="6">
        <f t="shared" si="184"/>
        <v>260</v>
      </c>
      <c r="H3634" s="6">
        <v>260</v>
      </c>
      <c r="I3634" s="26">
        <f t="shared" si="185"/>
        <v>0</v>
      </c>
      <c r="J3634" s="7" t="str">
        <f t="shared" si="186"/>
        <v>PAGADO</v>
      </c>
      <c r="K3634" s="33" t="s">
        <v>2479</v>
      </c>
    </row>
    <row r="3635" spans="1:11" x14ac:dyDescent="0.25">
      <c r="A3635">
        <v>2025</v>
      </c>
      <c r="C3635" s="9" t="s">
        <v>3501</v>
      </c>
      <c r="D3635" t="s">
        <v>3456</v>
      </c>
      <c r="F3635" s="6">
        <v>40</v>
      </c>
      <c r="G3635" s="6">
        <f t="shared" si="184"/>
        <v>40</v>
      </c>
      <c r="H3635" s="6">
        <v>40</v>
      </c>
      <c r="I3635" s="26">
        <f t="shared" si="185"/>
        <v>0</v>
      </c>
      <c r="J3635" s="7" t="str">
        <f t="shared" si="186"/>
        <v>PAGADO</v>
      </c>
    </row>
    <row r="3636" spans="1:11" x14ac:dyDescent="0.25">
      <c r="A3636">
        <v>2025</v>
      </c>
      <c r="C3636" s="9" t="s">
        <v>3502</v>
      </c>
      <c r="D3636" s="9" t="s">
        <v>3463</v>
      </c>
      <c r="F3636" s="6">
        <v>70</v>
      </c>
      <c r="G3636" s="6">
        <f t="shared" si="184"/>
        <v>70</v>
      </c>
      <c r="H3636" s="6">
        <f>35+35</f>
        <v>70</v>
      </c>
      <c r="I3636" s="26">
        <f t="shared" si="185"/>
        <v>0</v>
      </c>
      <c r="J3636" s="7" t="str">
        <f t="shared" si="186"/>
        <v>PAGADO</v>
      </c>
      <c r="K3636" s="33" t="s">
        <v>1815</v>
      </c>
    </row>
    <row r="3637" spans="1:11" x14ac:dyDescent="0.25">
      <c r="A3637">
        <v>2025</v>
      </c>
      <c r="C3637" t="s">
        <v>3503</v>
      </c>
      <c r="D3637" t="s">
        <v>3038</v>
      </c>
      <c r="F3637" s="6">
        <v>160</v>
      </c>
      <c r="G3637" s="6">
        <f t="shared" si="184"/>
        <v>160</v>
      </c>
      <c r="H3637" s="6">
        <v>160</v>
      </c>
      <c r="I3637" s="26">
        <f t="shared" si="185"/>
        <v>0</v>
      </c>
      <c r="J3637" s="7" t="str">
        <f t="shared" si="186"/>
        <v>PAGADO</v>
      </c>
    </row>
    <row r="3638" spans="1:11" x14ac:dyDescent="0.25">
      <c r="A3638">
        <v>2025</v>
      </c>
      <c r="C3638" t="s">
        <v>3504</v>
      </c>
      <c r="D3638" t="s">
        <v>3038</v>
      </c>
      <c r="F3638" s="6">
        <v>150</v>
      </c>
      <c r="G3638" s="6">
        <f t="shared" si="184"/>
        <v>150</v>
      </c>
      <c r="H3638" s="6">
        <v>150</v>
      </c>
      <c r="I3638" s="26">
        <f t="shared" si="185"/>
        <v>0</v>
      </c>
      <c r="J3638" s="7" t="str">
        <f t="shared" si="186"/>
        <v>PAGADO</v>
      </c>
    </row>
    <row r="3639" spans="1:11" x14ac:dyDescent="0.25">
      <c r="A3639">
        <v>2025</v>
      </c>
      <c r="C3639" s="9" t="s">
        <v>3505</v>
      </c>
      <c r="D3639" s="9" t="s">
        <v>2278</v>
      </c>
      <c r="F3639" s="6">
        <v>250</v>
      </c>
      <c r="G3639" s="6">
        <f t="shared" si="184"/>
        <v>250</v>
      </c>
      <c r="H3639" s="65">
        <f>125+125</f>
        <v>250</v>
      </c>
      <c r="I3639" s="26">
        <f t="shared" si="185"/>
        <v>0</v>
      </c>
      <c r="J3639" s="7" t="str">
        <f t="shared" si="186"/>
        <v>PAGADO</v>
      </c>
      <c r="K3639" s="9" t="s">
        <v>3506</v>
      </c>
    </row>
    <row r="3640" spans="1:11" x14ac:dyDescent="0.25">
      <c r="A3640">
        <v>2025</v>
      </c>
      <c r="C3640" s="9" t="s">
        <v>3507</v>
      </c>
      <c r="D3640" s="9" t="s">
        <v>1523</v>
      </c>
      <c r="F3640" s="6">
        <v>270</v>
      </c>
      <c r="G3640" s="6">
        <f t="shared" si="184"/>
        <v>270</v>
      </c>
      <c r="H3640" s="6">
        <f>100+170</f>
        <v>270</v>
      </c>
      <c r="I3640" s="26">
        <f t="shared" si="185"/>
        <v>0</v>
      </c>
      <c r="J3640" s="7" t="str">
        <f t="shared" si="186"/>
        <v>PAGADO</v>
      </c>
      <c r="K3640" s="33" t="s">
        <v>2258</v>
      </c>
    </row>
    <row r="3641" spans="1:11" x14ac:dyDescent="0.25">
      <c r="A3641">
        <v>2025</v>
      </c>
      <c r="C3641" s="9" t="s">
        <v>3507</v>
      </c>
      <c r="D3641" s="9" t="s">
        <v>67</v>
      </c>
      <c r="F3641" s="6">
        <v>300</v>
      </c>
      <c r="G3641" s="6">
        <f t="shared" si="184"/>
        <v>300</v>
      </c>
      <c r="H3641" s="6">
        <f>135+165</f>
        <v>300</v>
      </c>
      <c r="I3641" s="26">
        <f t="shared" si="185"/>
        <v>0</v>
      </c>
      <c r="J3641" s="7" t="str">
        <f t="shared" si="186"/>
        <v>PAGADO</v>
      </c>
      <c r="K3641" s="33" t="s">
        <v>2479</v>
      </c>
    </row>
    <row r="3642" spans="1:11" x14ac:dyDescent="0.25">
      <c r="A3642">
        <v>2025</v>
      </c>
      <c r="C3642" s="9" t="s">
        <v>3508</v>
      </c>
      <c r="D3642" s="9" t="s">
        <v>18</v>
      </c>
      <c r="F3642" s="6">
        <v>240</v>
      </c>
      <c r="G3642" s="6">
        <f t="shared" si="184"/>
        <v>240</v>
      </c>
      <c r="H3642" s="6">
        <f>40+150+50</f>
        <v>240</v>
      </c>
      <c r="I3642" s="26">
        <f t="shared" si="185"/>
        <v>0</v>
      </c>
      <c r="J3642" s="7" t="str">
        <f t="shared" si="186"/>
        <v>PAGADO</v>
      </c>
      <c r="K3642" s="33" t="s">
        <v>2479</v>
      </c>
    </row>
    <row r="3643" spans="1:11" x14ac:dyDescent="0.25">
      <c r="A3643">
        <v>2025</v>
      </c>
      <c r="C3643" s="9" t="s">
        <v>3509</v>
      </c>
      <c r="D3643" s="9" t="s">
        <v>3213</v>
      </c>
      <c r="F3643" s="6">
        <v>135</v>
      </c>
      <c r="G3643" s="6">
        <f t="shared" si="184"/>
        <v>135</v>
      </c>
      <c r="H3643" s="6">
        <v>135</v>
      </c>
      <c r="I3643" s="26">
        <f t="shared" si="185"/>
        <v>0</v>
      </c>
      <c r="J3643" s="7" t="str">
        <f t="shared" si="186"/>
        <v>PAGADO</v>
      </c>
    </row>
    <row r="3644" spans="1:11" x14ac:dyDescent="0.25">
      <c r="A3644">
        <v>2025</v>
      </c>
      <c r="C3644" s="9" t="s">
        <v>3510</v>
      </c>
      <c r="D3644" s="9" t="s">
        <v>3511</v>
      </c>
      <c r="F3644" s="6">
        <v>50</v>
      </c>
      <c r="G3644" s="6">
        <f t="shared" si="184"/>
        <v>50</v>
      </c>
      <c r="H3644" s="6">
        <v>50</v>
      </c>
      <c r="I3644" s="26">
        <f t="shared" si="185"/>
        <v>0</v>
      </c>
      <c r="J3644" s="7" t="str">
        <f t="shared" si="186"/>
        <v>PAGADO</v>
      </c>
    </row>
    <row r="3645" spans="1:11" x14ac:dyDescent="0.25">
      <c r="A3645">
        <v>2025</v>
      </c>
      <c r="C3645" s="9" t="s">
        <v>3512</v>
      </c>
      <c r="D3645" s="9" t="s">
        <v>2973</v>
      </c>
      <c r="F3645" s="6">
        <v>230</v>
      </c>
      <c r="G3645" s="6">
        <f t="shared" si="184"/>
        <v>230</v>
      </c>
      <c r="H3645" s="6">
        <v>230</v>
      </c>
      <c r="I3645" s="26">
        <f t="shared" si="185"/>
        <v>0</v>
      </c>
      <c r="J3645" s="7" t="str">
        <f t="shared" si="186"/>
        <v>PAGADO</v>
      </c>
      <c r="K3645" s="33" t="s">
        <v>2640</v>
      </c>
    </row>
    <row r="3646" spans="1:11" x14ac:dyDescent="0.25">
      <c r="A3646">
        <v>2025</v>
      </c>
      <c r="C3646" s="9" t="s">
        <v>3513</v>
      </c>
      <c r="D3646" s="9" t="s">
        <v>2973</v>
      </c>
      <c r="F3646" s="6">
        <v>80</v>
      </c>
      <c r="G3646" s="6">
        <f t="shared" ref="G3646:G3709" si="187">F3646-E3646</f>
        <v>80</v>
      </c>
      <c r="H3646" s="6">
        <v>80</v>
      </c>
      <c r="I3646" s="26">
        <f t="shared" si="185"/>
        <v>0</v>
      </c>
      <c r="J3646" s="7" t="str">
        <f t="shared" si="186"/>
        <v>PAGADO</v>
      </c>
      <c r="K3646" s="33" t="s">
        <v>2640</v>
      </c>
    </row>
    <row r="3647" spans="1:11" x14ac:dyDescent="0.25">
      <c r="A3647">
        <v>2025</v>
      </c>
      <c r="C3647" s="9" t="s">
        <v>3514</v>
      </c>
      <c r="D3647" s="9" t="s">
        <v>2973</v>
      </c>
      <c r="F3647" s="6">
        <v>80</v>
      </c>
      <c r="G3647" s="6">
        <f t="shared" si="187"/>
        <v>80</v>
      </c>
      <c r="H3647" s="6">
        <v>80</v>
      </c>
      <c r="I3647" s="26">
        <f t="shared" si="185"/>
        <v>0</v>
      </c>
      <c r="J3647" s="7" t="str">
        <f t="shared" si="186"/>
        <v>PAGADO</v>
      </c>
      <c r="K3647" s="33" t="s">
        <v>2640</v>
      </c>
    </row>
    <row r="3648" spans="1:11" x14ac:dyDescent="0.25">
      <c r="A3648">
        <v>2025</v>
      </c>
      <c r="C3648" t="s">
        <v>3515</v>
      </c>
      <c r="D3648" s="9" t="s">
        <v>1078</v>
      </c>
      <c r="F3648" s="6">
        <v>200</v>
      </c>
      <c r="G3648" s="6">
        <f t="shared" si="187"/>
        <v>200</v>
      </c>
      <c r="H3648" s="6">
        <v>200</v>
      </c>
      <c r="I3648" s="26">
        <f t="shared" si="185"/>
        <v>0</v>
      </c>
      <c r="J3648" s="7" t="str">
        <f t="shared" si="186"/>
        <v>PAGADO</v>
      </c>
      <c r="K3648" s="33" t="s">
        <v>2479</v>
      </c>
    </row>
    <row r="3649" spans="1:11" x14ac:dyDescent="0.25">
      <c r="A3649">
        <v>2025</v>
      </c>
      <c r="C3649" t="s">
        <v>3422</v>
      </c>
      <c r="D3649" t="s">
        <v>3135</v>
      </c>
      <c r="F3649" s="6">
        <v>350</v>
      </c>
      <c r="G3649" s="6">
        <f t="shared" si="187"/>
        <v>350</v>
      </c>
      <c r="H3649" s="6">
        <f>175+175</f>
        <v>350</v>
      </c>
      <c r="I3649" s="26">
        <f t="shared" si="185"/>
        <v>0</v>
      </c>
      <c r="J3649" s="7" t="str">
        <f t="shared" si="186"/>
        <v>PAGADO</v>
      </c>
      <c r="K3649" s="33" t="s">
        <v>2640</v>
      </c>
    </row>
    <row r="3650" spans="1:11" x14ac:dyDescent="0.25">
      <c r="A3650">
        <v>2025</v>
      </c>
      <c r="C3650" t="s">
        <v>3516</v>
      </c>
      <c r="D3650" t="s">
        <v>2744</v>
      </c>
      <c r="F3650" s="6">
        <v>180</v>
      </c>
      <c r="G3650" s="6">
        <f t="shared" si="187"/>
        <v>180</v>
      </c>
      <c r="H3650" s="6">
        <f>90+90</f>
        <v>180</v>
      </c>
      <c r="I3650" s="26">
        <f t="shared" si="185"/>
        <v>0</v>
      </c>
      <c r="J3650" s="7" t="str">
        <f t="shared" si="186"/>
        <v>PAGADO</v>
      </c>
      <c r="K3650" s="33" t="s">
        <v>1815</v>
      </c>
    </row>
    <row r="3651" spans="1:11" x14ac:dyDescent="0.25">
      <c r="A3651">
        <v>2025</v>
      </c>
      <c r="C3651" s="9" t="s">
        <v>3517</v>
      </c>
      <c r="D3651" s="9" t="s">
        <v>18</v>
      </c>
      <c r="F3651" s="6">
        <v>30</v>
      </c>
      <c r="G3651" s="6">
        <f t="shared" si="187"/>
        <v>30</v>
      </c>
      <c r="H3651" s="6">
        <f>10+20</f>
        <v>30</v>
      </c>
      <c r="I3651" s="26">
        <f t="shared" si="185"/>
        <v>0</v>
      </c>
      <c r="J3651" s="7" t="str">
        <f t="shared" si="186"/>
        <v>PAGADO</v>
      </c>
    </row>
    <row r="3652" spans="1:11" x14ac:dyDescent="0.25">
      <c r="A3652">
        <v>2025</v>
      </c>
      <c r="C3652" s="9" t="s">
        <v>3518</v>
      </c>
      <c r="D3652" s="9" t="s">
        <v>2031</v>
      </c>
      <c r="F3652" s="6">
        <v>230</v>
      </c>
      <c r="G3652" s="6">
        <f t="shared" si="187"/>
        <v>230</v>
      </c>
      <c r="H3652" s="6">
        <f>115+115</f>
        <v>230</v>
      </c>
      <c r="I3652" s="26">
        <f t="shared" si="185"/>
        <v>0</v>
      </c>
      <c r="J3652" s="7" t="str">
        <f t="shared" si="186"/>
        <v>PAGADO</v>
      </c>
      <c r="K3652" s="59" t="s">
        <v>1823</v>
      </c>
    </row>
    <row r="3653" spans="1:11" x14ac:dyDescent="0.25">
      <c r="A3653">
        <v>2025</v>
      </c>
      <c r="C3653" t="s">
        <v>3519</v>
      </c>
      <c r="D3653" t="s">
        <v>3434</v>
      </c>
      <c r="F3653" s="6">
        <v>30</v>
      </c>
      <c r="G3653" s="6">
        <f t="shared" si="187"/>
        <v>30</v>
      </c>
      <c r="H3653" s="6">
        <v>30</v>
      </c>
      <c r="I3653" s="26">
        <f t="shared" si="185"/>
        <v>0</v>
      </c>
      <c r="J3653" s="7" t="str">
        <f t="shared" si="186"/>
        <v>PAGADO</v>
      </c>
    </row>
    <row r="3654" spans="1:11" x14ac:dyDescent="0.25">
      <c r="A3654">
        <v>2025</v>
      </c>
      <c r="C3654" t="s">
        <v>3520</v>
      </c>
      <c r="D3654" s="9" t="s">
        <v>3026</v>
      </c>
      <c r="F3654" s="6">
        <v>70</v>
      </c>
      <c r="G3654" s="6">
        <f t="shared" si="187"/>
        <v>70</v>
      </c>
      <c r="H3654" s="6">
        <v>70</v>
      </c>
      <c r="I3654" s="26">
        <f t="shared" si="185"/>
        <v>0</v>
      </c>
      <c r="J3654" s="7" t="str">
        <f t="shared" si="186"/>
        <v>PAGADO</v>
      </c>
    </row>
    <row r="3655" spans="1:11" x14ac:dyDescent="0.25">
      <c r="A3655">
        <v>2025</v>
      </c>
      <c r="C3655" t="s">
        <v>3332</v>
      </c>
      <c r="D3655" s="9" t="s">
        <v>3511</v>
      </c>
      <c r="F3655" s="6">
        <v>240</v>
      </c>
      <c r="G3655" s="6">
        <f t="shared" si="187"/>
        <v>240</v>
      </c>
      <c r="H3655" s="6">
        <f>50+50+50+50+40</f>
        <v>240</v>
      </c>
      <c r="I3655" s="26">
        <f t="shared" si="185"/>
        <v>0</v>
      </c>
      <c r="J3655" s="7" t="str">
        <f t="shared" si="186"/>
        <v>PAGADO</v>
      </c>
    </row>
    <row r="3656" spans="1:11" x14ac:dyDescent="0.25">
      <c r="A3656">
        <v>2025</v>
      </c>
      <c r="C3656" t="s">
        <v>3271</v>
      </c>
      <c r="D3656" s="9" t="s">
        <v>3511</v>
      </c>
      <c r="F3656" s="6">
        <v>80</v>
      </c>
      <c r="G3656" s="6">
        <f t="shared" si="187"/>
        <v>80</v>
      </c>
      <c r="H3656" s="6">
        <f>50+30</f>
        <v>80</v>
      </c>
      <c r="I3656" s="26">
        <f t="shared" si="185"/>
        <v>0</v>
      </c>
      <c r="J3656" s="7" t="str">
        <f t="shared" si="186"/>
        <v>PAGADO</v>
      </c>
    </row>
    <row r="3657" spans="1:11" x14ac:dyDescent="0.25">
      <c r="A3657">
        <v>2025</v>
      </c>
      <c r="C3657" t="s">
        <v>3212</v>
      </c>
      <c r="D3657" s="9" t="s">
        <v>3511</v>
      </c>
      <c r="F3657" s="6">
        <v>50</v>
      </c>
      <c r="G3657" s="6">
        <f t="shared" si="187"/>
        <v>50</v>
      </c>
      <c r="H3657" s="6">
        <v>50</v>
      </c>
      <c r="I3657" s="26">
        <f t="shared" si="185"/>
        <v>0</v>
      </c>
      <c r="J3657" s="7" t="str">
        <f t="shared" si="186"/>
        <v>PAGADO</v>
      </c>
    </row>
    <row r="3658" spans="1:11" x14ac:dyDescent="0.25">
      <c r="A3658">
        <v>2025</v>
      </c>
      <c r="C3658" s="9" t="s">
        <v>3521</v>
      </c>
      <c r="D3658" s="9" t="s">
        <v>3354</v>
      </c>
      <c r="F3658" s="6">
        <v>0</v>
      </c>
      <c r="G3658" s="6">
        <f t="shared" si="187"/>
        <v>0</v>
      </c>
      <c r="H3658" s="6">
        <v>0</v>
      </c>
      <c r="I3658" s="26">
        <f t="shared" si="185"/>
        <v>0</v>
      </c>
      <c r="J3658" s="7" t="str">
        <f t="shared" si="186"/>
        <v>PAGADO</v>
      </c>
      <c r="K3658" s="33" t="s">
        <v>3439</v>
      </c>
    </row>
    <row r="3659" spans="1:11" x14ac:dyDescent="0.25">
      <c r="A3659">
        <v>2025</v>
      </c>
      <c r="C3659" s="9" t="s">
        <v>3522</v>
      </c>
      <c r="D3659" s="9" t="s">
        <v>3523</v>
      </c>
      <c r="F3659" s="6">
        <v>30</v>
      </c>
      <c r="G3659" s="6">
        <f t="shared" si="187"/>
        <v>30</v>
      </c>
      <c r="H3659" s="6">
        <v>30</v>
      </c>
      <c r="I3659" s="26">
        <f t="shared" si="185"/>
        <v>0</v>
      </c>
      <c r="J3659" s="7" t="str">
        <f t="shared" si="186"/>
        <v>PAGADO</v>
      </c>
    </row>
    <row r="3660" spans="1:11" x14ac:dyDescent="0.25">
      <c r="A3660">
        <v>2025</v>
      </c>
      <c r="C3660" t="s">
        <v>3524</v>
      </c>
      <c r="D3660" s="9" t="s">
        <v>690</v>
      </c>
      <c r="F3660" s="6">
        <v>340</v>
      </c>
      <c r="G3660" s="6">
        <f t="shared" si="187"/>
        <v>340</v>
      </c>
      <c r="H3660" s="6">
        <f>170+170</f>
        <v>340</v>
      </c>
      <c r="I3660" s="6">
        <f t="shared" si="185"/>
        <v>0</v>
      </c>
      <c r="J3660" s="7" t="str">
        <f t="shared" si="186"/>
        <v>PAGADO</v>
      </c>
      <c r="K3660" t="s">
        <v>2959</v>
      </c>
    </row>
    <row r="3661" spans="1:11" x14ac:dyDescent="0.25">
      <c r="A3661">
        <v>2025</v>
      </c>
      <c r="C3661" t="s">
        <v>3525</v>
      </c>
      <c r="D3661" s="9" t="s">
        <v>690</v>
      </c>
      <c r="F3661" s="6">
        <v>450</v>
      </c>
      <c r="G3661" s="6">
        <f t="shared" si="187"/>
        <v>450</v>
      </c>
      <c r="H3661" s="6">
        <f>225+225</f>
        <v>450</v>
      </c>
      <c r="I3661" s="6">
        <f t="shared" si="185"/>
        <v>0</v>
      </c>
      <c r="J3661" s="7" t="str">
        <f t="shared" si="186"/>
        <v>PAGADO</v>
      </c>
      <c r="K3661" t="s">
        <v>2959</v>
      </c>
    </row>
    <row r="3662" spans="1:11" x14ac:dyDescent="0.25">
      <c r="A3662">
        <v>2025</v>
      </c>
      <c r="C3662" s="9" t="s">
        <v>3526</v>
      </c>
      <c r="D3662" s="9" t="s">
        <v>3523</v>
      </c>
      <c r="F3662" s="6">
        <v>15</v>
      </c>
      <c r="G3662" s="6">
        <f t="shared" si="187"/>
        <v>15</v>
      </c>
      <c r="H3662" s="6">
        <v>15</v>
      </c>
      <c r="I3662" s="26">
        <f t="shared" si="185"/>
        <v>0</v>
      </c>
      <c r="J3662" s="7" t="str">
        <f t="shared" si="186"/>
        <v>PAGADO</v>
      </c>
    </row>
    <row r="3663" spans="1:11" x14ac:dyDescent="0.25">
      <c r="A3663">
        <v>2025</v>
      </c>
      <c r="C3663" t="s">
        <v>3527</v>
      </c>
      <c r="D3663" t="s">
        <v>2820</v>
      </c>
      <c r="F3663" s="6">
        <v>65</v>
      </c>
      <c r="G3663" s="6">
        <f t="shared" si="187"/>
        <v>65</v>
      </c>
      <c r="H3663" s="6">
        <f>35+30</f>
        <v>65</v>
      </c>
      <c r="I3663" s="26">
        <f t="shared" si="185"/>
        <v>0</v>
      </c>
      <c r="J3663" s="7" t="str">
        <f t="shared" si="186"/>
        <v>PAGADO</v>
      </c>
      <c r="K3663" s="33" t="s">
        <v>2247</v>
      </c>
    </row>
    <row r="3664" spans="1:11" x14ac:dyDescent="0.25">
      <c r="A3664">
        <v>2025</v>
      </c>
      <c r="C3664" t="s">
        <v>3528</v>
      </c>
      <c r="D3664" t="s">
        <v>1425</v>
      </c>
      <c r="F3664" s="6">
        <v>25</v>
      </c>
      <c r="G3664" s="6">
        <f t="shared" si="187"/>
        <v>25</v>
      </c>
      <c r="H3664" s="6">
        <v>25</v>
      </c>
      <c r="I3664" s="26">
        <f t="shared" si="185"/>
        <v>0</v>
      </c>
      <c r="J3664" s="7" t="str">
        <f t="shared" si="186"/>
        <v>PAGADO</v>
      </c>
    </row>
    <row r="3665" spans="1:11" x14ac:dyDescent="0.25">
      <c r="A3665">
        <v>2025</v>
      </c>
      <c r="C3665" s="9" t="s">
        <v>3216</v>
      </c>
      <c r="D3665" s="9" t="s">
        <v>3449</v>
      </c>
      <c r="F3665" s="6">
        <v>70</v>
      </c>
      <c r="G3665" s="6">
        <f t="shared" si="187"/>
        <v>70</v>
      </c>
      <c r="H3665" s="24">
        <f>35+35</f>
        <v>70</v>
      </c>
      <c r="I3665" s="26">
        <f t="shared" si="185"/>
        <v>0</v>
      </c>
      <c r="J3665" s="7" t="str">
        <f t="shared" si="186"/>
        <v>PAGADO</v>
      </c>
      <c r="K3665" s="33" t="s">
        <v>2640</v>
      </c>
    </row>
    <row r="3666" spans="1:11" x14ac:dyDescent="0.25">
      <c r="A3666">
        <v>2025</v>
      </c>
      <c r="C3666" s="9" t="s">
        <v>3529</v>
      </c>
      <c r="D3666" s="9" t="s">
        <v>3101</v>
      </c>
      <c r="F3666" s="6">
        <v>10</v>
      </c>
      <c r="G3666" s="6">
        <f t="shared" si="187"/>
        <v>10</v>
      </c>
      <c r="H3666" s="6">
        <v>0</v>
      </c>
      <c r="I3666" s="26">
        <f t="shared" ref="I3666:I3729" si="188">F3666-H3666</f>
        <v>10</v>
      </c>
      <c r="J3666" s="7" t="str">
        <f t="shared" ref="J3666:J3680" si="189">IF(I3666&gt;0,"DEBE","PAGADO")</f>
        <v>DEBE</v>
      </c>
      <c r="K3666" s="33" t="s">
        <v>2640</v>
      </c>
    </row>
    <row r="3667" spans="1:11" x14ac:dyDescent="0.25">
      <c r="A3667">
        <v>2025</v>
      </c>
      <c r="C3667" s="9" t="s">
        <v>3530</v>
      </c>
      <c r="D3667" s="9" t="s">
        <v>67</v>
      </c>
      <c r="F3667" s="6">
        <v>15</v>
      </c>
      <c r="G3667" s="6">
        <f t="shared" si="187"/>
        <v>15</v>
      </c>
      <c r="H3667" s="6">
        <v>15</v>
      </c>
      <c r="I3667" s="27">
        <f t="shared" si="188"/>
        <v>0</v>
      </c>
      <c r="J3667" s="7" t="str">
        <f t="shared" si="189"/>
        <v>PAGADO</v>
      </c>
    </row>
    <row r="3668" spans="1:11" x14ac:dyDescent="0.25">
      <c r="A3668">
        <v>2025</v>
      </c>
      <c r="C3668" s="9" t="s">
        <v>3531</v>
      </c>
      <c r="D3668" s="9" t="s">
        <v>67</v>
      </c>
      <c r="F3668" s="6">
        <v>80</v>
      </c>
      <c r="G3668" s="6">
        <f t="shared" si="187"/>
        <v>80</v>
      </c>
      <c r="H3668" s="6">
        <f>35+30+15</f>
        <v>80</v>
      </c>
      <c r="I3668" s="27">
        <f t="shared" si="188"/>
        <v>0</v>
      </c>
      <c r="J3668" s="7" t="str">
        <f t="shared" si="189"/>
        <v>PAGADO</v>
      </c>
      <c r="K3668" s="33" t="s">
        <v>3532</v>
      </c>
    </row>
    <row r="3669" spans="1:11" x14ac:dyDescent="0.25">
      <c r="A3669">
        <v>2025</v>
      </c>
      <c r="C3669" s="9" t="s">
        <v>3533</v>
      </c>
      <c r="D3669" s="9" t="s">
        <v>67</v>
      </c>
      <c r="F3669" s="6">
        <v>90</v>
      </c>
      <c r="G3669" s="6">
        <f t="shared" si="187"/>
        <v>90</v>
      </c>
      <c r="H3669" s="6">
        <v>90</v>
      </c>
      <c r="I3669" s="26">
        <f t="shared" si="188"/>
        <v>0</v>
      </c>
      <c r="J3669" s="7" t="str">
        <f t="shared" si="189"/>
        <v>PAGADO</v>
      </c>
      <c r="K3669" s="33" t="s">
        <v>1815</v>
      </c>
    </row>
    <row r="3670" spans="1:11" x14ac:dyDescent="0.25">
      <c r="A3670">
        <v>2025</v>
      </c>
      <c r="C3670" s="9" t="s">
        <v>3534</v>
      </c>
      <c r="D3670" s="9" t="s">
        <v>67</v>
      </c>
      <c r="F3670" s="6">
        <v>80</v>
      </c>
      <c r="G3670" s="6">
        <f t="shared" si="187"/>
        <v>80</v>
      </c>
      <c r="H3670" s="6">
        <v>80</v>
      </c>
      <c r="I3670" s="26">
        <f t="shared" si="188"/>
        <v>0</v>
      </c>
      <c r="J3670" s="7" t="str">
        <f t="shared" si="189"/>
        <v>PAGADO</v>
      </c>
      <c r="K3670" s="33" t="s">
        <v>1815</v>
      </c>
    </row>
    <row r="3671" spans="1:11" x14ac:dyDescent="0.25">
      <c r="A3671">
        <v>2025</v>
      </c>
      <c r="C3671" s="9" t="s">
        <v>3535</v>
      </c>
      <c r="D3671" s="9" t="s">
        <v>202</v>
      </c>
      <c r="F3671" s="6">
        <v>220</v>
      </c>
      <c r="G3671" s="6">
        <f t="shared" si="187"/>
        <v>220</v>
      </c>
      <c r="H3671" s="6">
        <v>220</v>
      </c>
      <c r="I3671" s="6">
        <f t="shared" si="188"/>
        <v>0</v>
      </c>
      <c r="J3671" s="7" t="str">
        <f t="shared" si="189"/>
        <v>PAGADO</v>
      </c>
    </row>
    <row r="3672" spans="1:11" x14ac:dyDescent="0.25">
      <c r="A3672">
        <v>2025</v>
      </c>
      <c r="C3672" s="9" t="s">
        <v>3536</v>
      </c>
      <c r="D3672" s="9" t="s">
        <v>2360</v>
      </c>
      <c r="F3672" s="6">
        <v>40</v>
      </c>
      <c r="G3672" s="6">
        <f t="shared" si="187"/>
        <v>40</v>
      </c>
      <c r="H3672" s="6">
        <v>40</v>
      </c>
      <c r="I3672" s="26">
        <f t="shared" si="188"/>
        <v>0</v>
      </c>
      <c r="J3672" s="7" t="str">
        <f t="shared" si="189"/>
        <v>PAGADO</v>
      </c>
      <c r="K3672" s="33" t="s">
        <v>2479</v>
      </c>
    </row>
    <row r="3673" spans="1:11" x14ac:dyDescent="0.25">
      <c r="A3673">
        <v>2025</v>
      </c>
      <c r="C3673" s="9" t="s">
        <v>3537</v>
      </c>
      <c r="D3673" s="9" t="s">
        <v>3213</v>
      </c>
      <c r="F3673" s="6">
        <v>450</v>
      </c>
      <c r="G3673" s="6">
        <f t="shared" si="187"/>
        <v>450</v>
      </c>
      <c r="H3673" s="6">
        <v>450</v>
      </c>
      <c r="I3673" s="26">
        <f t="shared" si="188"/>
        <v>0</v>
      </c>
      <c r="J3673" s="7" t="str">
        <f t="shared" si="189"/>
        <v>PAGADO</v>
      </c>
      <c r="K3673" s="33" t="s">
        <v>2479</v>
      </c>
    </row>
    <row r="3674" spans="1:11" x14ac:dyDescent="0.25">
      <c r="A3674">
        <v>2025</v>
      </c>
      <c r="C3674" s="9" t="s">
        <v>3538</v>
      </c>
      <c r="D3674" s="9" t="s">
        <v>3213</v>
      </c>
      <c r="F3674" s="6">
        <v>450</v>
      </c>
      <c r="G3674" s="6">
        <f t="shared" si="187"/>
        <v>450</v>
      </c>
      <c r="H3674" s="6">
        <v>450</v>
      </c>
      <c r="I3674" s="26">
        <f t="shared" si="188"/>
        <v>0</v>
      </c>
      <c r="J3674" s="7" t="str">
        <f t="shared" si="189"/>
        <v>PAGADO</v>
      </c>
      <c r="K3674" s="33" t="s">
        <v>2479</v>
      </c>
    </row>
    <row r="3675" spans="1:11" x14ac:dyDescent="0.25">
      <c r="A3675">
        <v>2025</v>
      </c>
      <c r="C3675" s="9" t="s">
        <v>3539</v>
      </c>
      <c r="D3675" s="9" t="s">
        <v>3540</v>
      </c>
      <c r="F3675" s="6">
        <v>80</v>
      </c>
      <c r="G3675" s="6">
        <f t="shared" si="187"/>
        <v>80</v>
      </c>
      <c r="H3675" s="6">
        <v>80</v>
      </c>
      <c r="I3675" s="26">
        <f t="shared" si="188"/>
        <v>0</v>
      </c>
      <c r="J3675" s="7" t="str">
        <f t="shared" si="189"/>
        <v>PAGADO</v>
      </c>
    </row>
    <row r="3676" spans="1:11" x14ac:dyDescent="0.25">
      <c r="A3676">
        <v>2025</v>
      </c>
      <c r="C3676" s="9" t="s">
        <v>3541</v>
      </c>
      <c r="D3676" s="9" t="s">
        <v>3540</v>
      </c>
      <c r="F3676" s="6">
        <v>550</v>
      </c>
      <c r="G3676" s="6">
        <f t="shared" si="187"/>
        <v>550</v>
      </c>
      <c r="H3676" s="6">
        <f>275+275</f>
        <v>550</v>
      </c>
      <c r="I3676" s="26">
        <f t="shared" si="188"/>
        <v>0</v>
      </c>
      <c r="J3676" s="7" t="str">
        <f t="shared" si="189"/>
        <v>PAGADO</v>
      </c>
      <c r="K3676" t="s">
        <v>2258</v>
      </c>
    </row>
    <row r="3677" spans="1:11" x14ac:dyDescent="0.25">
      <c r="A3677">
        <v>2025</v>
      </c>
      <c r="C3677" s="9" t="s">
        <v>3542</v>
      </c>
      <c r="D3677" s="9" t="s">
        <v>2906</v>
      </c>
      <c r="F3677" s="6">
        <v>55</v>
      </c>
      <c r="G3677" s="6">
        <f t="shared" si="187"/>
        <v>55</v>
      </c>
      <c r="H3677" s="6">
        <v>55</v>
      </c>
      <c r="I3677" s="26">
        <f t="shared" si="188"/>
        <v>0</v>
      </c>
      <c r="J3677" s="7" t="str">
        <f t="shared" si="189"/>
        <v>PAGADO</v>
      </c>
    </row>
    <row r="3678" spans="1:11" x14ac:dyDescent="0.25">
      <c r="A3678">
        <v>2025</v>
      </c>
      <c r="C3678" t="s">
        <v>1814</v>
      </c>
      <c r="D3678" t="s">
        <v>3497</v>
      </c>
      <c r="F3678" s="6">
        <v>90</v>
      </c>
      <c r="G3678" s="6">
        <f t="shared" si="187"/>
        <v>90</v>
      </c>
      <c r="H3678" s="6">
        <f>45+45</f>
        <v>90</v>
      </c>
      <c r="I3678" s="26">
        <f t="shared" si="188"/>
        <v>0</v>
      </c>
      <c r="J3678" s="7" t="str">
        <f t="shared" si="189"/>
        <v>PAGADO</v>
      </c>
      <c r="K3678" s="33" t="s">
        <v>1815</v>
      </c>
    </row>
    <row r="3679" spans="1:11" x14ac:dyDescent="0.25">
      <c r="A3679">
        <v>2025</v>
      </c>
      <c r="C3679" t="s">
        <v>3543</v>
      </c>
      <c r="D3679" t="s">
        <v>3544</v>
      </c>
      <c r="F3679" s="6">
        <v>60</v>
      </c>
      <c r="G3679" s="6">
        <f t="shared" si="187"/>
        <v>60</v>
      </c>
      <c r="H3679" s="6">
        <v>60</v>
      </c>
      <c r="I3679" s="26">
        <f t="shared" si="188"/>
        <v>0</v>
      </c>
      <c r="J3679" s="7" t="str">
        <f t="shared" si="189"/>
        <v>PAGADO</v>
      </c>
    </row>
    <row r="3680" spans="1:11" x14ac:dyDescent="0.25">
      <c r="A3680">
        <v>2025</v>
      </c>
      <c r="C3680" s="9" t="s">
        <v>1440</v>
      </c>
      <c r="D3680" s="9" t="s">
        <v>816</v>
      </c>
      <c r="F3680" s="6">
        <v>120</v>
      </c>
      <c r="G3680" s="6">
        <f t="shared" si="187"/>
        <v>120</v>
      </c>
      <c r="H3680" s="6">
        <v>120</v>
      </c>
      <c r="I3680" s="26">
        <f t="shared" si="188"/>
        <v>0</v>
      </c>
      <c r="J3680" s="7" t="str">
        <f t="shared" si="189"/>
        <v>PAGADO</v>
      </c>
    </row>
    <row r="3681" spans="1:12" x14ac:dyDescent="0.25">
      <c r="A3681">
        <v>2025</v>
      </c>
      <c r="C3681" s="14" t="s">
        <v>3545</v>
      </c>
      <c r="D3681" s="14" t="s">
        <v>2105</v>
      </c>
      <c r="E3681" s="15"/>
      <c r="F3681" s="16">
        <v>0</v>
      </c>
      <c r="G3681" s="16">
        <f t="shared" si="187"/>
        <v>0</v>
      </c>
      <c r="H3681" s="16">
        <v>0</v>
      </c>
      <c r="I3681" s="16">
        <f t="shared" si="188"/>
        <v>0</v>
      </c>
      <c r="J3681" s="81" t="s">
        <v>3546</v>
      </c>
      <c r="K3681" s="59" t="s">
        <v>2968</v>
      </c>
    </row>
    <row r="3682" spans="1:12" x14ac:dyDescent="0.25">
      <c r="A3682">
        <v>2025</v>
      </c>
      <c r="C3682" s="14" t="s">
        <v>3547</v>
      </c>
      <c r="D3682" s="14" t="s">
        <v>2105</v>
      </c>
      <c r="E3682" s="15"/>
      <c r="F3682" s="16">
        <v>0</v>
      </c>
      <c r="G3682" s="16">
        <f t="shared" si="187"/>
        <v>0</v>
      </c>
      <c r="H3682" s="16">
        <v>0</v>
      </c>
      <c r="I3682" s="16">
        <f t="shared" si="188"/>
        <v>0</v>
      </c>
      <c r="J3682" s="81" t="s">
        <v>3546</v>
      </c>
      <c r="K3682" s="59" t="s">
        <v>2968</v>
      </c>
    </row>
    <row r="3683" spans="1:12" x14ac:dyDescent="0.25">
      <c r="A3683">
        <v>2025</v>
      </c>
      <c r="C3683" s="9" t="s">
        <v>3548</v>
      </c>
      <c r="D3683" s="9" t="s">
        <v>2105</v>
      </c>
      <c r="F3683" s="6">
        <v>90</v>
      </c>
      <c r="G3683" s="6">
        <f t="shared" si="187"/>
        <v>90</v>
      </c>
      <c r="H3683" s="6">
        <v>90</v>
      </c>
      <c r="I3683" s="26">
        <f t="shared" si="188"/>
        <v>0</v>
      </c>
      <c r="J3683" s="7" t="str">
        <f t="shared" ref="J3683:J3746" si="190">IF(I3683&gt;0,"DEBE","PAGADO")</f>
        <v>PAGADO</v>
      </c>
      <c r="K3683" s="33" t="s">
        <v>2968</v>
      </c>
    </row>
    <row r="3684" spans="1:12" x14ac:dyDescent="0.25">
      <c r="A3684">
        <v>2025</v>
      </c>
      <c r="C3684" s="9" t="s">
        <v>734</v>
      </c>
      <c r="D3684" s="9" t="s">
        <v>3549</v>
      </c>
      <c r="F3684" s="6">
        <v>100</v>
      </c>
      <c r="G3684" s="6">
        <f t="shared" si="187"/>
        <v>100</v>
      </c>
      <c r="H3684" s="6">
        <v>100</v>
      </c>
      <c r="I3684" s="26">
        <f t="shared" si="188"/>
        <v>0</v>
      </c>
      <c r="J3684" s="7" t="str">
        <f t="shared" si="190"/>
        <v>PAGADO</v>
      </c>
    </row>
    <row r="3685" spans="1:12" x14ac:dyDescent="0.25">
      <c r="A3685">
        <v>2025</v>
      </c>
      <c r="C3685" s="9" t="s">
        <v>1701</v>
      </c>
      <c r="D3685" s="9" t="s">
        <v>3549</v>
      </c>
      <c r="F3685" s="6">
        <v>70</v>
      </c>
      <c r="G3685" s="6">
        <f t="shared" si="187"/>
        <v>70</v>
      </c>
      <c r="H3685" s="6">
        <v>70</v>
      </c>
      <c r="I3685" s="26">
        <f t="shared" si="188"/>
        <v>0</v>
      </c>
      <c r="J3685" s="7" t="str">
        <f t="shared" si="190"/>
        <v>PAGADO</v>
      </c>
    </row>
    <row r="3686" spans="1:12" x14ac:dyDescent="0.25">
      <c r="A3686">
        <v>2025</v>
      </c>
      <c r="C3686" s="9" t="s">
        <v>3550</v>
      </c>
      <c r="D3686" s="9" t="s">
        <v>3370</v>
      </c>
      <c r="F3686" s="6">
        <v>65</v>
      </c>
      <c r="G3686" s="6">
        <f t="shared" si="187"/>
        <v>65</v>
      </c>
      <c r="H3686" s="6">
        <v>65</v>
      </c>
      <c r="I3686" s="26">
        <f t="shared" si="188"/>
        <v>0</v>
      </c>
      <c r="J3686" s="7" t="str">
        <f t="shared" si="190"/>
        <v>PAGADO</v>
      </c>
      <c r="K3686" s="33" t="s">
        <v>2968</v>
      </c>
    </row>
    <row r="3687" spans="1:12" x14ac:dyDescent="0.25">
      <c r="A3687">
        <v>2025</v>
      </c>
      <c r="C3687" s="9" t="s">
        <v>3551</v>
      </c>
      <c r="D3687" s="9" t="s">
        <v>3370</v>
      </c>
      <c r="F3687" s="6">
        <v>65</v>
      </c>
      <c r="G3687" s="6">
        <f t="shared" si="187"/>
        <v>65</v>
      </c>
      <c r="H3687" s="6">
        <v>65</v>
      </c>
      <c r="I3687" s="26">
        <f t="shared" si="188"/>
        <v>0</v>
      </c>
      <c r="J3687" s="7" t="str">
        <f t="shared" si="190"/>
        <v>PAGADO</v>
      </c>
      <c r="K3687" s="33" t="s">
        <v>2968</v>
      </c>
    </row>
    <row r="3688" spans="1:12" x14ac:dyDescent="0.25">
      <c r="A3688">
        <v>2025</v>
      </c>
      <c r="C3688" s="9" t="s">
        <v>3552</v>
      </c>
      <c r="D3688" s="9" t="s">
        <v>2906</v>
      </c>
      <c r="F3688" s="6">
        <v>80</v>
      </c>
      <c r="G3688" s="6">
        <f t="shared" si="187"/>
        <v>80</v>
      </c>
      <c r="H3688" s="6">
        <f>40+40</f>
        <v>80</v>
      </c>
      <c r="I3688" s="26">
        <f t="shared" si="188"/>
        <v>0</v>
      </c>
      <c r="J3688" s="7" t="str">
        <f t="shared" si="190"/>
        <v>PAGADO</v>
      </c>
      <c r="K3688" s="33" t="s">
        <v>2968</v>
      </c>
    </row>
    <row r="3689" spans="1:12" x14ac:dyDescent="0.25">
      <c r="A3689">
        <v>2025</v>
      </c>
      <c r="C3689" s="9" t="s">
        <v>3553</v>
      </c>
      <c r="D3689" s="9" t="s">
        <v>3434</v>
      </c>
      <c r="F3689" s="6">
        <v>60</v>
      </c>
      <c r="G3689" s="6">
        <f t="shared" si="187"/>
        <v>60</v>
      </c>
      <c r="H3689" s="6">
        <v>60</v>
      </c>
      <c r="I3689" s="16">
        <f t="shared" si="188"/>
        <v>0</v>
      </c>
      <c r="J3689" s="7" t="str">
        <f t="shared" si="190"/>
        <v>PAGADO</v>
      </c>
      <c r="K3689" s="33" t="s">
        <v>2968</v>
      </c>
    </row>
    <row r="3690" spans="1:12" x14ac:dyDescent="0.25">
      <c r="A3690">
        <v>2025</v>
      </c>
      <c r="C3690" s="9" t="s">
        <v>3554</v>
      </c>
      <c r="D3690" t="s">
        <v>3083</v>
      </c>
      <c r="F3690" s="6">
        <v>80</v>
      </c>
      <c r="G3690" s="6">
        <f t="shared" si="187"/>
        <v>80</v>
      </c>
      <c r="H3690" s="6">
        <f>40+40</f>
        <v>80</v>
      </c>
      <c r="I3690" s="26">
        <f t="shared" si="188"/>
        <v>0</v>
      </c>
      <c r="J3690" s="7" t="str">
        <f t="shared" si="190"/>
        <v>PAGADO</v>
      </c>
      <c r="K3690" s="33" t="s">
        <v>2968</v>
      </c>
    </row>
    <row r="3691" spans="1:12" x14ac:dyDescent="0.25">
      <c r="A3691">
        <v>2025</v>
      </c>
      <c r="C3691" s="9" t="s">
        <v>3555</v>
      </c>
      <c r="D3691" s="9" t="s">
        <v>3556</v>
      </c>
      <c r="F3691" s="6">
        <v>60</v>
      </c>
      <c r="G3691" s="6">
        <f t="shared" si="187"/>
        <v>60</v>
      </c>
      <c r="H3691" s="6">
        <v>60</v>
      </c>
      <c r="I3691" s="26">
        <f t="shared" si="188"/>
        <v>0</v>
      </c>
      <c r="J3691" s="7" t="str">
        <f t="shared" si="190"/>
        <v>PAGADO</v>
      </c>
    </row>
    <row r="3692" spans="1:12" x14ac:dyDescent="0.25">
      <c r="A3692">
        <v>2025</v>
      </c>
      <c r="C3692" s="9" t="s">
        <v>3557</v>
      </c>
      <c r="D3692" s="9" t="s">
        <v>3558</v>
      </c>
      <c r="F3692" s="6">
        <v>65</v>
      </c>
      <c r="G3692" s="6">
        <f t="shared" si="187"/>
        <v>65</v>
      </c>
      <c r="H3692" s="6">
        <v>65</v>
      </c>
      <c r="I3692" s="26">
        <f t="shared" si="188"/>
        <v>0</v>
      </c>
      <c r="J3692" s="7" t="str">
        <f t="shared" si="190"/>
        <v>PAGADO</v>
      </c>
    </row>
    <row r="3693" spans="1:12" x14ac:dyDescent="0.25">
      <c r="A3693">
        <v>2025</v>
      </c>
      <c r="C3693" s="9" t="s">
        <v>3559</v>
      </c>
      <c r="D3693" s="9" t="s">
        <v>2105</v>
      </c>
      <c r="F3693" s="6">
        <v>20</v>
      </c>
      <c r="G3693" s="6">
        <f t="shared" si="187"/>
        <v>20</v>
      </c>
      <c r="H3693" s="6">
        <v>20</v>
      </c>
      <c r="I3693" s="26">
        <f t="shared" si="188"/>
        <v>0</v>
      </c>
      <c r="J3693" s="7" t="str">
        <f t="shared" si="190"/>
        <v>PAGADO</v>
      </c>
    </row>
    <row r="3694" spans="1:12" x14ac:dyDescent="0.25">
      <c r="A3694">
        <v>2025</v>
      </c>
      <c r="C3694" s="9" t="s">
        <v>3560</v>
      </c>
      <c r="D3694" s="9" t="s">
        <v>3213</v>
      </c>
      <c r="F3694" s="6">
        <v>75</v>
      </c>
      <c r="G3694" s="6">
        <f t="shared" si="187"/>
        <v>75</v>
      </c>
      <c r="H3694" s="6">
        <v>75</v>
      </c>
      <c r="I3694" s="26">
        <f t="shared" si="188"/>
        <v>0</v>
      </c>
      <c r="J3694" s="7" t="str">
        <f t="shared" si="190"/>
        <v>PAGADO</v>
      </c>
      <c r="K3694" s="33" t="s">
        <v>2968</v>
      </c>
      <c r="L3694" t="s">
        <v>3561</v>
      </c>
    </row>
    <row r="3695" spans="1:12" x14ac:dyDescent="0.25">
      <c r="A3695">
        <v>2025</v>
      </c>
      <c r="C3695" s="9" t="s">
        <v>3562</v>
      </c>
      <c r="D3695" s="9" t="s">
        <v>3198</v>
      </c>
      <c r="F3695" s="6">
        <v>50</v>
      </c>
      <c r="G3695" s="6">
        <f t="shared" si="187"/>
        <v>50</v>
      </c>
      <c r="H3695" s="6">
        <f>25+25</f>
        <v>50</v>
      </c>
      <c r="I3695" s="26">
        <f t="shared" si="188"/>
        <v>0</v>
      </c>
      <c r="J3695" s="7" t="str">
        <f t="shared" si="190"/>
        <v>PAGADO</v>
      </c>
      <c r="K3695" s="33" t="s">
        <v>2258</v>
      </c>
    </row>
    <row r="3696" spans="1:12" x14ac:dyDescent="0.25">
      <c r="A3696">
        <v>2025</v>
      </c>
      <c r="C3696" t="s">
        <v>3563</v>
      </c>
      <c r="D3696" t="s">
        <v>2744</v>
      </c>
      <c r="F3696" s="6">
        <v>100</v>
      </c>
      <c r="G3696" s="6">
        <f t="shared" si="187"/>
        <v>100</v>
      </c>
      <c r="H3696" s="6">
        <f>50+50</f>
        <v>100</v>
      </c>
      <c r="I3696" s="26">
        <f t="shared" si="188"/>
        <v>0</v>
      </c>
      <c r="J3696" s="7" t="str">
        <f t="shared" si="190"/>
        <v>PAGADO</v>
      </c>
      <c r="K3696" s="33" t="s">
        <v>1815</v>
      </c>
    </row>
    <row r="3697" spans="1:11" x14ac:dyDescent="0.25">
      <c r="A3697">
        <v>2025</v>
      </c>
      <c r="C3697" s="9" t="s">
        <v>1967</v>
      </c>
      <c r="D3697" s="9" t="s">
        <v>816</v>
      </c>
      <c r="F3697" s="6">
        <v>60</v>
      </c>
      <c r="G3697" s="6">
        <f t="shared" si="187"/>
        <v>60</v>
      </c>
      <c r="H3697" s="6">
        <v>60</v>
      </c>
      <c r="I3697" s="26">
        <f t="shared" si="188"/>
        <v>0</v>
      </c>
      <c r="J3697" s="7" t="str">
        <f t="shared" si="190"/>
        <v>PAGADO</v>
      </c>
      <c r="K3697" t="s">
        <v>2714</v>
      </c>
    </row>
    <row r="3698" spans="1:11" x14ac:dyDescent="0.25">
      <c r="A3698">
        <v>2025</v>
      </c>
      <c r="C3698" t="s">
        <v>3564</v>
      </c>
      <c r="D3698" t="s">
        <v>2935</v>
      </c>
      <c r="F3698" s="6">
        <v>50</v>
      </c>
      <c r="G3698" s="6">
        <f t="shared" si="187"/>
        <v>50</v>
      </c>
      <c r="H3698" s="6">
        <v>50</v>
      </c>
      <c r="I3698" s="26">
        <f t="shared" si="188"/>
        <v>0</v>
      </c>
      <c r="J3698" s="7" t="str">
        <f t="shared" si="190"/>
        <v>PAGADO</v>
      </c>
      <c r="K3698" s="9" t="s">
        <v>1056</v>
      </c>
    </row>
    <row r="3699" spans="1:11" x14ac:dyDescent="0.25">
      <c r="A3699">
        <v>2025</v>
      </c>
      <c r="C3699" s="9" t="s">
        <v>3565</v>
      </c>
      <c r="D3699" s="9" t="s">
        <v>3449</v>
      </c>
      <c r="F3699" s="6">
        <v>60</v>
      </c>
      <c r="G3699" s="6">
        <f t="shared" si="187"/>
        <v>60</v>
      </c>
      <c r="H3699" s="24">
        <f>30+30</f>
        <v>60</v>
      </c>
      <c r="I3699" s="26">
        <f t="shared" si="188"/>
        <v>0</v>
      </c>
      <c r="J3699" s="7" t="str">
        <f t="shared" si="190"/>
        <v>PAGADO</v>
      </c>
      <c r="K3699" s="33" t="s">
        <v>2258</v>
      </c>
    </row>
    <row r="3700" spans="1:11" x14ac:dyDescent="0.25">
      <c r="A3700">
        <v>2025</v>
      </c>
      <c r="C3700" s="9" t="s">
        <v>3313</v>
      </c>
      <c r="D3700" s="9" t="s">
        <v>3449</v>
      </c>
      <c r="F3700" s="6">
        <v>60</v>
      </c>
      <c r="G3700" s="6">
        <f t="shared" si="187"/>
        <v>60</v>
      </c>
      <c r="H3700" s="24">
        <f>30+30</f>
        <v>60</v>
      </c>
      <c r="I3700" s="26">
        <f t="shared" si="188"/>
        <v>0</v>
      </c>
      <c r="J3700" s="7" t="str">
        <f t="shared" si="190"/>
        <v>PAGADO</v>
      </c>
      <c r="K3700" s="33" t="s">
        <v>1815</v>
      </c>
    </row>
    <row r="3701" spans="1:11" x14ac:dyDescent="0.25">
      <c r="A3701">
        <v>2025</v>
      </c>
      <c r="C3701" s="9" t="s">
        <v>3566</v>
      </c>
      <c r="D3701" s="9" t="s">
        <v>3449</v>
      </c>
      <c r="F3701" s="6">
        <v>60</v>
      </c>
      <c r="G3701" s="6">
        <f t="shared" si="187"/>
        <v>60</v>
      </c>
      <c r="H3701" s="24">
        <f>30+30</f>
        <v>60</v>
      </c>
      <c r="I3701" s="26">
        <f t="shared" si="188"/>
        <v>0</v>
      </c>
      <c r="J3701" s="7" t="str">
        <f t="shared" si="190"/>
        <v>PAGADO</v>
      </c>
      <c r="K3701" s="33" t="s">
        <v>1815</v>
      </c>
    </row>
    <row r="3702" spans="1:11" x14ac:dyDescent="0.25">
      <c r="A3702">
        <v>2025</v>
      </c>
      <c r="C3702" s="9" t="s">
        <v>2807</v>
      </c>
      <c r="D3702" s="9" t="s">
        <v>1679</v>
      </c>
      <c r="F3702" s="6">
        <v>80</v>
      </c>
      <c r="G3702" s="6">
        <f t="shared" si="187"/>
        <v>80</v>
      </c>
      <c r="H3702" s="24">
        <f>60+20</f>
        <v>80</v>
      </c>
      <c r="I3702" s="26">
        <f t="shared" si="188"/>
        <v>0</v>
      </c>
      <c r="J3702" s="7" t="str">
        <f t="shared" si="190"/>
        <v>PAGADO</v>
      </c>
      <c r="K3702" s="33" t="s">
        <v>2479</v>
      </c>
    </row>
    <row r="3703" spans="1:11" x14ac:dyDescent="0.25">
      <c r="A3703">
        <v>2025</v>
      </c>
      <c r="C3703" t="s">
        <v>3321</v>
      </c>
      <c r="D3703" t="s">
        <v>2757</v>
      </c>
      <c r="F3703" s="6">
        <v>50</v>
      </c>
      <c r="G3703" s="6">
        <f t="shared" si="187"/>
        <v>50</v>
      </c>
      <c r="H3703" s="6">
        <f>35+15</f>
        <v>50</v>
      </c>
      <c r="I3703" s="26">
        <f t="shared" si="188"/>
        <v>0</v>
      </c>
      <c r="J3703" s="7" t="str">
        <f t="shared" si="190"/>
        <v>PAGADO</v>
      </c>
      <c r="K3703" s="33" t="s">
        <v>2258</v>
      </c>
    </row>
    <row r="3704" spans="1:11" x14ac:dyDescent="0.25">
      <c r="A3704">
        <v>2025</v>
      </c>
      <c r="C3704" s="9" t="s">
        <v>494</v>
      </c>
      <c r="D3704" s="9" t="s">
        <v>3213</v>
      </c>
      <c r="F3704" s="6">
        <v>120</v>
      </c>
      <c r="G3704" s="6">
        <f t="shared" si="187"/>
        <v>120</v>
      </c>
      <c r="H3704" s="6">
        <v>120</v>
      </c>
      <c r="I3704" s="26">
        <f t="shared" si="188"/>
        <v>0</v>
      </c>
      <c r="J3704" s="7" t="str">
        <f t="shared" si="190"/>
        <v>PAGADO</v>
      </c>
    </row>
    <row r="3705" spans="1:11" x14ac:dyDescent="0.25">
      <c r="A3705">
        <v>2025</v>
      </c>
      <c r="C3705" s="9" t="s">
        <v>3378</v>
      </c>
      <c r="D3705" s="9" t="s">
        <v>3444</v>
      </c>
      <c r="F3705" s="26">
        <v>85</v>
      </c>
      <c r="G3705" s="26">
        <f t="shared" si="187"/>
        <v>85</v>
      </c>
      <c r="H3705" s="26">
        <v>85</v>
      </c>
      <c r="I3705" s="26">
        <f t="shared" si="188"/>
        <v>0</v>
      </c>
      <c r="J3705" s="7" t="str">
        <f t="shared" si="190"/>
        <v>PAGADO</v>
      </c>
      <c r="K3705" s="33" t="s">
        <v>2639</v>
      </c>
    </row>
    <row r="3706" spans="1:11" x14ac:dyDescent="0.25">
      <c r="A3706">
        <v>2025</v>
      </c>
      <c r="C3706" t="s">
        <v>3567</v>
      </c>
      <c r="D3706" t="s">
        <v>488</v>
      </c>
      <c r="F3706" s="6">
        <v>180</v>
      </c>
      <c r="G3706" s="6">
        <f t="shared" si="187"/>
        <v>180</v>
      </c>
      <c r="H3706" s="6">
        <v>180</v>
      </c>
      <c r="I3706" s="26">
        <f t="shared" si="188"/>
        <v>0</v>
      </c>
      <c r="J3706" s="7" t="str">
        <f t="shared" si="190"/>
        <v>PAGADO</v>
      </c>
    </row>
    <row r="3707" spans="1:11" x14ac:dyDescent="0.25">
      <c r="A3707">
        <v>2025</v>
      </c>
      <c r="C3707" s="9" t="s">
        <v>3568</v>
      </c>
      <c r="D3707" s="9" t="s">
        <v>3549</v>
      </c>
      <c r="F3707" s="6">
        <v>45</v>
      </c>
      <c r="G3707" s="6">
        <f t="shared" si="187"/>
        <v>45</v>
      </c>
      <c r="H3707" s="6">
        <v>45</v>
      </c>
      <c r="I3707" s="26">
        <f t="shared" si="188"/>
        <v>0</v>
      </c>
      <c r="J3707" s="7" t="str">
        <f t="shared" si="190"/>
        <v>PAGADO</v>
      </c>
    </row>
    <row r="3708" spans="1:11" x14ac:dyDescent="0.25">
      <c r="A3708">
        <v>2025</v>
      </c>
      <c r="C3708" t="s">
        <v>3569</v>
      </c>
      <c r="D3708" t="s">
        <v>3570</v>
      </c>
      <c r="F3708" s="6">
        <v>120</v>
      </c>
      <c r="G3708" s="6">
        <f t="shared" si="187"/>
        <v>120</v>
      </c>
      <c r="H3708" s="6">
        <f>60+60</f>
        <v>120</v>
      </c>
      <c r="I3708" s="26">
        <f t="shared" si="188"/>
        <v>0</v>
      </c>
      <c r="J3708" s="7" t="str">
        <f t="shared" si="190"/>
        <v>PAGADO</v>
      </c>
    </row>
    <row r="3709" spans="1:11" x14ac:dyDescent="0.25">
      <c r="A3709">
        <v>2025</v>
      </c>
      <c r="C3709" t="s">
        <v>3571</v>
      </c>
      <c r="D3709" t="s">
        <v>3420</v>
      </c>
      <c r="F3709" s="6">
        <v>60</v>
      </c>
      <c r="G3709" s="6">
        <f t="shared" si="187"/>
        <v>60</v>
      </c>
      <c r="H3709" s="6">
        <v>60</v>
      </c>
      <c r="I3709" s="26">
        <f t="shared" si="188"/>
        <v>0</v>
      </c>
      <c r="J3709" s="7" t="str">
        <f t="shared" si="190"/>
        <v>PAGADO</v>
      </c>
      <c r="K3709" s="33" t="s">
        <v>2968</v>
      </c>
    </row>
    <row r="3710" spans="1:11" x14ac:dyDescent="0.25">
      <c r="A3710">
        <v>2025</v>
      </c>
      <c r="C3710" t="s">
        <v>3572</v>
      </c>
      <c r="D3710" t="s">
        <v>3331</v>
      </c>
      <c r="F3710" s="6">
        <v>120</v>
      </c>
      <c r="G3710" s="6">
        <f t="shared" ref="G3710:G3773" si="191">F3710-E3710</f>
        <v>120</v>
      </c>
      <c r="H3710" s="23">
        <f>60+60</f>
        <v>120</v>
      </c>
      <c r="I3710" s="26">
        <f t="shared" si="188"/>
        <v>0</v>
      </c>
      <c r="J3710" s="7" t="str">
        <f t="shared" si="190"/>
        <v>PAGADO</v>
      </c>
      <c r="K3710" s="33" t="s">
        <v>2640</v>
      </c>
    </row>
    <row r="3711" spans="1:11" x14ac:dyDescent="0.25">
      <c r="A3711">
        <v>2025</v>
      </c>
      <c r="C3711" t="s">
        <v>3573</v>
      </c>
      <c r="D3711" s="9" t="s">
        <v>1425</v>
      </c>
      <c r="F3711" s="6">
        <v>40</v>
      </c>
      <c r="G3711" s="6">
        <f t="shared" si="191"/>
        <v>40</v>
      </c>
      <c r="H3711" s="6">
        <v>40</v>
      </c>
      <c r="I3711" s="6">
        <f t="shared" si="188"/>
        <v>0</v>
      </c>
      <c r="J3711" s="7" t="str">
        <f t="shared" si="190"/>
        <v>PAGADO</v>
      </c>
      <c r="K3711" s="33" t="s">
        <v>2258</v>
      </c>
    </row>
    <row r="3712" spans="1:11" x14ac:dyDescent="0.25">
      <c r="A3712">
        <v>2025</v>
      </c>
      <c r="C3712" s="9" t="s">
        <v>3574</v>
      </c>
      <c r="D3712" t="s">
        <v>3038</v>
      </c>
      <c r="F3712" s="6">
        <v>170</v>
      </c>
      <c r="G3712" s="6">
        <f t="shared" si="191"/>
        <v>170</v>
      </c>
      <c r="H3712" s="6">
        <v>170</v>
      </c>
      <c r="I3712" s="26">
        <f t="shared" si="188"/>
        <v>0</v>
      </c>
      <c r="J3712" s="7" t="str">
        <f t="shared" si="190"/>
        <v>PAGADO</v>
      </c>
    </row>
    <row r="3713" spans="1:11" x14ac:dyDescent="0.25">
      <c r="A3713">
        <v>2025</v>
      </c>
      <c r="C3713" s="9" t="s">
        <v>1625</v>
      </c>
      <c r="D3713" t="s">
        <v>2935</v>
      </c>
      <c r="F3713" s="6">
        <v>190</v>
      </c>
      <c r="G3713" s="6">
        <f t="shared" si="191"/>
        <v>190</v>
      </c>
      <c r="H3713" s="6">
        <v>190</v>
      </c>
      <c r="I3713" s="26">
        <f t="shared" si="188"/>
        <v>0</v>
      </c>
      <c r="J3713" s="7" t="str">
        <f t="shared" si="190"/>
        <v>PAGADO</v>
      </c>
      <c r="K3713" s="9" t="s">
        <v>1056</v>
      </c>
    </row>
    <row r="3714" spans="1:11" x14ac:dyDescent="0.25">
      <c r="A3714">
        <v>2025</v>
      </c>
      <c r="C3714" s="9" t="s">
        <v>3575</v>
      </c>
      <c r="D3714" s="9" t="s">
        <v>2153</v>
      </c>
      <c r="F3714" s="6">
        <v>15</v>
      </c>
      <c r="G3714" s="6">
        <f t="shared" si="191"/>
        <v>15</v>
      </c>
      <c r="H3714" s="6">
        <v>15</v>
      </c>
      <c r="I3714" s="26">
        <f t="shared" si="188"/>
        <v>0</v>
      </c>
      <c r="J3714" s="7" t="str">
        <f t="shared" si="190"/>
        <v>PAGADO</v>
      </c>
    </row>
    <row r="3715" spans="1:11" x14ac:dyDescent="0.25">
      <c r="A3715">
        <v>2025</v>
      </c>
      <c r="C3715" s="9" t="s">
        <v>1822</v>
      </c>
      <c r="D3715" t="s">
        <v>700</v>
      </c>
      <c r="F3715" s="6">
        <v>70</v>
      </c>
      <c r="G3715" s="6">
        <f t="shared" si="191"/>
        <v>70</v>
      </c>
      <c r="H3715" s="6">
        <v>70</v>
      </c>
      <c r="I3715" s="26">
        <f t="shared" si="188"/>
        <v>0</v>
      </c>
      <c r="J3715" s="7" t="str">
        <f t="shared" si="190"/>
        <v>PAGADO</v>
      </c>
    </row>
    <row r="3716" spans="1:11" x14ac:dyDescent="0.25">
      <c r="A3716">
        <v>2025</v>
      </c>
      <c r="C3716" t="s">
        <v>2951</v>
      </c>
      <c r="D3716" s="9" t="s">
        <v>3331</v>
      </c>
      <c r="F3716" s="6">
        <v>80</v>
      </c>
      <c r="G3716" s="6">
        <f t="shared" si="191"/>
        <v>80</v>
      </c>
      <c r="H3716" s="6">
        <f>40+40</f>
        <v>80</v>
      </c>
      <c r="I3716" s="26">
        <f t="shared" si="188"/>
        <v>0</v>
      </c>
      <c r="J3716" s="7" t="str">
        <f t="shared" si="190"/>
        <v>PAGADO</v>
      </c>
      <c r="K3716" s="33" t="s">
        <v>1815</v>
      </c>
    </row>
    <row r="3717" spans="1:11" x14ac:dyDescent="0.25">
      <c r="A3717">
        <v>2025</v>
      </c>
      <c r="C3717" s="9" t="s">
        <v>1819</v>
      </c>
      <c r="D3717" s="9" t="s">
        <v>3495</v>
      </c>
      <c r="F3717" s="6">
        <v>70</v>
      </c>
      <c r="G3717" s="6">
        <f t="shared" si="191"/>
        <v>70</v>
      </c>
      <c r="H3717" s="6">
        <v>70</v>
      </c>
      <c r="I3717" s="26">
        <f t="shared" si="188"/>
        <v>0</v>
      </c>
      <c r="J3717" s="7" t="str">
        <f t="shared" si="190"/>
        <v>PAGADO</v>
      </c>
    </row>
    <row r="3718" spans="1:11" x14ac:dyDescent="0.25">
      <c r="A3718">
        <v>2025</v>
      </c>
      <c r="C3718" s="9" t="s">
        <v>3576</v>
      </c>
      <c r="D3718" s="9" t="s">
        <v>2906</v>
      </c>
      <c r="F3718" s="6">
        <v>120</v>
      </c>
      <c r="G3718" s="6">
        <f t="shared" si="191"/>
        <v>120</v>
      </c>
      <c r="H3718" s="6">
        <v>120</v>
      </c>
      <c r="I3718" s="26">
        <f t="shared" si="188"/>
        <v>0</v>
      </c>
      <c r="J3718" s="7" t="str">
        <f t="shared" si="190"/>
        <v>PAGADO</v>
      </c>
    </row>
    <row r="3719" spans="1:11" x14ac:dyDescent="0.25">
      <c r="A3719">
        <v>2025</v>
      </c>
      <c r="C3719" s="9" t="s">
        <v>1699</v>
      </c>
      <c r="D3719" s="9" t="s">
        <v>80</v>
      </c>
      <c r="F3719" s="6">
        <v>120</v>
      </c>
      <c r="G3719" s="6">
        <f t="shared" si="191"/>
        <v>120</v>
      </c>
      <c r="H3719" s="6">
        <v>120</v>
      </c>
      <c r="I3719" s="26">
        <f t="shared" si="188"/>
        <v>0</v>
      </c>
      <c r="J3719" s="7" t="str">
        <f t="shared" si="190"/>
        <v>PAGADO</v>
      </c>
    </row>
    <row r="3720" spans="1:11" x14ac:dyDescent="0.25">
      <c r="A3720">
        <v>2025</v>
      </c>
      <c r="C3720" s="9" t="s">
        <v>3577</v>
      </c>
      <c r="D3720" s="9" t="s">
        <v>2368</v>
      </c>
      <c r="F3720" s="6">
        <v>70</v>
      </c>
      <c r="G3720" s="6">
        <f t="shared" si="191"/>
        <v>70</v>
      </c>
      <c r="H3720" s="6">
        <v>70</v>
      </c>
      <c r="I3720" s="26">
        <f t="shared" si="188"/>
        <v>0</v>
      </c>
      <c r="J3720" s="7" t="str">
        <f t="shared" si="190"/>
        <v>PAGADO</v>
      </c>
    </row>
    <row r="3721" spans="1:11" x14ac:dyDescent="0.25">
      <c r="A3721">
        <v>2025</v>
      </c>
      <c r="C3721" s="9" t="s">
        <v>3578</v>
      </c>
      <c r="D3721" s="9" t="s">
        <v>2278</v>
      </c>
      <c r="F3721" s="6">
        <v>430</v>
      </c>
      <c r="G3721" s="6">
        <f t="shared" si="191"/>
        <v>430</v>
      </c>
      <c r="H3721" s="6">
        <v>430</v>
      </c>
      <c r="I3721" s="26">
        <f t="shared" si="188"/>
        <v>0</v>
      </c>
      <c r="J3721" s="7" t="str">
        <f t="shared" si="190"/>
        <v>PAGADO</v>
      </c>
      <c r="K3721" s="33" t="s">
        <v>2639</v>
      </c>
    </row>
    <row r="3722" spans="1:11" x14ac:dyDescent="0.25">
      <c r="A3722">
        <v>2025</v>
      </c>
      <c r="C3722" s="9" t="s">
        <v>2013</v>
      </c>
      <c r="D3722" s="9" t="s">
        <v>3579</v>
      </c>
      <c r="F3722" s="6">
        <v>70</v>
      </c>
      <c r="G3722" s="6">
        <f t="shared" si="191"/>
        <v>70</v>
      </c>
      <c r="H3722" s="6">
        <v>70</v>
      </c>
      <c r="I3722" s="26">
        <f t="shared" si="188"/>
        <v>0</v>
      </c>
      <c r="J3722" s="7" t="str">
        <f t="shared" si="190"/>
        <v>PAGADO</v>
      </c>
    </row>
    <row r="3723" spans="1:11" x14ac:dyDescent="0.25">
      <c r="A3723">
        <v>2025</v>
      </c>
      <c r="C3723" s="9" t="s">
        <v>3580</v>
      </c>
      <c r="D3723" s="9" t="s">
        <v>3579</v>
      </c>
      <c r="F3723" s="6">
        <v>80</v>
      </c>
      <c r="G3723" s="6">
        <f t="shared" si="191"/>
        <v>80</v>
      </c>
      <c r="H3723" s="6">
        <v>80</v>
      </c>
      <c r="I3723" s="26">
        <f t="shared" si="188"/>
        <v>0</v>
      </c>
      <c r="J3723" s="7" t="str">
        <f t="shared" si="190"/>
        <v>PAGADO</v>
      </c>
    </row>
    <row r="3724" spans="1:11" x14ac:dyDescent="0.25">
      <c r="A3724">
        <v>2025</v>
      </c>
      <c r="C3724" s="9" t="s">
        <v>3581</v>
      </c>
      <c r="D3724" s="9" t="s">
        <v>816</v>
      </c>
      <c r="F3724" s="6">
        <v>90</v>
      </c>
      <c r="G3724" s="6">
        <f t="shared" si="191"/>
        <v>90</v>
      </c>
      <c r="H3724" s="6">
        <v>90</v>
      </c>
      <c r="I3724" s="26">
        <f t="shared" si="188"/>
        <v>0</v>
      </c>
      <c r="J3724" s="7" t="str">
        <f t="shared" si="190"/>
        <v>PAGADO</v>
      </c>
      <c r="K3724" t="s">
        <v>2714</v>
      </c>
    </row>
    <row r="3725" spans="1:11" x14ac:dyDescent="0.25">
      <c r="A3725">
        <v>2025</v>
      </c>
      <c r="C3725" s="9" t="s">
        <v>3582</v>
      </c>
      <c r="D3725" s="9" t="s">
        <v>816</v>
      </c>
      <c r="F3725" s="6">
        <v>90</v>
      </c>
      <c r="G3725" s="6">
        <f t="shared" si="191"/>
        <v>90</v>
      </c>
      <c r="H3725" s="6">
        <v>90</v>
      </c>
      <c r="I3725" s="26">
        <f t="shared" si="188"/>
        <v>0</v>
      </c>
      <c r="J3725" s="7" t="str">
        <f t="shared" si="190"/>
        <v>PAGADO</v>
      </c>
      <c r="K3725" t="s">
        <v>2714</v>
      </c>
    </row>
    <row r="3726" spans="1:11" x14ac:dyDescent="0.25">
      <c r="A3726">
        <v>2025</v>
      </c>
      <c r="C3726" s="9" t="s">
        <v>3583</v>
      </c>
      <c r="D3726" s="9" t="s">
        <v>3370</v>
      </c>
      <c r="F3726" s="6">
        <v>80</v>
      </c>
      <c r="G3726" s="6">
        <f t="shared" si="191"/>
        <v>80</v>
      </c>
      <c r="H3726" s="6">
        <v>80</v>
      </c>
      <c r="I3726" s="26">
        <f t="shared" si="188"/>
        <v>0</v>
      </c>
      <c r="J3726" s="7" t="str">
        <f t="shared" si="190"/>
        <v>PAGADO</v>
      </c>
      <c r="K3726" s="33" t="s">
        <v>2479</v>
      </c>
    </row>
    <row r="3727" spans="1:11" x14ac:dyDescent="0.25">
      <c r="A3727">
        <v>2025</v>
      </c>
      <c r="C3727" t="s">
        <v>3584</v>
      </c>
      <c r="D3727" s="9" t="s">
        <v>3585</v>
      </c>
      <c r="F3727" s="6">
        <v>60</v>
      </c>
      <c r="G3727" s="6">
        <f t="shared" si="191"/>
        <v>60</v>
      </c>
      <c r="H3727" s="6">
        <f>20+40</f>
        <v>60</v>
      </c>
      <c r="I3727" s="26">
        <f t="shared" si="188"/>
        <v>0</v>
      </c>
      <c r="J3727" s="7" t="str">
        <f t="shared" si="190"/>
        <v>PAGADO</v>
      </c>
    </row>
    <row r="3728" spans="1:11" x14ac:dyDescent="0.25">
      <c r="A3728">
        <v>2025</v>
      </c>
      <c r="C3728" t="s">
        <v>3586</v>
      </c>
      <c r="D3728" s="9" t="s">
        <v>3587</v>
      </c>
      <c r="F3728" s="6">
        <v>80</v>
      </c>
      <c r="G3728" s="6">
        <f t="shared" si="191"/>
        <v>80</v>
      </c>
      <c r="H3728" s="6">
        <f>20+60</f>
        <v>80</v>
      </c>
      <c r="I3728" s="26">
        <f t="shared" si="188"/>
        <v>0</v>
      </c>
      <c r="J3728" s="7" t="str">
        <f t="shared" si="190"/>
        <v>PAGADO</v>
      </c>
    </row>
    <row r="3729" spans="1:12" x14ac:dyDescent="0.25">
      <c r="A3729">
        <v>2025</v>
      </c>
      <c r="C3729" t="s">
        <v>3588</v>
      </c>
      <c r="D3729" s="9" t="s">
        <v>3430</v>
      </c>
      <c r="F3729" s="6">
        <v>65</v>
      </c>
      <c r="G3729" s="6">
        <f t="shared" si="191"/>
        <v>65</v>
      </c>
      <c r="H3729" s="6">
        <v>65</v>
      </c>
      <c r="I3729" s="26">
        <f t="shared" si="188"/>
        <v>0</v>
      </c>
      <c r="J3729" s="7" t="str">
        <f t="shared" si="190"/>
        <v>PAGADO</v>
      </c>
    </row>
    <row r="3730" spans="1:12" x14ac:dyDescent="0.25">
      <c r="A3730">
        <v>2025</v>
      </c>
      <c r="C3730" s="9" t="s">
        <v>3589</v>
      </c>
      <c r="D3730" s="9" t="s">
        <v>377</v>
      </c>
      <c r="F3730" s="6">
        <v>60</v>
      </c>
      <c r="G3730" s="6">
        <f t="shared" si="191"/>
        <v>60</v>
      </c>
      <c r="H3730" s="6">
        <v>60</v>
      </c>
      <c r="I3730" s="26">
        <f t="shared" ref="I3730:I3793" si="192">F3730-H3730</f>
        <v>0</v>
      </c>
      <c r="J3730" s="7" t="str">
        <f t="shared" si="190"/>
        <v>PAGADO</v>
      </c>
    </row>
    <row r="3731" spans="1:12" x14ac:dyDescent="0.25">
      <c r="A3731">
        <v>2025</v>
      </c>
      <c r="C3731" s="9" t="s">
        <v>3590</v>
      </c>
      <c r="D3731" s="9" t="s">
        <v>3591</v>
      </c>
      <c r="F3731" s="6">
        <v>70</v>
      </c>
      <c r="G3731" s="6">
        <f t="shared" si="191"/>
        <v>70</v>
      </c>
      <c r="H3731" s="6">
        <f>10+60</f>
        <v>70</v>
      </c>
      <c r="I3731" s="26">
        <f t="shared" si="192"/>
        <v>0</v>
      </c>
      <c r="J3731" s="7" t="str">
        <f t="shared" si="190"/>
        <v>PAGADO</v>
      </c>
    </row>
    <row r="3732" spans="1:12" x14ac:dyDescent="0.25">
      <c r="A3732">
        <v>2025</v>
      </c>
      <c r="C3732" s="9" t="s">
        <v>2013</v>
      </c>
      <c r="D3732" s="9" t="s">
        <v>3592</v>
      </c>
      <c r="F3732" s="6">
        <v>70</v>
      </c>
      <c r="G3732" s="6">
        <f t="shared" si="191"/>
        <v>70</v>
      </c>
      <c r="H3732" s="6">
        <v>70</v>
      </c>
      <c r="I3732" s="26">
        <f t="shared" si="192"/>
        <v>0</v>
      </c>
      <c r="J3732" s="7" t="str">
        <f t="shared" si="190"/>
        <v>PAGADO</v>
      </c>
    </row>
    <row r="3733" spans="1:12" x14ac:dyDescent="0.25">
      <c r="A3733">
        <v>2025</v>
      </c>
      <c r="C3733" s="9" t="s">
        <v>3459</v>
      </c>
      <c r="D3733" s="9" t="s">
        <v>3592</v>
      </c>
      <c r="F3733" s="6">
        <v>70</v>
      </c>
      <c r="G3733" s="6">
        <f t="shared" si="191"/>
        <v>70</v>
      </c>
      <c r="H3733" s="6">
        <v>70</v>
      </c>
      <c r="I3733" s="26">
        <f t="shared" si="192"/>
        <v>0</v>
      </c>
      <c r="J3733" s="7" t="str">
        <f t="shared" si="190"/>
        <v>PAGADO</v>
      </c>
    </row>
    <row r="3734" spans="1:12" x14ac:dyDescent="0.25">
      <c r="A3734">
        <v>2025</v>
      </c>
      <c r="C3734" t="s">
        <v>3593</v>
      </c>
      <c r="D3734" s="9" t="s">
        <v>1247</v>
      </c>
      <c r="F3734" s="6">
        <f>165+165</f>
        <v>330</v>
      </c>
      <c r="G3734" s="6">
        <f t="shared" si="191"/>
        <v>330</v>
      </c>
      <c r="H3734" s="6">
        <f>165+165</f>
        <v>330</v>
      </c>
      <c r="I3734" s="6">
        <f t="shared" si="192"/>
        <v>0</v>
      </c>
      <c r="J3734" s="7" t="str">
        <f t="shared" si="190"/>
        <v>PAGADO</v>
      </c>
      <c r="K3734" s="9" t="s">
        <v>3594</v>
      </c>
    </row>
    <row r="3735" spans="1:12" x14ac:dyDescent="0.25">
      <c r="A3735">
        <v>2025</v>
      </c>
      <c r="C3735" s="9" t="s">
        <v>3435</v>
      </c>
      <c r="D3735" s="9" t="s">
        <v>3316</v>
      </c>
      <c r="F3735" s="6">
        <v>20</v>
      </c>
      <c r="G3735" s="6">
        <f t="shared" si="191"/>
        <v>20</v>
      </c>
      <c r="H3735" s="6">
        <f>10+10</f>
        <v>20</v>
      </c>
      <c r="I3735" s="26">
        <f t="shared" si="192"/>
        <v>0</v>
      </c>
      <c r="J3735" s="7" t="str">
        <f t="shared" si="190"/>
        <v>PAGADO</v>
      </c>
      <c r="K3735" s="33" t="s">
        <v>3317</v>
      </c>
    </row>
    <row r="3736" spans="1:12" x14ac:dyDescent="0.25">
      <c r="A3736">
        <v>2025</v>
      </c>
      <c r="C3736" s="9" t="s">
        <v>2182</v>
      </c>
      <c r="D3736" s="9" t="s">
        <v>3595</v>
      </c>
      <c r="F3736" s="6">
        <v>80</v>
      </c>
      <c r="G3736" s="6">
        <f t="shared" si="191"/>
        <v>80</v>
      </c>
      <c r="H3736" s="6">
        <v>80</v>
      </c>
      <c r="I3736" s="26">
        <f t="shared" si="192"/>
        <v>0</v>
      </c>
      <c r="J3736" s="7" t="str">
        <f t="shared" si="190"/>
        <v>PAGADO</v>
      </c>
    </row>
    <row r="3737" spans="1:12" x14ac:dyDescent="0.25">
      <c r="A3737">
        <v>2025</v>
      </c>
      <c r="C3737" s="9" t="s">
        <v>3596</v>
      </c>
      <c r="D3737" s="9" t="s">
        <v>3597</v>
      </c>
      <c r="F3737" s="6">
        <v>10</v>
      </c>
      <c r="G3737" s="6">
        <f t="shared" si="191"/>
        <v>10</v>
      </c>
      <c r="H3737" s="6">
        <v>10</v>
      </c>
      <c r="I3737" s="26">
        <f t="shared" si="192"/>
        <v>0</v>
      </c>
      <c r="J3737" s="7" t="str">
        <f t="shared" si="190"/>
        <v>PAGADO</v>
      </c>
    </row>
    <row r="3738" spans="1:12" x14ac:dyDescent="0.25">
      <c r="A3738">
        <v>2025</v>
      </c>
      <c r="C3738" s="9" t="s">
        <v>3598</v>
      </c>
      <c r="D3738" s="9" t="s">
        <v>3599</v>
      </c>
      <c r="F3738" s="6">
        <v>80</v>
      </c>
      <c r="G3738" s="6">
        <f t="shared" si="191"/>
        <v>80</v>
      </c>
      <c r="H3738" s="6">
        <v>80</v>
      </c>
      <c r="I3738" s="26">
        <f t="shared" si="192"/>
        <v>0</v>
      </c>
      <c r="J3738" s="7" t="str">
        <f t="shared" si="190"/>
        <v>PAGADO</v>
      </c>
    </row>
    <row r="3739" spans="1:12" x14ac:dyDescent="0.25">
      <c r="A3739">
        <v>2025</v>
      </c>
      <c r="C3739" s="9" t="s">
        <v>3600</v>
      </c>
      <c r="D3739" s="9" t="s">
        <v>3599</v>
      </c>
      <c r="F3739" s="6">
        <v>50</v>
      </c>
      <c r="G3739" s="6">
        <f t="shared" si="191"/>
        <v>50</v>
      </c>
      <c r="H3739" s="6">
        <v>50</v>
      </c>
      <c r="I3739" s="26">
        <f t="shared" si="192"/>
        <v>0</v>
      </c>
      <c r="J3739" s="7" t="str">
        <f t="shared" si="190"/>
        <v>PAGADO</v>
      </c>
    </row>
    <row r="3740" spans="1:12" x14ac:dyDescent="0.25">
      <c r="A3740">
        <v>2025</v>
      </c>
      <c r="C3740" s="9" t="s">
        <v>3601</v>
      </c>
      <c r="D3740" s="9" t="s">
        <v>3599</v>
      </c>
      <c r="F3740" s="6">
        <v>60</v>
      </c>
      <c r="G3740" s="6">
        <f t="shared" si="191"/>
        <v>60</v>
      </c>
      <c r="H3740" s="6">
        <v>60</v>
      </c>
      <c r="I3740" s="26">
        <f t="shared" si="192"/>
        <v>0</v>
      </c>
      <c r="J3740" s="7" t="str">
        <f t="shared" si="190"/>
        <v>PAGADO</v>
      </c>
    </row>
    <row r="3741" spans="1:12" x14ac:dyDescent="0.25">
      <c r="A3741">
        <v>2025</v>
      </c>
      <c r="C3741" s="9" t="s">
        <v>3602</v>
      </c>
      <c r="D3741" s="9" t="s">
        <v>3331</v>
      </c>
      <c r="F3741" s="6">
        <v>70</v>
      </c>
      <c r="G3741" s="6">
        <f t="shared" si="191"/>
        <v>70</v>
      </c>
      <c r="H3741" s="6">
        <f>35+35</f>
        <v>70</v>
      </c>
      <c r="I3741" s="26">
        <f t="shared" si="192"/>
        <v>0</v>
      </c>
      <c r="J3741" s="7" t="str">
        <f t="shared" si="190"/>
        <v>PAGADO</v>
      </c>
      <c r="K3741" s="33" t="s">
        <v>1815</v>
      </c>
      <c r="L3741" s="9"/>
    </row>
    <row r="3742" spans="1:12" x14ac:dyDescent="0.25">
      <c r="A3742">
        <v>2025</v>
      </c>
      <c r="C3742" s="9" t="s">
        <v>3603</v>
      </c>
      <c r="D3742" s="9" t="s">
        <v>3331</v>
      </c>
      <c r="F3742" s="6">
        <v>60</v>
      </c>
      <c r="G3742" s="6">
        <f t="shared" si="191"/>
        <v>60</v>
      </c>
      <c r="H3742" s="6">
        <f>35+25</f>
        <v>60</v>
      </c>
      <c r="I3742" s="26">
        <f t="shared" si="192"/>
        <v>0</v>
      </c>
      <c r="J3742" s="7" t="str">
        <f t="shared" si="190"/>
        <v>PAGADO</v>
      </c>
      <c r="K3742" s="33" t="s">
        <v>1815</v>
      </c>
    </row>
    <row r="3743" spans="1:12" x14ac:dyDescent="0.25">
      <c r="A3743">
        <v>2025</v>
      </c>
      <c r="C3743" s="9" t="s">
        <v>3341</v>
      </c>
      <c r="D3743" s="9" t="s">
        <v>2366</v>
      </c>
      <c r="F3743" s="6">
        <v>60</v>
      </c>
      <c r="G3743" s="6">
        <f t="shared" si="191"/>
        <v>60</v>
      </c>
      <c r="H3743" s="6">
        <v>60</v>
      </c>
      <c r="I3743" s="26">
        <f t="shared" si="192"/>
        <v>0</v>
      </c>
      <c r="J3743" s="7" t="str">
        <f t="shared" si="190"/>
        <v>PAGADO</v>
      </c>
      <c r="K3743" s="33" t="s">
        <v>2640</v>
      </c>
      <c r="L3743" s="9"/>
    </row>
    <row r="3744" spans="1:12" x14ac:dyDescent="0.25">
      <c r="A3744">
        <v>2025</v>
      </c>
      <c r="C3744" s="9" t="s">
        <v>3342</v>
      </c>
      <c r="D3744" s="9" t="s">
        <v>2366</v>
      </c>
      <c r="F3744" s="6">
        <v>60</v>
      </c>
      <c r="G3744" s="6">
        <f t="shared" si="191"/>
        <v>60</v>
      </c>
      <c r="H3744" s="6">
        <v>60</v>
      </c>
      <c r="I3744" s="26">
        <f t="shared" si="192"/>
        <v>0</v>
      </c>
      <c r="J3744" s="7" t="str">
        <f t="shared" si="190"/>
        <v>PAGADO</v>
      </c>
      <c r="K3744" s="33" t="s">
        <v>2640</v>
      </c>
    </row>
    <row r="3745" spans="1:10" x14ac:dyDescent="0.25">
      <c r="A3745">
        <v>2025</v>
      </c>
      <c r="C3745" t="s">
        <v>3604</v>
      </c>
      <c r="D3745" s="9" t="s">
        <v>3556</v>
      </c>
      <c r="F3745" s="6">
        <v>60</v>
      </c>
      <c r="G3745" s="6">
        <f t="shared" si="191"/>
        <v>60</v>
      </c>
      <c r="H3745" s="6">
        <f>30+30</f>
        <v>60</v>
      </c>
      <c r="I3745" s="26">
        <f t="shared" si="192"/>
        <v>0</v>
      </c>
      <c r="J3745" s="7" t="str">
        <f t="shared" si="190"/>
        <v>PAGADO</v>
      </c>
    </row>
    <row r="3746" spans="1:10" x14ac:dyDescent="0.25">
      <c r="A3746">
        <v>2025</v>
      </c>
      <c r="C3746" t="s">
        <v>3605</v>
      </c>
      <c r="D3746" t="s">
        <v>3606</v>
      </c>
      <c r="F3746" s="6">
        <v>60</v>
      </c>
      <c r="G3746" s="6">
        <f t="shared" si="191"/>
        <v>60</v>
      </c>
      <c r="H3746" s="6">
        <v>60</v>
      </c>
      <c r="I3746" s="26">
        <f t="shared" si="192"/>
        <v>0</v>
      </c>
      <c r="J3746" s="7" t="str">
        <f t="shared" si="190"/>
        <v>PAGADO</v>
      </c>
    </row>
    <row r="3747" spans="1:10" x14ac:dyDescent="0.25">
      <c r="A3747">
        <v>2025</v>
      </c>
      <c r="C3747" t="s">
        <v>3607</v>
      </c>
      <c r="D3747" t="s">
        <v>3608</v>
      </c>
      <c r="F3747" s="6">
        <v>70</v>
      </c>
      <c r="G3747" s="6">
        <f t="shared" si="191"/>
        <v>70</v>
      </c>
      <c r="H3747" s="6">
        <f>35+35</f>
        <v>70</v>
      </c>
      <c r="I3747" s="26">
        <f t="shared" si="192"/>
        <v>0</v>
      </c>
      <c r="J3747" s="7" t="str">
        <f t="shared" ref="J3747:J3810" si="193">IF(I3747&gt;0,"DEBE","PAGADO")</f>
        <v>PAGADO</v>
      </c>
    </row>
    <row r="3748" spans="1:10" x14ac:dyDescent="0.25">
      <c r="A3748">
        <v>2025</v>
      </c>
      <c r="C3748" t="s">
        <v>3609</v>
      </c>
      <c r="D3748" s="9" t="s">
        <v>3262</v>
      </c>
      <c r="F3748" s="6">
        <v>70</v>
      </c>
      <c r="G3748" s="6">
        <f t="shared" si="191"/>
        <v>70</v>
      </c>
      <c r="H3748" s="6">
        <v>70</v>
      </c>
      <c r="I3748" s="26">
        <f t="shared" si="192"/>
        <v>0</v>
      </c>
      <c r="J3748" s="7" t="str">
        <f t="shared" si="193"/>
        <v>PAGADO</v>
      </c>
    </row>
    <row r="3749" spans="1:10" x14ac:dyDescent="0.25">
      <c r="A3749">
        <v>2025</v>
      </c>
      <c r="C3749" s="9" t="s">
        <v>3610</v>
      </c>
      <c r="D3749" s="9" t="s">
        <v>2922</v>
      </c>
      <c r="F3749" s="6">
        <v>50</v>
      </c>
      <c r="G3749" s="6">
        <f t="shared" si="191"/>
        <v>50</v>
      </c>
      <c r="H3749" s="6">
        <v>50</v>
      </c>
      <c r="I3749" s="26">
        <f t="shared" si="192"/>
        <v>0</v>
      </c>
      <c r="J3749" s="7" t="str">
        <f t="shared" si="193"/>
        <v>PAGADO</v>
      </c>
    </row>
    <row r="3750" spans="1:10" x14ac:dyDescent="0.25">
      <c r="A3750">
        <v>2025</v>
      </c>
      <c r="C3750" s="9" t="s">
        <v>3611</v>
      </c>
      <c r="D3750" s="9" t="s">
        <v>3612</v>
      </c>
      <c r="F3750" s="6">
        <v>60</v>
      </c>
      <c r="G3750" s="6">
        <f t="shared" si="191"/>
        <v>60</v>
      </c>
      <c r="H3750" s="6">
        <v>60</v>
      </c>
      <c r="I3750" s="26">
        <f t="shared" si="192"/>
        <v>0</v>
      </c>
      <c r="J3750" s="7" t="str">
        <f t="shared" si="193"/>
        <v>PAGADO</v>
      </c>
    </row>
    <row r="3751" spans="1:10" x14ac:dyDescent="0.25">
      <c r="A3751">
        <v>2025</v>
      </c>
      <c r="C3751" s="9" t="s">
        <v>2182</v>
      </c>
      <c r="D3751" s="9" t="s">
        <v>3612</v>
      </c>
      <c r="F3751" s="6">
        <v>70</v>
      </c>
      <c r="G3751" s="6">
        <f t="shared" si="191"/>
        <v>70</v>
      </c>
      <c r="H3751" s="6">
        <v>70</v>
      </c>
      <c r="I3751" s="26">
        <f t="shared" si="192"/>
        <v>0</v>
      </c>
      <c r="J3751" s="7" t="str">
        <f t="shared" si="193"/>
        <v>PAGADO</v>
      </c>
    </row>
    <row r="3752" spans="1:10" x14ac:dyDescent="0.25">
      <c r="A3752">
        <v>2025</v>
      </c>
      <c r="C3752" s="9" t="s">
        <v>3613</v>
      </c>
      <c r="D3752" s="9" t="s">
        <v>3449</v>
      </c>
      <c r="F3752" s="6">
        <v>40</v>
      </c>
      <c r="G3752" s="6">
        <f t="shared" si="191"/>
        <v>40</v>
      </c>
      <c r="H3752" s="6">
        <v>40</v>
      </c>
      <c r="I3752" s="26">
        <f t="shared" si="192"/>
        <v>0</v>
      </c>
      <c r="J3752" s="7" t="str">
        <f t="shared" si="193"/>
        <v>PAGADO</v>
      </c>
    </row>
    <row r="3753" spans="1:10" x14ac:dyDescent="0.25">
      <c r="A3753">
        <v>2025</v>
      </c>
      <c r="C3753" s="9" t="s">
        <v>3614</v>
      </c>
      <c r="D3753" s="9" t="s">
        <v>3449</v>
      </c>
      <c r="F3753" s="6">
        <v>40</v>
      </c>
      <c r="G3753" s="6">
        <f t="shared" si="191"/>
        <v>40</v>
      </c>
      <c r="H3753" s="6">
        <v>40</v>
      </c>
      <c r="I3753" s="26">
        <f t="shared" si="192"/>
        <v>0</v>
      </c>
      <c r="J3753" s="7" t="str">
        <f t="shared" si="193"/>
        <v>PAGADO</v>
      </c>
    </row>
    <row r="3754" spans="1:10" x14ac:dyDescent="0.25">
      <c r="A3754">
        <v>2025</v>
      </c>
      <c r="C3754" s="9" t="s">
        <v>3615</v>
      </c>
      <c r="D3754" s="9" t="s">
        <v>3449</v>
      </c>
      <c r="F3754" s="6">
        <v>50</v>
      </c>
      <c r="G3754" s="6">
        <f t="shared" si="191"/>
        <v>50</v>
      </c>
      <c r="H3754" s="6">
        <v>50</v>
      </c>
      <c r="I3754" s="26">
        <f t="shared" si="192"/>
        <v>0</v>
      </c>
      <c r="J3754" s="7" t="str">
        <f t="shared" si="193"/>
        <v>PAGADO</v>
      </c>
    </row>
    <row r="3755" spans="1:10" x14ac:dyDescent="0.25">
      <c r="A3755">
        <v>2025</v>
      </c>
      <c r="C3755" s="9" t="s">
        <v>3616</v>
      </c>
      <c r="D3755" s="9" t="s">
        <v>3617</v>
      </c>
      <c r="F3755" s="6">
        <v>45</v>
      </c>
      <c r="G3755" s="6">
        <f t="shared" si="191"/>
        <v>45</v>
      </c>
      <c r="H3755" s="6">
        <v>45</v>
      </c>
      <c r="I3755" s="26">
        <f t="shared" si="192"/>
        <v>0</v>
      </c>
      <c r="J3755" s="7" t="str">
        <f t="shared" si="193"/>
        <v>PAGADO</v>
      </c>
    </row>
    <row r="3756" spans="1:10" x14ac:dyDescent="0.25">
      <c r="A3756">
        <v>2025</v>
      </c>
      <c r="C3756" s="9" t="s">
        <v>3344</v>
      </c>
      <c r="D3756" s="9" t="s">
        <v>2213</v>
      </c>
      <c r="F3756" s="6">
        <v>60</v>
      </c>
      <c r="G3756" s="6">
        <f t="shared" si="191"/>
        <v>60</v>
      </c>
      <c r="H3756" s="6">
        <v>60</v>
      </c>
      <c r="I3756" s="26">
        <f t="shared" si="192"/>
        <v>0</v>
      </c>
      <c r="J3756" s="7" t="str">
        <f t="shared" si="193"/>
        <v>PAGADO</v>
      </c>
    </row>
    <row r="3757" spans="1:10" x14ac:dyDescent="0.25">
      <c r="A3757">
        <v>2025</v>
      </c>
      <c r="C3757" s="9" t="s">
        <v>3552</v>
      </c>
      <c r="D3757" s="9" t="s">
        <v>2213</v>
      </c>
      <c r="F3757" s="6">
        <v>80</v>
      </c>
      <c r="G3757" s="6">
        <f t="shared" si="191"/>
        <v>80</v>
      </c>
      <c r="H3757" s="6">
        <v>80</v>
      </c>
      <c r="I3757" s="26">
        <f t="shared" si="192"/>
        <v>0</v>
      </c>
      <c r="J3757" s="7" t="str">
        <f t="shared" si="193"/>
        <v>PAGADO</v>
      </c>
    </row>
    <row r="3758" spans="1:10" x14ac:dyDescent="0.25">
      <c r="A3758">
        <v>2025</v>
      </c>
      <c r="C3758" s="9" t="s">
        <v>3618</v>
      </c>
      <c r="D3758" s="9" t="s">
        <v>2213</v>
      </c>
      <c r="F3758" s="6">
        <v>90</v>
      </c>
      <c r="G3758" s="6">
        <f t="shared" si="191"/>
        <v>90</v>
      </c>
      <c r="H3758" s="6">
        <v>90</v>
      </c>
      <c r="I3758" s="26">
        <f t="shared" si="192"/>
        <v>0</v>
      </c>
      <c r="J3758" s="7" t="str">
        <f t="shared" si="193"/>
        <v>PAGADO</v>
      </c>
    </row>
    <row r="3759" spans="1:10" x14ac:dyDescent="0.25">
      <c r="A3759">
        <v>2025</v>
      </c>
      <c r="C3759" s="9" t="s">
        <v>2141</v>
      </c>
      <c r="D3759" s="9" t="s">
        <v>2213</v>
      </c>
      <c r="F3759" s="6">
        <v>70</v>
      </c>
      <c r="G3759" s="6">
        <f t="shared" si="191"/>
        <v>70</v>
      </c>
      <c r="H3759" s="6">
        <v>70</v>
      </c>
      <c r="I3759" s="26">
        <f t="shared" si="192"/>
        <v>0</v>
      </c>
      <c r="J3759" s="7" t="str">
        <f t="shared" si="193"/>
        <v>PAGADO</v>
      </c>
    </row>
    <row r="3760" spans="1:10" x14ac:dyDescent="0.25">
      <c r="A3760">
        <v>2025</v>
      </c>
      <c r="C3760" s="9" t="s">
        <v>3619</v>
      </c>
      <c r="D3760" s="9" t="s">
        <v>2213</v>
      </c>
      <c r="F3760" s="6">
        <v>60</v>
      </c>
      <c r="G3760" s="6">
        <f t="shared" si="191"/>
        <v>60</v>
      </c>
      <c r="H3760" s="6">
        <v>60</v>
      </c>
      <c r="I3760" s="26">
        <f t="shared" si="192"/>
        <v>0</v>
      </c>
      <c r="J3760" s="7" t="str">
        <f t="shared" si="193"/>
        <v>PAGADO</v>
      </c>
    </row>
    <row r="3761" spans="1:10" x14ac:dyDescent="0.25">
      <c r="A3761">
        <v>2025</v>
      </c>
      <c r="C3761" s="9" t="s">
        <v>3620</v>
      </c>
      <c r="D3761" s="9" t="s">
        <v>2213</v>
      </c>
      <c r="F3761" s="6">
        <v>60</v>
      </c>
      <c r="G3761" s="6">
        <f t="shared" si="191"/>
        <v>60</v>
      </c>
      <c r="H3761" s="6">
        <v>60</v>
      </c>
      <c r="I3761" s="26">
        <f t="shared" si="192"/>
        <v>0</v>
      </c>
      <c r="J3761" s="7" t="str">
        <f t="shared" si="193"/>
        <v>PAGADO</v>
      </c>
    </row>
    <row r="3762" spans="1:10" x14ac:dyDescent="0.25">
      <c r="A3762">
        <v>2025</v>
      </c>
      <c r="C3762" s="9" t="s">
        <v>2772</v>
      </c>
      <c r="D3762" s="9" t="s">
        <v>2213</v>
      </c>
      <c r="F3762" s="6">
        <v>60</v>
      </c>
      <c r="G3762" s="6">
        <f t="shared" si="191"/>
        <v>60</v>
      </c>
      <c r="H3762" s="6">
        <v>60</v>
      </c>
      <c r="I3762" s="26">
        <f t="shared" si="192"/>
        <v>0</v>
      </c>
      <c r="J3762" s="7" t="str">
        <f t="shared" si="193"/>
        <v>PAGADO</v>
      </c>
    </row>
    <row r="3763" spans="1:10" x14ac:dyDescent="0.25">
      <c r="A3763">
        <v>2025</v>
      </c>
      <c r="C3763" s="9" t="s">
        <v>3621</v>
      </c>
      <c r="D3763" s="9" t="s">
        <v>2213</v>
      </c>
      <c r="F3763" s="6">
        <v>170</v>
      </c>
      <c r="G3763" s="6">
        <f t="shared" si="191"/>
        <v>170</v>
      </c>
      <c r="H3763" s="6">
        <v>170</v>
      </c>
      <c r="I3763" s="26">
        <f t="shared" si="192"/>
        <v>0</v>
      </c>
      <c r="J3763" s="7" t="str">
        <f t="shared" si="193"/>
        <v>PAGADO</v>
      </c>
    </row>
    <row r="3764" spans="1:10" x14ac:dyDescent="0.25">
      <c r="A3764">
        <v>2025</v>
      </c>
      <c r="C3764" s="9" t="s">
        <v>3622</v>
      </c>
      <c r="D3764" s="9" t="s">
        <v>3549</v>
      </c>
      <c r="F3764" s="6">
        <v>45</v>
      </c>
      <c r="G3764" s="6">
        <f t="shared" si="191"/>
        <v>45</v>
      </c>
      <c r="H3764" s="6">
        <v>45</v>
      </c>
      <c r="I3764" s="26">
        <f t="shared" si="192"/>
        <v>0</v>
      </c>
      <c r="J3764" s="7" t="str">
        <f t="shared" si="193"/>
        <v>PAGADO</v>
      </c>
    </row>
    <row r="3765" spans="1:10" x14ac:dyDescent="0.25">
      <c r="A3765">
        <v>2025</v>
      </c>
      <c r="C3765" t="s">
        <v>3623</v>
      </c>
      <c r="D3765" s="9" t="s">
        <v>3511</v>
      </c>
      <c r="F3765" s="16">
        <v>70</v>
      </c>
      <c r="G3765" s="16">
        <f t="shared" si="191"/>
        <v>70</v>
      </c>
      <c r="H3765" s="16">
        <v>70</v>
      </c>
      <c r="I3765" s="16">
        <f t="shared" si="192"/>
        <v>0</v>
      </c>
      <c r="J3765" s="7" t="str">
        <f t="shared" si="193"/>
        <v>PAGADO</v>
      </c>
    </row>
    <row r="3766" spans="1:10" x14ac:dyDescent="0.25">
      <c r="A3766">
        <v>2025</v>
      </c>
      <c r="C3766" t="s">
        <v>3624</v>
      </c>
      <c r="D3766" s="9" t="s">
        <v>3511</v>
      </c>
      <c r="F3766" s="6">
        <v>60</v>
      </c>
      <c r="G3766" s="6">
        <f t="shared" si="191"/>
        <v>60</v>
      </c>
      <c r="H3766" s="6">
        <v>60</v>
      </c>
      <c r="I3766" s="26">
        <f t="shared" si="192"/>
        <v>0</v>
      </c>
      <c r="J3766" s="7" t="str">
        <f t="shared" si="193"/>
        <v>PAGADO</v>
      </c>
    </row>
    <row r="3767" spans="1:10" x14ac:dyDescent="0.25">
      <c r="A3767">
        <v>2025</v>
      </c>
      <c r="C3767" t="s">
        <v>3025</v>
      </c>
      <c r="D3767" s="9" t="s">
        <v>3511</v>
      </c>
      <c r="F3767" s="6">
        <v>70</v>
      </c>
      <c r="G3767" s="6">
        <f t="shared" si="191"/>
        <v>70</v>
      </c>
      <c r="H3767" s="6">
        <v>70</v>
      </c>
      <c r="I3767" s="26">
        <f t="shared" si="192"/>
        <v>0</v>
      </c>
      <c r="J3767" s="7" t="str">
        <f t="shared" si="193"/>
        <v>PAGADO</v>
      </c>
    </row>
    <row r="3768" spans="1:10" x14ac:dyDescent="0.25">
      <c r="A3768">
        <v>2025</v>
      </c>
      <c r="C3768" t="s">
        <v>3625</v>
      </c>
      <c r="D3768" s="9" t="s">
        <v>3511</v>
      </c>
      <c r="F3768" s="6">
        <v>60</v>
      </c>
      <c r="G3768" s="6">
        <f t="shared" si="191"/>
        <v>60</v>
      </c>
      <c r="H3768" s="6">
        <v>60</v>
      </c>
      <c r="I3768" s="26">
        <f t="shared" si="192"/>
        <v>0</v>
      </c>
      <c r="J3768" s="7" t="str">
        <f t="shared" si="193"/>
        <v>PAGADO</v>
      </c>
    </row>
    <row r="3769" spans="1:10" x14ac:dyDescent="0.25">
      <c r="A3769">
        <v>2025</v>
      </c>
      <c r="C3769" t="s">
        <v>3626</v>
      </c>
      <c r="D3769" s="9" t="s">
        <v>3511</v>
      </c>
      <c r="F3769" s="6">
        <v>60</v>
      </c>
      <c r="G3769" s="6">
        <f t="shared" si="191"/>
        <v>60</v>
      </c>
      <c r="H3769" s="6">
        <v>60</v>
      </c>
      <c r="I3769" s="26">
        <f t="shared" si="192"/>
        <v>0</v>
      </c>
      <c r="J3769" s="7" t="str">
        <f t="shared" si="193"/>
        <v>PAGADO</v>
      </c>
    </row>
    <row r="3770" spans="1:10" x14ac:dyDescent="0.25">
      <c r="A3770">
        <v>2025</v>
      </c>
      <c r="C3770" t="s">
        <v>3627</v>
      </c>
      <c r="D3770" s="9" t="s">
        <v>3511</v>
      </c>
      <c r="F3770" s="6">
        <v>40</v>
      </c>
      <c r="G3770" s="6">
        <f t="shared" si="191"/>
        <v>40</v>
      </c>
      <c r="H3770" s="6">
        <v>40</v>
      </c>
      <c r="I3770" s="26">
        <f t="shared" si="192"/>
        <v>0</v>
      </c>
      <c r="J3770" s="7" t="str">
        <f t="shared" si="193"/>
        <v>PAGADO</v>
      </c>
    </row>
    <row r="3771" spans="1:10" x14ac:dyDescent="0.25">
      <c r="A3771">
        <v>2025</v>
      </c>
      <c r="C3771" t="s">
        <v>3628</v>
      </c>
      <c r="D3771" s="9" t="s">
        <v>3511</v>
      </c>
      <c r="F3771" s="6">
        <v>60</v>
      </c>
      <c r="G3771" s="6">
        <f t="shared" si="191"/>
        <v>60</v>
      </c>
      <c r="H3771" s="6">
        <v>60</v>
      </c>
      <c r="I3771" s="26">
        <f t="shared" si="192"/>
        <v>0</v>
      </c>
      <c r="J3771" s="7" t="str">
        <f t="shared" si="193"/>
        <v>PAGADO</v>
      </c>
    </row>
    <row r="3772" spans="1:10" x14ac:dyDescent="0.25">
      <c r="A3772">
        <v>2025</v>
      </c>
      <c r="C3772" t="s">
        <v>3629</v>
      </c>
      <c r="D3772" s="9" t="s">
        <v>3511</v>
      </c>
      <c r="F3772" s="6">
        <v>50</v>
      </c>
      <c r="G3772" s="6">
        <f t="shared" si="191"/>
        <v>50</v>
      </c>
      <c r="H3772" s="6">
        <v>50</v>
      </c>
      <c r="I3772" s="26">
        <f t="shared" si="192"/>
        <v>0</v>
      </c>
      <c r="J3772" s="7" t="str">
        <f t="shared" si="193"/>
        <v>PAGADO</v>
      </c>
    </row>
    <row r="3773" spans="1:10" x14ac:dyDescent="0.25">
      <c r="A3773">
        <v>2025</v>
      </c>
      <c r="C3773" t="s">
        <v>3630</v>
      </c>
      <c r="D3773" s="9" t="s">
        <v>3511</v>
      </c>
      <c r="F3773" s="6">
        <v>50</v>
      </c>
      <c r="G3773" s="6">
        <f t="shared" si="191"/>
        <v>50</v>
      </c>
      <c r="H3773" s="6">
        <v>50</v>
      </c>
      <c r="I3773" s="26">
        <f t="shared" si="192"/>
        <v>0</v>
      </c>
      <c r="J3773" s="7" t="str">
        <f t="shared" si="193"/>
        <v>PAGADO</v>
      </c>
    </row>
    <row r="3774" spans="1:10" x14ac:dyDescent="0.25">
      <c r="A3774">
        <v>2025</v>
      </c>
      <c r="C3774" t="s">
        <v>3631</v>
      </c>
      <c r="D3774" s="9" t="s">
        <v>3511</v>
      </c>
      <c r="F3774" s="6">
        <v>50</v>
      </c>
      <c r="G3774" s="6">
        <f t="shared" ref="G3774:G3837" si="194">F3774-E3774</f>
        <v>50</v>
      </c>
      <c r="H3774" s="6">
        <v>50</v>
      </c>
      <c r="I3774" s="26">
        <f t="shared" si="192"/>
        <v>0</v>
      </c>
      <c r="J3774" s="7" t="str">
        <f t="shared" si="193"/>
        <v>PAGADO</v>
      </c>
    </row>
    <row r="3775" spans="1:10" x14ac:dyDescent="0.25">
      <c r="A3775">
        <v>2025</v>
      </c>
      <c r="C3775" t="s">
        <v>3632</v>
      </c>
      <c r="D3775" s="9" t="s">
        <v>3511</v>
      </c>
      <c r="F3775" s="6">
        <v>60</v>
      </c>
      <c r="G3775" s="6">
        <f t="shared" si="194"/>
        <v>60</v>
      </c>
      <c r="H3775" s="6">
        <v>60</v>
      </c>
      <c r="I3775" s="26">
        <f t="shared" si="192"/>
        <v>0</v>
      </c>
      <c r="J3775" s="7" t="str">
        <f t="shared" si="193"/>
        <v>PAGADO</v>
      </c>
    </row>
    <row r="3776" spans="1:10" x14ac:dyDescent="0.25">
      <c r="A3776">
        <v>2025</v>
      </c>
      <c r="C3776" t="s">
        <v>3633</v>
      </c>
      <c r="D3776" s="9" t="s">
        <v>3511</v>
      </c>
      <c r="F3776" s="6">
        <v>60</v>
      </c>
      <c r="G3776" s="6">
        <f t="shared" si="194"/>
        <v>60</v>
      </c>
      <c r="H3776" s="6">
        <v>60</v>
      </c>
      <c r="I3776" s="26">
        <f t="shared" si="192"/>
        <v>0</v>
      </c>
      <c r="J3776" s="7" t="str">
        <f t="shared" si="193"/>
        <v>PAGADO</v>
      </c>
    </row>
    <row r="3777" spans="1:11" x14ac:dyDescent="0.25">
      <c r="A3777">
        <v>2025</v>
      </c>
      <c r="C3777" t="s">
        <v>3634</v>
      </c>
      <c r="D3777" s="9" t="s">
        <v>3511</v>
      </c>
      <c r="F3777" s="6">
        <v>60</v>
      </c>
      <c r="G3777" s="6">
        <f t="shared" si="194"/>
        <v>60</v>
      </c>
      <c r="H3777" s="6">
        <v>60</v>
      </c>
      <c r="I3777" s="26">
        <f t="shared" si="192"/>
        <v>0</v>
      </c>
      <c r="J3777" s="7" t="str">
        <f t="shared" si="193"/>
        <v>PAGADO</v>
      </c>
    </row>
    <row r="3778" spans="1:11" x14ac:dyDescent="0.25">
      <c r="A3778">
        <v>2025</v>
      </c>
      <c r="C3778" t="s">
        <v>3635</v>
      </c>
      <c r="D3778" s="9" t="s">
        <v>3511</v>
      </c>
      <c r="F3778" s="6">
        <v>50</v>
      </c>
      <c r="G3778" s="6">
        <f t="shared" si="194"/>
        <v>50</v>
      </c>
      <c r="H3778" s="6">
        <v>50</v>
      </c>
      <c r="I3778" s="26">
        <f t="shared" si="192"/>
        <v>0</v>
      </c>
      <c r="J3778" s="7" t="str">
        <f t="shared" si="193"/>
        <v>PAGADO</v>
      </c>
    </row>
    <row r="3779" spans="1:11" x14ac:dyDescent="0.25">
      <c r="A3779">
        <v>2025</v>
      </c>
      <c r="C3779" s="9" t="s">
        <v>3636</v>
      </c>
      <c r="D3779" s="9" t="s">
        <v>3376</v>
      </c>
      <c r="F3779" s="6">
        <v>60</v>
      </c>
      <c r="G3779" s="6">
        <f t="shared" si="194"/>
        <v>60</v>
      </c>
      <c r="H3779" s="6">
        <v>60</v>
      </c>
      <c r="I3779" s="26">
        <f t="shared" si="192"/>
        <v>0</v>
      </c>
      <c r="J3779" s="7" t="str">
        <f t="shared" si="193"/>
        <v>PAGADO</v>
      </c>
      <c r="K3779" s="33" t="s">
        <v>2479</v>
      </c>
    </row>
    <row r="3780" spans="1:11" x14ac:dyDescent="0.25">
      <c r="A3780">
        <v>2025</v>
      </c>
      <c r="C3780" s="9" t="s">
        <v>3637</v>
      </c>
      <c r="D3780" s="9" t="s">
        <v>2906</v>
      </c>
      <c r="F3780" s="6">
        <v>80</v>
      </c>
      <c r="G3780" s="6">
        <f t="shared" si="194"/>
        <v>80</v>
      </c>
      <c r="H3780" s="6">
        <f>40+40</f>
        <v>80</v>
      </c>
      <c r="I3780" s="26">
        <f t="shared" si="192"/>
        <v>0</v>
      </c>
      <c r="J3780" s="7" t="str">
        <f t="shared" si="193"/>
        <v>PAGADO</v>
      </c>
    </row>
    <row r="3781" spans="1:11" x14ac:dyDescent="0.25">
      <c r="A3781">
        <v>2025</v>
      </c>
      <c r="C3781" s="9" t="s">
        <v>3638</v>
      </c>
      <c r="D3781" s="9" t="s">
        <v>3549</v>
      </c>
      <c r="F3781" s="6">
        <v>50</v>
      </c>
      <c r="G3781" s="6">
        <f t="shared" si="194"/>
        <v>50</v>
      </c>
      <c r="H3781" s="6">
        <v>50</v>
      </c>
      <c r="I3781" s="26">
        <f t="shared" si="192"/>
        <v>0</v>
      </c>
      <c r="J3781" s="7" t="str">
        <f t="shared" si="193"/>
        <v>PAGADO</v>
      </c>
    </row>
    <row r="3782" spans="1:11" x14ac:dyDescent="0.25">
      <c r="A3782">
        <v>2025</v>
      </c>
      <c r="C3782" s="9" t="s">
        <v>3639</v>
      </c>
      <c r="D3782" s="9" t="s">
        <v>3549</v>
      </c>
      <c r="F3782" s="6">
        <v>50</v>
      </c>
      <c r="G3782" s="6">
        <f t="shared" si="194"/>
        <v>50</v>
      </c>
      <c r="H3782" s="6">
        <v>50</v>
      </c>
      <c r="I3782" s="26">
        <f t="shared" si="192"/>
        <v>0</v>
      </c>
      <c r="J3782" s="7" t="str">
        <f t="shared" si="193"/>
        <v>PAGADO</v>
      </c>
    </row>
    <row r="3783" spans="1:11" x14ac:dyDescent="0.25">
      <c r="A3783">
        <v>2025</v>
      </c>
      <c r="C3783" s="9" t="s">
        <v>3640</v>
      </c>
      <c r="D3783" s="9" t="s">
        <v>3641</v>
      </c>
      <c r="F3783" s="6">
        <v>60</v>
      </c>
      <c r="G3783" s="6">
        <f t="shared" si="194"/>
        <v>60</v>
      </c>
      <c r="H3783" s="6">
        <f>20+40</f>
        <v>60</v>
      </c>
      <c r="I3783" s="26">
        <f t="shared" si="192"/>
        <v>0</v>
      </c>
      <c r="J3783" s="7" t="str">
        <f t="shared" si="193"/>
        <v>PAGADO</v>
      </c>
    </row>
    <row r="3784" spans="1:11" x14ac:dyDescent="0.25">
      <c r="A3784">
        <v>2025</v>
      </c>
      <c r="C3784" s="9" t="s">
        <v>3401</v>
      </c>
      <c r="D3784" s="9" t="s">
        <v>2969</v>
      </c>
      <c r="F3784" s="6">
        <v>60</v>
      </c>
      <c r="G3784" s="6">
        <f t="shared" si="194"/>
        <v>60</v>
      </c>
      <c r="H3784" s="6">
        <f>30+30</f>
        <v>60</v>
      </c>
      <c r="I3784" s="26">
        <f t="shared" si="192"/>
        <v>0</v>
      </c>
      <c r="J3784" s="7" t="str">
        <f t="shared" si="193"/>
        <v>PAGADO</v>
      </c>
      <c r="K3784" s="33" t="s">
        <v>1815</v>
      </c>
    </row>
    <row r="3785" spans="1:11" x14ac:dyDescent="0.25">
      <c r="A3785">
        <v>2025</v>
      </c>
      <c r="C3785" s="9" t="s">
        <v>3642</v>
      </c>
      <c r="D3785" t="s">
        <v>3038</v>
      </c>
      <c r="F3785" s="6">
        <v>435</v>
      </c>
      <c r="G3785" s="6">
        <f t="shared" si="194"/>
        <v>435</v>
      </c>
      <c r="H3785" s="6">
        <f>40+395</f>
        <v>435</v>
      </c>
      <c r="I3785" s="26">
        <f t="shared" si="192"/>
        <v>0</v>
      </c>
      <c r="J3785" s="7" t="str">
        <f t="shared" si="193"/>
        <v>PAGADO</v>
      </c>
    </row>
    <row r="3786" spans="1:11" x14ac:dyDescent="0.25">
      <c r="A3786">
        <v>2025</v>
      </c>
      <c r="C3786" s="9" t="s">
        <v>1699</v>
      </c>
      <c r="D3786" t="s">
        <v>3643</v>
      </c>
      <c r="F3786" s="6">
        <v>120</v>
      </c>
      <c r="G3786" s="6">
        <f t="shared" si="194"/>
        <v>120</v>
      </c>
      <c r="H3786" s="6">
        <v>120</v>
      </c>
      <c r="I3786" s="26">
        <f t="shared" si="192"/>
        <v>0</v>
      </c>
      <c r="J3786" s="7" t="str">
        <f t="shared" si="193"/>
        <v>PAGADO</v>
      </c>
    </row>
    <row r="3787" spans="1:11" x14ac:dyDescent="0.25">
      <c r="A3787">
        <v>2025</v>
      </c>
      <c r="C3787" s="9" t="s">
        <v>3644</v>
      </c>
      <c r="D3787" s="9" t="s">
        <v>431</v>
      </c>
      <c r="F3787" s="6">
        <v>40</v>
      </c>
      <c r="G3787" s="6">
        <f t="shared" si="194"/>
        <v>40</v>
      </c>
      <c r="H3787" s="6">
        <v>40</v>
      </c>
      <c r="I3787" s="6">
        <f t="shared" si="192"/>
        <v>0</v>
      </c>
      <c r="J3787" s="7" t="str">
        <f t="shared" si="193"/>
        <v>PAGADO</v>
      </c>
    </row>
    <row r="3788" spans="1:11" x14ac:dyDescent="0.25">
      <c r="A3788">
        <v>2025</v>
      </c>
      <c r="C3788" s="9" t="s">
        <v>3645</v>
      </c>
      <c r="D3788" s="9" t="s">
        <v>488</v>
      </c>
      <c r="F3788" s="6">
        <f>375+375</f>
        <v>750</v>
      </c>
      <c r="G3788" s="6">
        <f t="shared" si="194"/>
        <v>750</v>
      </c>
      <c r="H3788" s="6">
        <v>750</v>
      </c>
      <c r="I3788" s="6">
        <f t="shared" si="192"/>
        <v>0</v>
      </c>
      <c r="J3788" s="7" t="str">
        <f t="shared" si="193"/>
        <v>PAGADO</v>
      </c>
      <c r="K3788" s="33" t="s">
        <v>2479</v>
      </c>
    </row>
    <row r="3789" spans="1:11" x14ac:dyDescent="0.25">
      <c r="A3789">
        <v>2025</v>
      </c>
      <c r="C3789" t="s">
        <v>3646</v>
      </c>
      <c r="D3789" s="9" t="s">
        <v>3579</v>
      </c>
      <c r="F3789" s="6">
        <v>60</v>
      </c>
      <c r="G3789" s="6">
        <f t="shared" si="194"/>
        <v>60</v>
      </c>
      <c r="H3789" s="6">
        <v>60</v>
      </c>
      <c r="I3789" s="26">
        <f t="shared" si="192"/>
        <v>0</v>
      </c>
      <c r="J3789" s="7" t="str">
        <f t="shared" si="193"/>
        <v>PAGADO</v>
      </c>
    </row>
    <row r="3790" spans="1:11" x14ac:dyDescent="0.25">
      <c r="A3790">
        <v>2025</v>
      </c>
      <c r="C3790" t="s">
        <v>3647</v>
      </c>
      <c r="D3790" s="9" t="s">
        <v>3579</v>
      </c>
      <c r="F3790" s="6">
        <v>65</v>
      </c>
      <c r="G3790" s="6">
        <f t="shared" si="194"/>
        <v>65</v>
      </c>
      <c r="H3790" s="6">
        <v>65</v>
      </c>
      <c r="I3790" s="26">
        <f t="shared" si="192"/>
        <v>0</v>
      </c>
      <c r="J3790" s="7" t="str">
        <f t="shared" si="193"/>
        <v>PAGADO</v>
      </c>
    </row>
    <row r="3791" spans="1:11" x14ac:dyDescent="0.25">
      <c r="A3791">
        <v>2025</v>
      </c>
      <c r="C3791" s="9" t="s">
        <v>3648</v>
      </c>
      <c r="D3791" s="9" t="s">
        <v>2548</v>
      </c>
      <c r="F3791" s="6">
        <v>80</v>
      </c>
      <c r="G3791" s="6">
        <f t="shared" si="194"/>
        <v>80</v>
      </c>
      <c r="H3791" s="6">
        <v>80</v>
      </c>
      <c r="I3791" s="26">
        <f t="shared" si="192"/>
        <v>0</v>
      </c>
      <c r="J3791" s="7" t="str">
        <f t="shared" si="193"/>
        <v>PAGADO</v>
      </c>
    </row>
    <row r="3792" spans="1:11" x14ac:dyDescent="0.25">
      <c r="A3792">
        <v>2025</v>
      </c>
      <c r="C3792" s="9" t="s">
        <v>3649</v>
      </c>
      <c r="D3792" s="9" t="s">
        <v>3650</v>
      </c>
      <c r="F3792" s="6">
        <v>250</v>
      </c>
      <c r="G3792" s="6">
        <f t="shared" si="194"/>
        <v>250</v>
      </c>
      <c r="H3792" s="6">
        <v>250</v>
      </c>
      <c r="I3792" s="26">
        <f t="shared" si="192"/>
        <v>0</v>
      </c>
      <c r="J3792" s="7" t="str">
        <f t="shared" si="193"/>
        <v>PAGADO</v>
      </c>
    </row>
    <row r="3793" spans="1:11" x14ac:dyDescent="0.25">
      <c r="A3793">
        <v>2025</v>
      </c>
      <c r="C3793" t="s">
        <v>3651</v>
      </c>
      <c r="D3793" t="s">
        <v>3143</v>
      </c>
      <c r="F3793" s="6">
        <v>50</v>
      </c>
      <c r="G3793" s="6">
        <f t="shared" si="194"/>
        <v>50</v>
      </c>
      <c r="H3793" s="6">
        <v>50</v>
      </c>
      <c r="I3793" s="26">
        <f t="shared" si="192"/>
        <v>0</v>
      </c>
      <c r="J3793" s="7" t="str">
        <f t="shared" si="193"/>
        <v>PAGADO</v>
      </c>
      <c r="K3793" t="s">
        <v>1823</v>
      </c>
    </row>
    <row r="3794" spans="1:11" x14ac:dyDescent="0.25">
      <c r="A3794">
        <v>2025</v>
      </c>
      <c r="C3794" t="s">
        <v>3652</v>
      </c>
      <c r="D3794" t="s">
        <v>3653</v>
      </c>
      <c r="F3794" s="6">
        <v>200</v>
      </c>
      <c r="G3794" s="6">
        <f t="shared" si="194"/>
        <v>200</v>
      </c>
      <c r="H3794" s="6">
        <f>100+100</f>
        <v>200</v>
      </c>
      <c r="I3794" s="26">
        <f t="shared" ref="I3794:I3857" si="195">F3794-H3794</f>
        <v>0</v>
      </c>
      <c r="J3794" s="7" t="str">
        <f t="shared" si="193"/>
        <v>PAGADO</v>
      </c>
    </row>
    <row r="3795" spans="1:11" x14ac:dyDescent="0.25">
      <c r="A3795">
        <v>2025</v>
      </c>
      <c r="C3795" s="9" t="s">
        <v>3654</v>
      </c>
      <c r="D3795" s="9" t="s">
        <v>2360</v>
      </c>
      <c r="F3795" s="6">
        <v>20</v>
      </c>
      <c r="G3795" s="6">
        <f t="shared" si="194"/>
        <v>20</v>
      </c>
      <c r="H3795" s="6">
        <v>20</v>
      </c>
      <c r="I3795" s="26">
        <f t="shared" si="195"/>
        <v>0</v>
      </c>
      <c r="J3795" s="7" t="str">
        <f t="shared" si="193"/>
        <v>PAGADO</v>
      </c>
    </row>
    <row r="3796" spans="1:11" x14ac:dyDescent="0.25">
      <c r="A3796">
        <v>2025</v>
      </c>
      <c r="C3796" s="9" t="s">
        <v>3655</v>
      </c>
      <c r="D3796" s="9" t="s">
        <v>3656</v>
      </c>
      <c r="F3796" s="6">
        <v>1400</v>
      </c>
      <c r="G3796" s="6">
        <f t="shared" si="194"/>
        <v>1400</v>
      </c>
      <c r="H3796" s="6">
        <v>1400</v>
      </c>
      <c r="I3796" s="26">
        <f t="shared" si="195"/>
        <v>0</v>
      </c>
      <c r="J3796" s="7" t="str">
        <f t="shared" si="193"/>
        <v>PAGADO</v>
      </c>
    </row>
    <row r="3797" spans="1:11" x14ac:dyDescent="0.25">
      <c r="A3797">
        <v>2025</v>
      </c>
      <c r="C3797" s="9" t="s">
        <v>2688</v>
      </c>
      <c r="D3797" s="9" t="s">
        <v>3656</v>
      </c>
      <c r="F3797" s="6">
        <v>50</v>
      </c>
      <c r="G3797" s="6">
        <f t="shared" si="194"/>
        <v>50</v>
      </c>
      <c r="H3797" s="6">
        <v>50</v>
      </c>
      <c r="I3797" s="26">
        <f t="shared" si="195"/>
        <v>0</v>
      </c>
      <c r="J3797" s="7" t="str">
        <f t="shared" si="193"/>
        <v>PAGADO</v>
      </c>
    </row>
    <row r="3798" spans="1:11" x14ac:dyDescent="0.25">
      <c r="A3798">
        <v>2025</v>
      </c>
      <c r="C3798" s="9" t="s">
        <v>3657</v>
      </c>
      <c r="D3798" s="9" t="s">
        <v>3656</v>
      </c>
      <c r="F3798" s="6">
        <v>200</v>
      </c>
      <c r="G3798" s="6">
        <f t="shared" si="194"/>
        <v>200</v>
      </c>
      <c r="H3798" s="6">
        <v>200</v>
      </c>
      <c r="I3798" s="26">
        <f t="shared" si="195"/>
        <v>0</v>
      </c>
      <c r="J3798" s="7" t="str">
        <f t="shared" si="193"/>
        <v>PAGADO</v>
      </c>
    </row>
    <row r="3799" spans="1:11" x14ac:dyDescent="0.25">
      <c r="A3799">
        <v>2025</v>
      </c>
      <c r="C3799" t="s">
        <v>3257</v>
      </c>
      <c r="D3799" t="s">
        <v>3570</v>
      </c>
      <c r="F3799" s="6">
        <v>320</v>
      </c>
      <c r="G3799" s="6">
        <f t="shared" si="194"/>
        <v>320</v>
      </c>
      <c r="H3799" s="6">
        <f>170+150</f>
        <v>320</v>
      </c>
      <c r="I3799" s="26">
        <f t="shared" si="195"/>
        <v>0</v>
      </c>
      <c r="J3799" s="7" t="str">
        <f t="shared" si="193"/>
        <v>PAGADO</v>
      </c>
      <c r="K3799" s="33" t="s">
        <v>2640</v>
      </c>
    </row>
    <row r="3800" spans="1:11" x14ac:dyDescent="0.25">
      <c r="A3800">
        <v>2025</v>
      </c>
      <c r="C3800" t="s">
        <v>3504</v>
      </c>
      <c r="D3800" t="s">
        <v>3658</v>
      </c>
      <c r="F3800" s="6">
        <v>150</v>
      </c>
      <c r="G3800" s="6">
        <f t="shared" si="194"/>
        <v>150</v>
      </c>
      <c r="H3800" s="6">
        <v>150</v>
      </c>
      <c r="I3800" s="26">
        <f t="shared" si="195"/>
        <v>0</v>
      </c>
      <c r="J3800" s="7" t="str">
        <f t="shared" si="193"/>
        <v>PAGADO</v>
      </c>
    </row>
    <row r="3801" spans="1:11" x14ac:dyDescent="0.25">
      <c r="A3801">
        <v>2025</v>
      </c>
      <c r="C3801" t="s">
        <v>3659</v>
      </c>
      <c r="D3801" t="s">
        <v>3658</v>
      </c>
      <c r="F3801" s="6">
        <v>60</v>
      </c>
      <c r="G3801" s="6">
        <f t="shared" si="194"/>
        <v>60</v>
      </c>
      <c r="H3801" s="6">
        <v>60</v>
      </c>
      <c r="I3801" s="26">
        <f t="shared" si="195"/>
        <v>0</v>
      </c>
      <c r="J3801" s="7" t="str">
        <f t="shared" si="193"/>
        <v>PAGADO</v>
      </c>
    </row>
    <row r="3802" spans="1:11" x14ac:dyDescent="0.25">
      <c r="A3802">
        <v>2025</v>
      </c>
      <c r="C3802" s="9" t="s">
        <v>3660</v>
      </c>
      <c r="D3802" s="9" t="s">
        <v>74</v>
      </c>
      <c r="F3802" s="6">
        <v>75</v>
      </c>
      <c r="G3802" s="6">
        <f t="shared" si="194"/>
        <v>75</v>
      </c>
      <c r="H3802" s="6">
        <v>75</v>
      </c>
      <c r="I3802" s="26">
        <f t="shared" si="195"/>
        <v>0</v>
      </c>
      <c r="J3802" s="7" t="str">
        <f t="shared" si="193"/>
        <v>PAGADO</v>
      </c>
    </row>
    <row r="3803" spans="1:11" x14ac:dyDescent="0.25">
      <c r="A3803">
        <v>2025</v>
      </c>
      <c r="C3803" s="9" t="s">
        <v>3661</v>
      </c>
      <c r="D3803" s="9" t="s">
        <v>3662</v>
      </c>
      <c r="F3803" s="6">
        <v>70</v>
      </c>
      <c r="G3803" s="6">
        <f t="shared" si="194"/>
        <v>70</v>
      </c>
      <c r="H3803" s="6">
        <v>70</v>
      </c>
      <c r="I3803" s="26">
        <f t="shared" si="195"/>
        <v>0</v>
      </c>
      <c r="J3803" s="7" t="str">
        <f t="shared" si="193"/>
        <v>PAGADO</v>
      </c>
    </row>
    <row r="3804" spans="1:11" x14ac:dyDescent="0.25">
      <c r="A3804">
        <v>2025</v>
      </c>
      <c r="C3804" s="9" t="s">
        <v>3459</v>
      </c>
      <c r="D3804" s="9" t="s">
        <v>3662</v>
      </c>
      <c r="F3804" s="6">
        <v>70</v>
      </c>
      <c r="G3804" s="6">
        <f t="shared" si="194"/>
        <v>70</v>
      </c>
      <c r="H3804" s="6">
        <v>70</v>
      </c>
      <c r="I3804" s="26">
        <f t="shared" si="195"/>
        <v>0</v>
      </c>
      <c r="J3804" s="7" t="str">
        <f t="shared" si="193"/>
        <v>PAGADO</v>
      </c>
    </row>
    <row r="3805" spans="1:11" x14ac:dyDescent="0.25">
      <c r="A3805">
        <v>2025</v>
      </c>
      <c r="C3805" s="9" t="s">
        <v>3455</v>
      </c>
      <c r="D3805" s="9" t="s">
        <v>3663</v>
      </c>
      <c r="F3805" s="6">
        <v>225</v>
      </c>
      <c r="G3805" s="6">
        <f t="shared" si="194"/>
        <v>225</v>
      </c>
      <c r="H3805" s="6">
        <f>25+200</f>
        <v>225</v>
      </c>
      <c r="I3805" s="26">
        <f t="shared" si="195"/>
        <v>0</v>
      </c>
      <c r="J3805" s="7" t="str">
        <f t="shared" si="193"/>
        <v>PAGADO</v>
      </c>
    </row>
    <row r="3806" spans="1:11" x14ac:dyDescent="0.25">
      <c r="A3806">
        <v>2025</v>
      </c>
      <c r="C3806" s="9" t="s">
        <v>3664</v>
      </c>
      <c r="D3806" s="9" t="s">
        <v>816</v>
      </c>
      <c r="F3806" s="6">
        <v>55</v>
      </c>
      <c r="G3806" s="6">
        <f t="shared" si="194"/>
        <v>55</v>
      </c>
      <c r="H3806" s="6">
        <v>55</v>
      </c>
      <c r="I3806" s="26">
        <f t="shared" si="195"/>
        <v>0</v>
      </c>
      <c r="J3806" s="7" t="str">
        <f t="shared" si="193"/>
        <v>PAGADO</v>
      </c>
      <c r="K3806" t="s">
        <v>2714</v>
      </c>
    </row>
    <row r="3807" spans="1:11" x14ac:dyDescent="0.25">
      <c r="A3807">
        <v>2025</v>
      </c>
      <c r="C3807" s="9" t="s">
        <v>3665</v>
      </c>
      <c r="D3807" s="9" t="s">
        <v>3666</v>
      </c>
      <c r="F3807" s="6">
        <v>50</v>
      </c>
      <c r="G3807" s="6">
        <f t="shared" si="194"/>
        <v>50</v>
      </c>
      <c r="H3807" s="6">
        <v>50</v>
      </c>
      <c r="I3807" s="26">
        <f t="shared" si="195"/>
        <v>0</v>
      </c>
      <c r="J3807" s="7" t="str">
        <f t="shared" si="193"/>
        <v>PAGADO</v>
      </c>
    </row>
    <row r="3808" spans="1:11" x14ac:dyDescent="0.25">
      <c r="A3808">
        <v>2025</v>
      </c>
      <c r="C3808" s="9" t="s">
        <v>3667</v>
      </c>
      <c r="D3808" s="9" t="s">
        <v>3666</v>
      </c>
      <c r="F3808" s="6">
        <v>20</v>
      </c>
      <c r="G3808" s="6">
        <f t="shared" si="194"/>
        <v>20</v>
      </c>
      <c r="H3808" s="6">
        <v>20</v>
      </c>
      <c r="I3808" s="26">
        <f t="shared" si="195"/>
        <v>0</v>
      </c>
      <c r="J3808" s="7" t="str">
        <f t="shared" si="193"/>
        <v>PAGADO</v>
      </c>
    </row>
    <row r="3809" spans="1:11" x14ac:dyDescent="0.25">
      <c r="A3809">
        <v>2025</v>
      </c>
      <c r="C3809" s="9" t="s">
        <v>3668</v>
      </c>
      <c r="D3809" s="9" t="s">
        <v>3666</v>
      </c>
      <c r="F3809" s="6">
        <v>30</v>
      </c>
      <c r="G3809" s="6">
        <f t="shared" si="194"/>
        <v>30</v>
      </c>
      <c r="H3809" s="6">
        <v>30</v>
      </c>
      <c r="I3809" s="26">
        <f t="shared" si="195"/>
        <v>0</v>
      </c>
      <c r="J3809" s="7" t="str">
        <f t="shared" si="193"/>
        <v>PAGADO</v>
      </c>
    </row>
    <row r="3810" spans="1:11" x14ac:dyDescent="0.25">
      <c r="A3810">
        <v>2025</v>
      </c>
      <c r="C3810" s="9" t="s">
        <v>3669</v>
      </c>
      <c r="D3810" s="9" t="s">
        <v>3666</v>
      </c>
      <c r="F3810" s="6">
        <v>20</v>
      </c>
      <c r="G3810" s="6">
        <f t="shared" si="194"/>
        <v>20</v>
      </c>
      <c r="H3810" s="6">
        <v>20</v>
      </c>
      <c r="I3810" s="26">
        <f t="shared" si="195"/>
        <v>0</v>
      </c>
      <c r="J3810" s="7" t="str">
        <f t="shared" si="193"/>
        <v>PAGADO</v>
      </c>
    </row>
    <row r="3811" spans="1:11" x14ac:dyDescent="0.25">
      <c r="A3811">
        <v>2025</v>
      </c>
      <c r="C3811" s="9" t="s">
        <v>3670</v>
      </c>
      <c r="D3811" s="9" t="s">
        <v>3666</v>
      </c>
      <c r="F3811" s="6">
        <v>40</v>
      </c>
      <c r="G3811" s="6">
        <f t="shared" si="194"/>
        <v>40</v>
      </c>
      <c r="H3811" s="6">
        <v>40</v>
      </c>
      <c r="I3811" s="26">
        <f t="shared" si="195"/>
        <v>0</v>
      </c>
      <c r="J3811" s="7" t="str">
        <f t="shared" ref="J3811:J3874" si="196">IF(I3811&gt;0,"DEBE","PAGADO")</f>
        <v>PAGADO</v>
      </c>
    </row>
    <row r="3812" spans="1:11" x14ac:dyDescent="0.25">
      <c r="A3812">
        <v>2025</v>
      </c>
      <c r="C3812" s="9" t="s">
        <v>3671</v>
      </c>
      <c r="D3812" s="9" t="s">
        <v>3672</v>
      </c>
      <c r="F3812" s="6">
        <v>50</v>
      </c>
      <c r="G3812" s="6">
        <f t="shared" si="194"/>
        <v>50</v>
      </c>
      <c r="H3812" s="6">
        <v>50</v>
      </c>
      <c r="I3812" s="26">
        <f t="shared" si="195"/>
        <v>0</v>
      </c>
      <c r="J3812" s="7" t="str">
        <f t="shared" si="196"/>
        <v>PAGADO</v>
      </c>
    </row>
    <row r="3813" spans="1:11" x14ac:dyDescent="0.25">
      <c r="A3813">
        <v>2025</v>
      </c>
      <c r="C3813" s="9" t="s">
        <v>1515</v>
      </c>
      <c r="D3813" s="9" t="s">
        <v>3672</v>
      </c>
      <c r="F3813" s="6">
        <v>50</v>
      </c>
      <c r="G3813" s="6">
        <f t="shared" si="194"/>
        <v>50</v>
      </c>
      <c r="H3813" s="6">
        <v>50</v>
      </c>
      <c r="I3813" s="26">
        <f t="shared" si="195"/>
        <v>0</v>
      </c>
      <c r="J3813" s="7" t="str">
        <f t="shared" si="196"/>
        <v>PAGADO</v>
      </c>
    </row>
    <row r="3814" spans="1:11" x14ac:dyDescent="0.25">
      <c r="A3814">
        <v>2025</v>
      </c>
      <c r="C3814" s="9" t="s">
        <v>1517</v>
      </c>
      <c r="D3814" s="9" t="s">
        <v>3672</v>
      </c>
      <c r="F3814" s="6">
        <v>50</v>
      </c>
      <c r="G3814" s="6">
        <f t="shared" si="194"/>
        <v>50</v>
      </c>
      <c r="H3814" s="6">
        <v>50</v>
      </c>
      <c r="I3814" s="26">
        <f t="shared" si="195"/>
        <v>0</v>
      </c>
      <c r="J3814" s="7" t="str">
        <f t="shared" si="196"/>
        <v>PAGADO</v>
      </c>
    </row>
    <row r="3815" spans="1:11" x14ac:dyDescent="0.25">
      <c r="A3815">
        <v>2025</v>
      </c>
      <c r="C3815" s="9" t="s">
        <v>3673</v>
      </c>
      <c r="D3815" s="9" t="s">
        <v>3674</v>
      </c>
      <c r="F3815" s="6">
        <v>90</v>
      </c>
      <c r="G3815" s="6">
        <f t="shared" si="194"/>
        <v>90</v>
      </c>
      <c r="H3815" s="6">
        <v>90</v>
      </c>
      <c r="I3815" s="26">
        <f t="shared" si="195"/>
        <v>0</v>
      </c>
      <c r="J3815" s="7" t="str">
        <f t="shared" si="196"/>
        <v>PAGADO</v>
      </c>
    </row>
    <row r="3816" spans="1:11" x14ac:dyDescent="0.25">
      <c r="A3816">
        <v>2025</v>
      </c>
      <c r="C3816" s="9" t="s">
        <v>3675</v>
      </c>
      <c r="D3816" s="9" t="s">
        <v>3641</v>
      </c>
      <c r="F3816" s="6">
        <v>60</v>
      </c>
      <c r="G3816" s="6">
        <f t="shared" si="194"/>
        <v>60</v>
      </c>
      <c r="H3816" s="6">
        <f>30+30</f>
        <v>60</v>
      </c>
      <c r="I3816" s="26">
        <f t="shared" si="195"/>
        <v>0</v>
      </c>
      <c r="J3816" s="7" t="str">
        <f t="shared" si="196"/>
        <v>PAGADO</v>
      </c>
      <c r="K3816" s="33" t="s">
        <v>2640</v>
      </c>
    </row>
    <row r="3817" spans="1:11" x14ac:dyDescent="0.25">
      <c r="A3817">
        <v>2025</v>
      </c>
      <c r="C3817" s="9" t="s">
        <v>2267</v>
      </c>
      <c r="D3817" s="9" t="s">
        <v>3599</v>
      </c>
      <c r="F3817" s="6">
        <v>70</v>
      </c>
      <c r="G3817" s="6">
        <f t="shared" si="194"/>
        <v>70</v>
      </c>
      <c r="H3817" s="6">
        <v>70</v>
      </c>
      <c r="I3817" s="26">
        <f t="shared" si="195"/>
        <v>0</v>
      </c>
      <c r="J3817" s="7" t="str">
        <f t="shared" si="196"/>
        <v>PAGADO</v>
      </c>
    </row>
    <row r="3818" spans="1:11" x14ac:dyDescent="0.25">
      <c r="A3818">
        <v>2025</v>
      </c>
      <c r="C3818" s="9" t="s">
        <v>2854</v>
      </c>
      <c r="D3818" s="9" t="s">
        <v>3599</v>
      </c>
      <c r="F3818" s="6">
        <v>70</v>
      </c>
      <c r="G3818" s="6">
        <f t="shared" si="194"/>
        <v>70</v>
      </c>
      <c r="H3818" s="6">
        <v>70</v>
      </c>
      <c r="I3818" s="26">
        <f t="shared" si="195"/>
        <v>0</v>
      </c>
      <c r="J3818" s="7" t="str">
        <f t="shared" si="196"/>
        <v>PAGADO</v>
      </c>
    </row>
    <row r="3819" spans="1:11" x14ac:dyDescent="0.25">
      <c r="A3819">
        <v>2025</v>
      </c>
      <c r="C3819" s="9" t="s">
        <v>3676</v>
      </c>
      <c r="D3819" s="9" t="s">
        <v>3599</v>
      </c>
      <c r="F3819" s="6">
        <v>70</v>
      </c>
      <c r="G3819" s="6">
        <f t="shared" si="194"/>
        <v>70</v>
      </c>
      <c r="H3819" s="6">
        <v>70</v>
      </c>
      <c r="I3819" s="26">
        <f t="shared" si="195"/>
        <v>0</v>
      </c>
      <c r="J3819" s="7" t="str">
        <f t="shared" si="196"/>
        <v>PAGADO</v>
      </c>
    </row>
    <row r="3820" spans="1:11" x14ac:dyDescent="0.25">
      <c r="A3820">
        <v>2025</v>
      </c>
      <c r="C3820" s="9" t="s">
        <v>2224</v>
      </c>
      <c r="D3820" s="9" t="s">
        <v>1309</v>
      </c>
      <c r="F3820" s="6">
        <v>60</v>
      </c>
      <c r="G3820" s="6">
        <f t="shared" si="194"/>
        <v>60</v>
      </c>
      <c r="H3820" s="16">
        <v>60</v>
      </c>
      <c r="I3820" s="26">
        <f t="shared" si="195"/>
        <v>0</v>
      </c>
      <c r="J3820" s="7" t="str">
        <f t="shared" si="196"/>
        <v>PAGADO</v>
      </c>
      <c r="K3820" s="33" t="s">
        <v>2640</v>
      </c>
    </row>
    <row r="3821" spans="1:11" x14ac:dyDescent="0.25">
      <c r="A3821">
        <v>2025</v>
      </c>
      <c r="C3821" s="9" t="s">
        <v>3677</v>
      </c>
      <c r="D3821" s="9" t="s">
        <v>1523</v>
      </c>
      <c r="F3821" s="6">
        <v>450</v>
      </c>
      <c r="G3821" s="6">
        <f t="shared" si="194"/>
        <v>450</v>
      </c>
      <c r="H3821" s="6">
        <f>225+225</f>
        <v>450</v>
      </c>
      <c r="I3821" s="26">
        <f t="shared" si="195"/>
        <v>0</v>
      </c>
      <c r="J3821" s="7" t="str">
        <f t="shared" si="196"/>
        <v>PAGADO</v>
      </c>
      <c r="K3821" s="9" t="s">
        <v>3506</v>
      </c>
    </row>
    <row r="3822" spans="1:11" x14ac:dyDescent="0.25">
      <c r="A3822">
        <v>2025</v>
      </c>
      <c r="C3822" s="9" t="s">
        <v>3678</v>
      </c>
      <c r="D3822" s="9" t="s">
        <v>3679</v>
      </c>
      <c r="F3822" s="6">
        <v>80</v>
      </c>
      <c r="G3822" s="6">
        <f t="shared" si="194"/>
        <v>80</v>
      </c>
      <c r="H3822" s="6">
        <f>40+40</f>
        <v>80</v>
      </c>
      <c r="I3822" s="26">
        <f t="shared" si="195"/>
        <v>0</v>
      </c>
      <c r="J3822" s="7" t="str">
        <f t="shared" si="196"/>
        <v>PAGADO</v>
      </c>
      <c r="K3822" s="33" t="s">
        <v>1815</v>
      </c>
    </row>
    <row r="3823" spans="1:11" x14ac:dyDescent="0.25">
      <c r="A3823">
        <v>2025</v>
      </c>
      <c r="C3823" s="9" t="s">
        <v>3588</v>
      </c>
      <c r="D3823" s="9" t="s">
        <v>3672</v>
      </c>
      <c r="F3823" s="6">
        <v>65</v>
      </c>
      <c r="G3823" s="6">
        <f t="shared" si="194"/>
        <v>65</v>
      </c>
      <c r="H3823" s="6">
        <v>65</v>
      </c>
      <c r="I3823" s="26">
        <f t="shared" si="195"/>
        <v>0</v>
      </c>
      <c r="J3823" s="7" t="str">
        <f t="shared" si="196"/>
        <v>PAGADO</v>
      </c>
    </row>
    <row r="3824" spans="1:11" x14ac:dyDescent="0.25">
      <c r="A3824">
        <v>2025</v>
      </c>
      <c r="C3824" s="9" t="s">
        <v>3680</v>
      </c>
      <c r="D3824" s="9" t="s">
        <v>3672</v>
      </c>
      <c r="F3824" s="6">
        <v>55</v>
      </c>
      <c r="G3824" s="6">
        <f t="shared" si="194"/>
        <v>55</v>
      </c>
      <c r="H3824" s="6">
        <v>55</v>
      </c>
      <c r="I3824" s="26">
        <f t="shared" si="195"/>
        <v>0</v>
      </c>
      <c r="J3824" s="7" t="str">
        <f t="shared" si="196"/>
        <v>PAGADO</v>
      </c>
      <c r="K3824" s="33" t="s">
        <v>1815</v>
      </c>
    </row>
    <row r="3825" spans="1:12" x14ac:dyDescent="0.25">
      <c r="A3825">
        <v>2025</v>
      </c>
      <c r="C3825" s="9" t="s">
        <v>3681</v>
      </c>
      <c r="D3825" s="9" t="s">
        <v>3672</v>
      </c>
      <c r="F3825" s="6">
        <v>55</v>
      </c>
      <c r="G3825" s="6">
        <f t="shared" si="194"/>
        <v>55</v>
      </c>
      <c r="H3825" s="6">
        <v>55</v>
      </c>
      <c r="I3825" s="26">
        <f t="shared" si="195"/>
        <v>0</v>
      </c>
      <c r="J3825" s="7" t="str">
        <f t="shared" si="196"/>
        <v>PAGADO</v>
      </c>
      <c r="K3825" s="33" t="s">
        <v>1815</v>
      </c>
    </row>
    <row r="3826" spans="1:12" x14ac:dyDescent="0.25">
      <c r="A3826">
        <v>2025</v>
      </c>
      <c r="C3826" s="9" t="s">
        <v>3682</v>
      </c>
      <c r="D3826" s="9" t="s">
        <v>3672</v>
      </c>
      <c r="F3826" s="6">
        <v>50</v>
      </c>
      <c r="G3826" s="6">
        <f t="shared" si="194"/>
        <v>50</v>
      </c>
      <c r="H3826" s="6">
        <v>50</v>
      </c>
      <c r="I3826" s="26">
        <f t="shared" si="195"/>
        <v>0</v>
      </c>
      <c r="J3826" s="7" t="str">
        <f t="shared" si="196"/>
        <v>PAGADO</v>
      </c>
      <c r="K3826" s="33" t="s">
        <v>1815</v>
      </c>
    </row>
    <row r="3827" spans="1:12" x14ac:dyDescent="0.25">
      <c r="A3827">
        <v>2025</v>
      </c>
      <c r="C3827" t="s">
        <v>3683</v>
      </c>
      <c r="D3827" s="9" t="s">
        <v>3679</v>
      </c>
      <c r="F3827" s="6">
        <v>80</v>
      </c>
      <c r="G3827" s="6">
        <f t="shared" si="194"/>
        <v>80</v>
      </c>
      <c r="H3827" s="6">
        <v>80</v>
      </c>
      <c r="I3827" s="26">
        <f t="shared" si="195"/>
        <v>0</v>
      </c>
      <c r="J3827" s="7" t="str">
        <f t="shared" si="196"/>
        <v>PAGADO</v>
      </c>
      <c r="K3827" s="33" t="s">
        <v>693</v>
      </c>
    </row>
    <row r="3828" spans="1:12" x14ac:dyDescent="0.25">
      <c r="A3828">
        <v>2025</v>
      </c>
      <c r="C3828" t="s">
        <v>3684</v>
      </c>
      <c r="D3828" s="9" t="s">
        <v>3685</v>
      </c>
      <c r="F3828" s="6">
        <v>90</v>
      </c>
      <c r="G3828" s="6">
        <f t="shared" si="194"/>
        <v>90</v>
      </c>
      <c r="H3828" s="6">
        <v>90</v>
      </c>
      <c r="I3828" s="26">
        <f t="shared" si="195"/>
        <v>0</v>
      </c>
      <c r="J3828" s="7" t="str">
        <f t="shared" si="196"/>
        <v>PAGADO</v>
      </c>
    </row>
    <row r="3829" spans="1:12" x14ac:dyDescent="0.25">
      <c r="A3829">
        <v>2025</v>
      </c>
      <c r="C3829" t="s">
        <v>3686</v>
      </c>
      <c r="D3829" s="9" t="s">
        <v>3685</v>
      </c>
      <c r="F3829" s="6">
        <v>60</v>
      </c>
      <c r="G3829" s="6">
        <f t="shared" si="194"/>
        <v>60</v>
      </c>
      <c r="H3829" s="6">
        <v>60</v>
      </c>
      <c r="I3829" s="26">
        <f t="shared" si="195"/>
        <v>0</v>
      </c>
      <c r="J3829" s="7" t="str">
        <f t="shared" si="196"/>
        <v>PAGADO</v>
      </c>
    </row>
    <row r="3830" spans="1:12" x14ac:dyDescent="0.25">
      <c r="A3830">
        <v>2025</v>
      </c>
      <c r="C3830" s="9" t="s">
        <v>3687</v>
      </c>
      <c r="D3830" s="9" t="s">
        <v>18</v>
      </c>
      <c r="F3830" s="6">
        <v>90</v>
      </c>
      <c r="G3830" s="6">
        <f t="shared" si="194"/>
        <v>90</v>
      </c>
      <c r="H3830" s="6">
        <v>90</v>
      </c>
      <c r="I3830" s="26">
        <f t="shared" si="195"/>
        <v>0</v>
      </c>
      <c r="J3830" s="7" t="str">
        <f t="shared" si="196"/>
        <v>PAGADO</v>
      </c>
      <c r="K3830" s="33" t="s">
        <v>2640</v>
      </c>
    </row>
    <row r="3831" spans="1:12" x14ac:dyDescent="0.25">
      <c r="A3831">
        <v>2025</v>
      </c>
      <c r="C3831" t="s">
        <v>3688</v>
      </c>
      <c r="D3831" t="s">
        <v>3658</v>
      </c>
      <c r="F3831" s="6">
        <v>60</v>
      </c>
      <c r="G3831" s="6">
        <f t="shared" si="194"/>
        <v>60</v>
      </c>
      <c r="H3831" s="6">
        <v>60</v>
      </c>
      <c r="I3831" s="26">
        <f t="shared" si="195"/>
        <v>0</v>
      </c>
      <c r="J3831" s="7" t="str">
        <f t="shared" si="196"/>
        <v>PAGADO</v>
      </c>
      <c r="K3831" s="33" t="s">
        <v>2640</v>
      </c>
    </row>
    <row r="3832" spans="1:12" x14ac:dyDescent="0.25">
      <c r="A3832">
        <v>2025</v>
      </c>
      <c r="C3832" t="s">
        <v>3689</v>
      </c>
      <c r="D3832" t="s">
        <v>3658</v>
      </c>
      <c r="F3832" s="6">
        <v>60</v>
      </c>
      <c r="G3832" s="6">
        <f t="shared" si="194"/>
        <v>60</v>
      </c>
      <c r="H3832" s="6">
        <v>60</v>
      </c>
      <c r="I3832" s="26">
        <f t="shared" si="195"/>
        <v>0</v>
      </c>
      <c r="J3832" s="7" t="str">
        <f t="shared" si="196"/>
        <v>PAGADO</v>
      </c>
      <c r="K3832" s="33" t="s">
        <v>2640</v>
      </c>
    </row>
    <row r="3833" spans="1:12" x14ac:dyDescent="0.25">
      <c r="A3833">
        <v>2025</v>
      </c>
      <c r="C3833" t="s">
        <v>3690</v>
      </c>
      <c r="D3833" t="s">
        <v>74</v>
      </c>
      <c r="F3833" s="6">
        <v>70</v>
      </c>
      <c r="G3833" s="6">
        <f t="shared" si="194"/>
        <v>70</v>
      </c>
      <c r="H3833" s="6">
        <v>70</v>
      </c>
      <c r="I3833" s="26">
        <f t="shared" si="195"/>
        <v>0</v>
      </c>
      <c r="J3833" s="7" t="str">
        <f t="shared" si="196"/>
        <v>PAGADO</v>
      </c>
      <c r="K3833" s="33" t="s">
        <v>2640</v>
      </c>
    </row>
    <row r="3834" spans="1:12" x14ac:dyDescent="0.25">
      <c r="A3834">
        <v>2025</v>
      </c>
      <c r="C3834" s="9" t="s">
        <v>3691</v>
      </c>
      <c r="D3834" s="9" t="s">
        <v>3449</v>
      </c>
      <c r="F3834" s="6">
        <v>60</v>
      </c>
      <c r="G3834" s="6">
        <f t="shared" si="194"/>
        <v>60</v>
      </c>
      <c r="H3834" s="6">
        <f>25+35</f>
        <v>60</v>
      </c>
      <c r="I3834" s="26">
        <f t="shared" si="195"/>
        <v>0</v>
      </c>
      <c r="J3834" s="7" t="str">
        <f t="shared" si="196"/>
        <v>PAGADO</v>
      </c>
      <c r="K3834" s="33" t="s">
        <v>2640</v>
      </c>
    </row>
    <row r="3835" spans="1:12" x14ac:dyDescent="0.25">
      <c r="A3835">
        <v>2025</v>
      </c>
      <c r="C3835" s="9" t="s">
        <v>3692</v>
      </c>
      <c r="D3835" s="9" t="s">
        <v>3449</v>
      </c>
      <c r="F3835" s="6">
        <v>60</v>
      </c>
      <c r="G3835" s="6">
        <f t="shared" si="194"/>
        <v>60</v>
      </c>
      <c r="H3835" s="6">
        <f>35+25</f>
        <v>60</v>
      </c>
      <c r="I3835" s="26">
        <f t="shared" si="195"/>
        <v>0</v>
      </c>
      <c r="J3835" s="7" t="str">
        <f t="shared" si="196"/>
        <v>PAGADO</v>
      </c>
      <c r="K3835" s="33" t="s">
        <v>2640</v>
      </c>
    </row>
    <row r="3836" spans="1:12" x14ac:dyDescent="0.25">
      <c r="A3836">
        <v>2025</v>
      </c>
      <c r="C3836" s="9" t="s">
        <v>3693</v>
      </c>
      <c r="D3836" s="9" t="s">
        <v>3449</v>
      </c>
      <c r="F3836" s="6">
        <v>60</v>
      </c>
      <c r="G3836" s="6">
        <f t="shared" si="194"/>
        <v>60</v>
      </c>
      <c r="H3836" s="6">
        <f>20+40</f>
        <v>60</v>
      </c>
      <c r="I3836" s="26">
        <f t="shared" si="195"/>
        <v>0</v>
      </c>
      <c r="J3836" s="7" t="str">
        <f t="shared" si="196"/>
        <v>PAGADO</v>
      </c>
      <c r="K3836" s="33" t="s">
        <v>2479</v>
      </c>
    </row>
    <row r="3837" spans="1:12" x14ac:dyDescent="0.25">
      <c r="A3837">
        <v>2025</v>
      </c>
      <c r="C3837" t="s">
        <v>3694</v>
      </c>
      <c r="D3837" t="s">
        <v>2935</v>
      </c>
      <c r="F3837" s="6">
        <v>80</v>
      </c>
      <c r="G3837" s="6">
        <f t="shared" si="194"/>
        <v>80</v>
      </c>
      <c r="H3837" s="6">
        <v>80</v>
      </c>
      <c r="I3837" s="26">
        <f t="shared" si="195"/>
        <v>0</v>
      </c>
      <c r="J3837" s="7" t="str">
        <f t="shared" si="196"/>
        <v>PAGADO</v>
      </c>
    </row>
    <row r="3838" spans="1:12" x14ac:dyDescent="0.25">
      <c r="A3838">
        <v>2025</v>
      </c>
      <c r="C3838" s="9" t="s">
        <v>3695</v>
      </c>
      <c r="D3838" t="s">
        <v>3497</v>
      </c>
      <c r="F3838" s="6">
        <v>180</v>
      </c>
      <c r="G3838" s="6">
        <f t="shared" ref="G3838:G3901" si="197">F3838-E3838</f>
        <v>180</v>
      </c>
      <c r="H3838" s="6">
        <v>180</v>
      </c>
      <c r="I3838" s="27">
        <f t="shared" si="195"/>
        <v>0</v>
      </c>
      <c r="J3838" s="7" t="str">
        <f t="shared" si="196"/>
        <v>PAGADO</v>
      </c>
      <c r="K3838" s="33" t="s">
        <v>2640</v>
      </c>
      <c r="L3838" s="33" t="s">
        <v>3696</v>
      </c>
    </row>
    <row r="3839" spans="1:12" x14ac:dyDescent="0.25">
      <c r="A3839">
        <v>2025</v>
      </c>
      <c r="C3839" s="9" t="s">
        <v>3697</v>
      </c>
      <c r="D3839" s="9" t="s">
        <v>2906</v>
      </c>
      <c r="F3839" s="6">
        <v>50</v>
      </c>
      <c r="G3839" s="6">
        <f t="shared" si="197"/>
        <v>50</v>
      </c>
      <c r="H3839" s="6">
        <v>50</v>
      </c>
      <c r="I3839" s="26">
        <f t="shared" si="195"/>
        <v>0</v>
      </c>
      <c r="J3839" s="7" t="str">
        <f t="shared" si="196"/>
        <v>PAGADO</v>
      </c>
    </row>
    <row r="3840" spans="1:12" x14ac:dyDescent="0.25">
      <c r="A3840">
        <v>2025</v>
      </c>
      <c r="C3840" s="9" t="s">
        <v>3698</v>
      </c>
      <c r="D3840" t="s">
        <v>3497</v>
      </c>
      <c r="F3840" s="6">
        <v>70</v>
      </c>
      <c r="G3840" s="6">
        <f t="shared" si="197"/>
        <v>70</v>
      </c>
      <c r="H3840" s="6">
        <v>70</v>
      </c>
      <c r="I3840" s="26">
        <f t="shared" si="195"/>
        <v>0</v>
      </c>
      <c r="J3840" s="7" t="str">
        <f t="shared" si="196"/>
        <v>PAGADO</v>
      </c>
    </row>
    <row r="3841" spans="1:11" x14ac:dyDescent="0.25">
      <c r="A3841">
        <v>2025</v>
      </c>
      <c r="C3841" t="s">
        <v>1696</v>
      </c>
      <c r="D3841" t="s">
        <v>3699</v>
      </c>
      <c r="F3841" s="6">
        <v>60</v>
      </c>
      <c r="G3841" s="6">
        <f t="shared" si="197"/>
        <v>60</v>
      </c>
      <c r="H3841" s="6">
        <v>60</v>
      </c>
      <c r="I3841" s="26">
        <f t="shared" si="195"/>
        <v>0</v>
      </c>
      <c r="J3841" s="7" t="str">
        <f t="shared" si="196"/>
        <v>PAGADO</v>
      </c>
    </row>
    <row r="3842" spans="1:11" x14ac:dyDescent="0.25">
      <c r="A3842">
        <v>2025</v>
      </c>
      <c r="C3842" t="s">
        <v>1976</v>
      </c>
      <c r="D3842" t="s">
        <v>3699</v>
      </c>
      <c r="F3842" s="6">
        <v>70</v>
      </c>
      <c r="G3842" s="6">
        <f t="shared" si="197"/>
        <v>70</v>
      </c>
      <c r="H3842" s="6">
        <v>70</v>
      </c>
      <c r="I3842" s="26">
        <f t="shared" si="195"/>
        <v>0</v>
      </c>
      <c r="J3842" s="7" t="str">
        <f t="shared" si="196"/>
        <v>PAGADO</v>
      </c>
    </row>
    <row r="3843" spans="1:11" x14ac:dyDescent="0.25">
      <c r="A3843">
        <v>2025</v>
      </c>
      <c r="C3843" s="9" t="s">
        <v>3700</v>
      </c>
      <c r="D3843" s="9" t="s">
        <v>3549</v>
      </c>
      <c r="F3843" s="6">
        <v>40</v>
      </c>
      <c r="G3843" s="6">
        <f t="shared" si="197"/>
        <v>40</v>
      </c>
      <c r="H3843" s="6">
        <v>40</v>
      </c>
      <c r="I3843" s="26">
        <f t="shared" si="195"/>
        <v>0</v>
      </c>
      <c r="J3843" s="7" t="str">
        <f t="shared" si="196"/>
        <v>PAGADO</v>
      </c>
    </row>
    <row r="3844" spans="1:11" x14ac:dyDescent="0.25">
      <c r="A3844">
        <v>2025</v>
      </c>
      <c r="C3844" t="s">
        <v>3701</v>
      </c>
      <c r="D3844" t="s">
        <v>3702</v>
      </c>
      <c r="F3844" s="6">
        <v>65</v>
      </c>
      <c r="G3844" s="6">
        <f t="shared" si="197"/>
        <v>65</v>
      </c>
      <c r="H3844" s="6">
        <v>65</v>
      </c>
      <c r="I3844" s="26">
        <f t="shared" si="195"/>
        <v>0</v>
      </c>
      <c r="J3844" s="7" t="str">
        <f t="shared" si="196"/>
        <v>PAGADO</v>
      </c>
    </row>
    <row r="3845" spans="1:11" x14ac:dyDescent="0.25">
      <c r="A3845">
        <v>2025</v>
      </c>
      <c r="C3845" t="s">
        <v>3703</v>
      </c>
      <c r="D3845" t="s">
        <v>3704</v>
      </c>
      <c r="F3845" s="6">
        <v>30</v>
      </c>
      <c r="G3845" s="6">
        <f t="shared" si="197"/>
        <v>30</v>
      </c>
      <c r="H3845" s="6">
        <v>30</v>
      </c>
      <c r="I3845" s="26">
        <f t="shared" si="195"/>
        <v>0</v>
      </c>
      <c r="J3845" s="7" t="str">
        <f t="shared" si="196"/>
        <v>PAGADO</v>
      </c>
    </row>
    <row r="3846" spans="1:11" x14ac:dyDescent="0.25">
      <c r="A3846">
        <v>2025</v>
      </c>
      <c r="C3846" t="s">
        <v>3705</v>
      </c>
      <c r="D3846" t="s">
        <v>3706</v>
      </c>
      <c r="F3846" s="6">
        <v>60</v>
      </c>
      <c r="G3846" s="6">
        <f t="shared" si="197"/>
        <v>60</v>
      </c>
      <c r="H3846" s="6">
        <v>60</v>
      </c>
      <c r="I3846" s="26">
        <f t="shared" si="195"/>
        <v>0</v>
      </c>
      <c r="J3846" s="7" t="str">
        <f t="shared" si="196"/>
        <v>PAGADO</v>
      </c>
    </row>
    <row r="3847" spans="1:11" x14ac:dyDescent="0.25">
      <c r="A3847">
        <v>2025</v>
      </c>
      <c r="C3847" t="s">
        <v>3707</v>
      </c>
      <c r="D3847" t="s">
        <v>3706</v>
      </c>
      <c r="F3847" s="6">
        <v>80</v>
      </c>
      <c r="G3847" s="6">
        <f t="shared" si="197"/>
        <v>80</v>
      </c>
      <c r="H3847" s="6">
        <v>80</v>
      </c>
      <c r="I3847" s="26">
        <f t="shared" si="195"/>
        <v>0</v>
      </c>
      <c r="J3847" s="7" t="str">
        <f t="shared" si="196"/>
        <v>PAGADO</v>
      </c>
    </row>
    <row r="3848" spans="1:11" x14ac:dyDescent="0.25">
      <c r="A3848">
        <v>2025</v>
      </c>
      <c r="C3848" t="s">
        <v>2725</v>
      </c>
      <c r="D3848" t="s">
        <v>3699</v>
      </c>
      <c r="F3848" s="6">
        <v>65</v>
      </c>
      <c r="G3848" s="6">
        <f t="shared" si="197"/>
        <v>65</v>
      </c>
      <c r="H3848" s="6">
        <f>30+35</f>
        <v>65</v>
      </c>
      <c r="I3848" s="26">
        <f t="shared" si="195"/>
        <v>0</v>
      </c>
      <c r="J3848" s="7" t="str">
        <f t="shared" si="196"/>
        <v>PAGADO</v>
      </c>
      <c r="K3848" s="9" t="s">
        <v>3708</v>
      </c>
    </row>
    <row r="3849" spans="1:11" x14ac:dyDescent="0.25">
      <c r="A3849">
        <v>2025</v>
      </c>
      <c r="C3849" t="s">
        <v>3709</v>
      </c>
      <c r="D3849" t="s">
        <v>3710</v>
      </c>
      <c r="F3849" s="6">
        <v>60</v>
      </c>
      <c r="G3849" s="6">
        <f t="shared" si="197"/>
        <v>60</v>
      </c>
      <c r="H3849" s="6">
        <v>60</v>
      </c>
      <c r="I3849" s="26">
        <f t="shared" si="195"/>
        <v>0</v>
      </c>
      <c r="J3849" s="7" t="str">
        <f t="shared" si="196"/>
        <v>PAGADO</v>
      </c>
    </row>
    <row r="3850" spans="1:11" x14ac:dyDescent="0.25">
      <c r="A3850">
        <v>2025</v>
      </c>
      <c r="C3850" s="9" t="s">
        <v>1997</v>
      </c>
      <c r="D3850" s="9" t="s">
        <v>3029</v>
      </c>
      <c r="F3850" s="6">
        <v>160</v>
      </c>
      <c r="G3850" s="6">
        <f t="shared" si="197"/>
        <v>160</v>
      </c>
      <c r="H3850" s="6">
        <v>160</v>
      </c>
      <c r="I3850" s="26">
        <f t="shared" si="195"/>
        <v>0</v>
      </c>
      <c r="J3850" s="7" t="str">
        <f t="shared" si="196"/>
        <v>PAGADO</v>
      </c>
    </row>
    <row r="3851" spans="1:11" x14ac:dyDescent="0.25">
      <c r="A3851">
        <v>2025</v>
      </c>
      <c r="C3851" s="9" t="s">
        <v>1819</v>
      </c>
      <c r="D3851" s="9" t="s">
        <v>3711</v>
      </c>
      <c r="F3851" s="6">
        <v>70</v>
      </c>
      <c r="G3851" s="6">
        <f t="shared" si="197"/>
        <v>70</v>
      </c>
      <c r="H3851" s="6">
        <v>70</v>
      </c>
      <c r="I3851" s="26">
        <f t="shared" si="195"/>
        <v>0</v>
      </c>
      <c r="J3851" s="7" t="str">
        <f t="shared" si="196"/>
        <v>PAGADO</v>
      </c>
    </row>
    <row r="3852" spans="1:11" x14ac:dyDescent="0.25">
      <c r="A3852">
        <v>2025</v>
      </c>
      <c r="C3852" s="9" t="s">
        <v>3712</v>
      </c>
      <c r="D3852" s="9" t="s">
        <v>3713</v>
      </c>
      <c r="F3852" s="6">
        <v>70</v>
      </c>
      <c r="G3852" s="6">
        <f t="shared" si="197"/>
        <v>70</v>
      </c>
      <c r="H3852" s="6">
        <v>70</v>
      </c>
      <c r="I3852" s="26">
        <f t="shared" si="195"/>
        <v>0</v>
      </c>
      <c r="J3852" s="7" t="str">
        <f t="shared" si="196"/>
        <v>PAGADO</v>
      </c>
    </row>
    <row r="3853" spans="1:11" x14ac:dyDescent="0.25">
      <c r="A3853">
        <v>2025</v>
      </c>
      <c r="C3853" t="s">
        <v>3066</v>
      </c>
      <c r="D3853" s="9" t="s">
        <v>3579</v>
      </c>
      <c r="F3853" s="6">
        <v>100</v>
      </c>
      <c r="G3853" s="6">
        <f t="shared" si="197"/>
        <v>100</v>
      </c>
      <c r="H3853" s="6">
        <v>100</v>
      </c>
      <c r="I3853" s="26">
        <f t="shared" si="195"/>
        <v>0</v>
      </c>
      <c r="J3853" s="7" t="str">
        <f t="shared" si="196"/>
        <v>PAGADO</v>
      </c>
    </row>
    <row r="3854" spans="1:11" x14ac:dyDescent="0.25">
      <c r="A3854">
        <v>2025</v>
      </c>
      <c r="C3854" t="s">
        <v>3714</v>
      </c>
      <c r="D3854" s="9" t="s">
        <v>3579</v>
      </c>
      <c r="F3854" s="6">
        <v>50</v>
      </c>
      <c r="G3854" s="6">
        <f t="shared" si="197"/>
        <v>50</v>
      </c>
      <c r="H3854" s="6">
        <v>50</v>
      </c>
      <c r="I3854" s="26">
        <f t="shared" si="195"/>
        <v>0</v>
      </c>
      <c r="J3854" s="7" t="str">
        <f t="shared" si="196"/>
        <v>PAGADO</v>
      </c>
    </row>
    <row r="3855" spans="1:11" x14ac:dyDescent="0.25">
      <c r="A3855">
        <v>2025</v>
      </c>
      <c r="C3855" t="s">
        <v>3715</v>
      </c>
      <c r="D3855" s="9" t="s">
        <v>3716</v>
      </c>
      <c r="F3855" s="6">
        <v>470</v>
      </c>
      <c r="G3855" s="6">
        <f t="shared" si="197"/>
        <v>470</v>
      </c>
      <c r="H3855" s="6">
        <f>350+120</f>
        <v>470</v>
      </c>
      <c r="I3855" s="26">
        <f t="shared" si="195"/>
        <v>0</v>
      </c>
      <c r="J3855" s="7" t="str">
        <f t="shared" si="196"/>
        <v>PAGADO</v>
      </c>
    </row>
    <row r="3856" spans="1:11" x14ac:dyDescent="0.25">
      <c r="A3856">
        <v>2025</v>
      </c>
      <c r="C3856" t="s">
        <v>3717</v>
      </c>
      <c r="D3856" s="9" t="s">
        <v>3718</v>
      </c>
      <c r="F3856" s="6">
        <v>50</v>
      </c>
      <c r="G3856" s="6">
        <f t="shared" si="197"/>
        <v>50</v>
      </c>
      <c r="H3856" s="6">
        <v>50</v>
      </c>
      <c r="I3856" s="26">
        <f t="shared" si="195"/>
        <v>0</v>
      </c>
      <c r="J3856" s="7" t="str">
        <f t="shared" si="196"/>
        <v>PAGADO</v>
      </c>
    </row>
    <row r="3857" spans="1:11" x14ac:dyDescent="0.25">
      <c r="A3857">
        <v>2025</v>
      </c>
      <c r="C3857" t="s">
        <v>3719</v>
      </c>
      <c r="D3857" s="9" t="s">
        <v>3718</v>
      </c>
      <c r="F3857" s="6">
        <v>50</v>
      </c>
      <c r="G3857" s="6">
        <f t="shared" si="197"/>
        <v>50</v>
      </c>
      <c r="H3857" s="6">
        <v>50</v>
      </c>
      <c r="I3857" s="26">
        <f t="shared" si="195"/>
        <v>0</v>
      </c>
      <c r="J3857" s="7" t="str">
        <f t="shared" si="196"/>
        <v>PAGADO</v>
      </c>
    </row>
    <row r="3858" spans="1:11" x14ac:dyDescent="0.25">
      <c r="A3858">
        <v>2025</v>
      </c>
      <c r="C3858" t="s">
        <v>3635</v>
      </c>
      <c r="D3858" s="9" t="s">
        <v>3720</v>
      </c>
      <c r="F3858" s="6">
        <v>60</v>
      </c>
      <c r="G3858" s="6">
        <f t="shared" si="197"/>
        <v>60</v>
      </c>
      <c r="H3858" s="6">
        <v>60</v>
      </c>
      <c r="I3858" s="26">
        <f t="shared" ref="I3858:I3921" si="198">F3858-H3858</f>
        <v>0</v>
      </c>
      <c r="J3858" s="7" t="str">
        <f t="shared" si="196"/>
        <v>PAGADO</v>
      </c>
    </row>
    <row r="3859" spans="1:11" x14ac:dyDescent="0.25">
      <c r="A3859">
        <v>2025</v>
      </c>
      <c r="C3859" t="s">
        <v>2970</v>
      </c>
      <c r="D3859" s="9" t="s">
        <v>3720</v>
      </c>
      <c r="F3859" s="6">
        <v>60</v>
      </c>
      <c r="G3859" s="6">
        <f t="shared" si="197"/>
        <v>60</v>
      </c>
      <c r="H3859" s="6">
        <v>60</v>
      </c>
      <c r="I3859" s="26">
        <f t="shared" si="198"/>
        <v>0</v>
      </c>
      <c r="J3859" s="7" t="str">
        <f t="shared" si="196"/>
        <v>PAGADO</v>
      </c>
    </row>
    <row r="3860" spans="1:11" x14ac:dyDescent="0.25">
      <c r="A3860">
        <v>2025</v>
      </c>
      <c r="C3860" t="s">
        <v>3721</v>
      </c>
      <c r="D3860" s="9" t="s">
        <v>3674</v>
      </c>
      <c r="F3860" s="6">
        <v>60</v>
      </c>
      <c r="G3860" s="6">
        <f t="shared" si="197"/>
        <v>60</v>
      </c>
      <c r="H3860" s="6">
        <v>60</v>
      </c>
      <c r="I3860" s="26">
        <f t="shared" si="198"/>
        <v>0</v>
      </c>
      <c r="J3860" s="7" t="str">
        <f t="shared" si="196"/>
        <v>PAGADO</v>
      </c>
      <c r="K3860" s="33" t="s">
        <v>2640</v>
      </c>
    </row>
    <row r="3861" spans="1:11" x14ac:dyDescent="0.25">
      <c r="A3861">
        <v>2025</v>
      </c>
      <c r="C3861" s="9" t="s">
        <v>3722</v>
      </c>
      <c r="D3861" t="s">
        <v>2018</v>
      </c>
      <c r="F3861" s="6">
        <v>35</v>
      </c>
      <c r="G3861" s="6">
        <f t="shared" si="197"/>
        <v>35</v>
      </c>
      <c r="H3861" s="6">
        <v>35</v>
      </c>
      <c r="I3861" s="26">
        <f t="shared" si="198"/>
        <v>0</v>
      </c>
      <c r="J3861" s="7" t="str">
        <f t="shared" si="196"/>
        <v>PAGADO</v>
      </c>
    </row>
    <row r="3862" spans="1:11" x14ac:dyDescent="0.25">
      <c r="A3862">
        <v>2025</v>
      </c>
      <c r="C3862" s="9" t="s">
        <v>3723</v>
      </c>
      <c r="D3862" t="s">
        <v>2018</v>
      </c>
      <c r="F3862" s="6">
        <v>45</v>
      </c>
      <c r="G3862" s="6">
        <f t="shared" si="197"/>
        <v>45</v>
      </c>
      <c r="H3862" s="6">
        <v>45</v>
      </c>
      <c r="I3862" s="26">
        <f t="shared" si="198"/>
        <v>0</v>
      </c>
      <c r="J3862" s="7" t="str">
        <f t="shared" si="196"/>
        <v>PAGADO</v>
      </c>
    </row>
    <row r="3863" spans="1:11" x14ac:dyDescent="0.25">
      <c r="A3863">
        <v>2025</v>
      </c>
      <c r="C3863" s="9" t="s">
        <v>3724</v>
      </c>
      <c r="D3863" s="9" t="s">
        <v>1510</v>
      </c>
      <c r="F3863" s="6">
        <v>140</v>
      </c>
      <c r="G3863" s="6">
        <f t="shared" si="197"/>
        <v>140</v>
      </c>
      <c r="H3863" s="6">
        <v>140</v>
      </c>
      <c r="I3863" s="26">
        <f t="shared" si="198"/>
        <v>0</v>
      </c>
      <c r="J3863" s="7" t="str">
        <f t="shared" si="196"/>
        <v>PAGADO</v>
      </c>
    </row>
    <row r="3864" spans="1:11" x14ac:dyDescent="0.25">
      <c r="A3864">
        <v>2025</v>
      </c>
      <c r="C3864" s="9" t="s">
        <v>2967</v>
      </c>
      <c r="D3864" s="9" t="s">
        <v>3725</v>
      </c>
      <c r="F3864" s="6">
        <v>80</v>
      </c>
      <c r="G3864" s="6">
        <f t="shared" si="197"/>
        <v>80</v>
      </c>
      <c r="H3864" s="6">
        <v>80</v>
      </c>
      <c r="I3864" s="26">
        <f t="shared" si="198"/>
        <v>0</v>
      </c>
      <c r="J3864" s="7" t="str">
        <f t="shared" si="196"/>
        <v>PAGADO</v>
      </c>
      <c r="K3864" s="33" t="s">
        <v>2968</v>
      </c>
    </row>
    <row r="3865" spans="1:11" x14ac:dyDescent="0.25">
      <c r="A3865">
        <v>2025</v>
      </c>
      <c r="C3865" t="s">
        <v>2726</v>
      </c>
      <c r="D3865" s="9" t="s">
        <v>3725</v>
      </c>
      <c r="F3865" s="6">
        <v>65</v>
      </c>
      <c r="G3865" s="6">
        <f t="shared" si="197"/>
        <v>65</v>
      </c>
      <c r="H3865" s="6">
        <v>65</v>
      </c>
      <c r="I3865" s="26">
        <f t="shared" si="198"/>
        <v>0</v>
      </c>
      <c r="J3865" s="7" t="str">
        <f t="shared" si="196"/>
        <v>PAGADO</v>
      </c>
      <c r="K3865" s="9"/>
    </row>
    <row r="3866" spans="1:11" x14ac:dyDescent="0.25">
      <c r="A3866">
        <v>2025</v>
      </c>
      <c r="C3866" s="9" t="s">
        <v>3605</v>
      </c>
      <c r="D3866" s="9" t="s">
        <v>80</v>
      </c>
      <c r="F3866" s="6">
        <v>60</v>
      </c>
      <c r="G3866" s="6">
        <f t="shared" si="197"/>
        <v>60</v>
      </c>
      <c r="H3866" s="6">
        <v>60</v>
      </c>
      <c r="I3866" s="26">
        <f t="shared" si="198"/>
        <v>0</v>
      </c>
      <c r="J3866" s="7" t="str">
        <f t="shared" si="196"/>
        <v>PAGADO</v>
      </c>
    </row>
    <row r="3867" spans="1:11" x14ac:dyDescent="0.25">
      <c r="A3867">
        <v>2025</v>
      </c>
      <c r="C3867" s="9" t="s">
        <v>547</v>
      </c>
      <c r="D3867" s="9" t="s">
        <v>80</v>
      </c>
      <c r="F3867" s="6">
        <v>70</v>
      </c>
      <c r="G3867" s="6">
        <f t="shared" si="197"/>
        <v>70</v>
      </c>
      <c r="H3867" s="6">
        <v>70</v>
      </c>
      <c r="I3867" s="26">
        <f t="shared" si="198"/>
        <v>0</v>
      </c>
      <c r="J3867" s="7" t="str">
        <f t="shared" si="196"/>
        <v>PAGADO</v>
      </c>
    </row>
    <row r="3868" spans="1:11" x14ac:dyDescent="0.25">
      <c r="A3868">
        <v>2025</v>
      </c>
      <c r="C3868" s="9" t="s">
        <v>3726</v>
      </c>
      <c r="D3868" s="9" t="s">
        <v>3143</v>
      </c>
      <c r="F3868" s="6">
        <v>120</v>
      </c>
      <c r="G3868" s="6">
        <f t="shared" si="197"/>
        <v>120</v>
      </c>
      <c r="H3868" s="6">
        <v>120</v>
      </c>
      <c r="I3868" s="26">
        <f t="shared" si="198"/>
        <v>0</v>
      </c>
      <c r="J3868" s="7" t="str">
        <f t="shared" si="196"/>
        <v>PAGADO</v>
      </c>
      <c r="K3868" t="s">
        <v>1823</v>
      </c>
    </row>
    <row r="3869" spans="1:11" x14ac:dyDescent="0.25">
      <c r="A3869">
        <v>2025</v>
      </c>
      <c r="C3869" t="s">
        <v>3727</v>
      </c>
      <c r="D3869" s="9" t="s">
        <v>3540</v>
      </c>
      <c r="F3869" s="6">
        <v>370</v>
      </c>
      <c r="G3869" s="6">
        <f t="shared" si="197"/>
        <v>370</v>
      </c>
      <c r="H3869" s="6">
        <f>185+185</f>
        <v>370</v>
      </c>
      <c r="I3869" s="26">
        <f t="shared" si="198"/>
        <v>0</v>
      </c>
      <c r="J3869" s="7" t="str">
        <f t="shared" si="196"/>
        <v>PAGADO</v>
      </c>
      <c r="K3869" t="s">
        <v>2959</v>
      </c>
    </row>
    <row r="3870" spans="1:11" x14ac:dyDescent="0.25">
      <c r="A3870">
        <v>2025</v>
      </c>
      <c r="C3870" t="s">
        <v>3659</v>
      </c>
      <c r="D3870" s="9" t="s">
        <v>3728</v>
      </c>
      <c r="F3870" s="6">
        <v>60</v>
      </c>
      <c r="G3870" s="6">
        <f t="shared" si="197"/>
        <v>60</v>
      </c>
      <c r="H3870" s="6">
        <v>60</v>
      </c>
      <c r="I3870" s="26">
        <f t="shared" si="198"/>
        <v>0</v>
      </c>
      <c r="J3870" s="7" t="str">
        <f t="shared" si="196"/>
        <v>PAGADO</v>
      </c>
    </row>
    <row r="3871" spans="1:11" x14ac:dyDescent="0.25">
      <c r="A3871">
        <v>2025</v>
      </c>
      <c r="C3871" t="s">
        <v>3425</v>
      </c>
      <c r="D3871" t="s">
        <v>3270</v>
      </c>
      <c r="F3871" s="6">
        <v>240</v>
      </c>
      <c r="G3871" s="6">
        <f t="shared" si="197"/>
        <v>240</v>
      </c>
      <c r="H3871" s="6">
        <v>240</v>
      </c>
      <c r="I3871" s="26">
        <f t="shared" si="198"/>
        <v>0</v>
      </c>
      <c r="J3871" s="7" t="str">
        <f t="shared" si="196"/>
        <v>PAGADO</v>
      </c>
    </row>
    <row r="3872" spans="1:11" x14ac:dyDescent="0.25">
      <c r="A3872">
        <v>2025</v>
      </c>
      <c r="C3872" t="s">
        <v>3729</v>
      </c>
      <c r="D3872" t="s">
        <v>3270</v>
      </c>
      <c r="F3872" s="6">
        <v>60</v>
      </c>
      <c r="G3872" s="6">
        <f t="shared" si="197"/>
        <v>60</v>
      </c>
      <c r="H3872" s="6">
        <v>60</v>
      </c>
      <c r="I3872" s="26">
        <f t="shared" si="198"/>
        <v>0</v>
      </c>
      <c r="J3872" s="7" t="str">
        <f t="shared" si="196"/>
        <v>PAGADO</v>
      </c>
    </row>
    <row r="3873" spans="1:12" x14ac:dyDescent="0.25">
      <c r="A3873">
        <v>2025</v>
      </c>
      <c r="C3873" t="s">
        <v>3730</v>
      </c>
      <c r="D3873" s="9" t="s">
        <v>3731</v>
      </c>
      <c r="F3873" s="6">
        <v>65</v>
      </c>
      <c r="G3873" s="6">
        <f t="shared" si="197"/>
        <v>65</v>
      </c>
      <c r="H3873" s="6">
        <v>65</v>
      </c>
      <c r="I3873" s="26">
        <f t="shared" si="198"/>
        <v>0</v>
      </c>
      <c r="J3873" s="7" t="str">
        <f t="shared" si="196"/>
        <v>PAGADO</v>
      </c>
    </row>
    <row r="3874" spans="1:12" x14ac:dyDescent="0.25">
      <c r="A3874">
        <v>2025</v>
      </c>
      <c r="C3874" t="s">
        <v>3732</v>
      </c>
      <c r="D3874" s="9" t="s">
        <v>3733</v>
      </c>
      <c r="F3874" s="6">
        <v>35</v>
      </c>
      <c r="G3874" s="6">
        <f t="shared" si="197"/>
        <v>35</v>
      </c>
      <c r="H3874" s="6">
        <v>35</v>
      </c>
      <c r="I3874" s="26">
        <f t="shared" si="198"/>
        <v>0</v>
      </c>
      <c r="J3874" s="7" t="str">
        <f t="shared" si="196"/>
        <v>PAGADO</v>
      </c>
    </row>
    <row r="3875" spans="1:12" x14ac:dyDescent="0.25">
      <c r="A3875">
        <v>2025</v>
      </c>
      <c r="C3875" t="s">
        <v>3707</v>
      </c>
      <c r="D3875" t="s">
        <v>3592</v>
      </c>
      <c r="F3875" s="6">
        <v>80</v>
      </c>
      <c r="G3875" s="6">
        <f t="shared" si="197"/>
        <v>80</v>
      </c>
      <c r="H3875" s="6">
        <v>80</v>
      </c>
      <c r="I3875" s="26">
        <f t="shared" si="198"/>
        <v>0</v>
      </c>
      <c r="J3875" s="7" t="str">
        <f t="shared" ref="J3875:J3938" si="199">IF(I3875&gt;0,"DEBE","PAGADO")</f>
        <v>PAGADO</v>
      </c>
    </row>
    <row r="3876" spans="1:12" x14ac:dyDescent="0.25">
      <c r="A3876">
        <v>2025</v>
      </c>
      <c r="C3876" t="s">
        <v>2879</v>
      </c>
      <c r="D3876" t="s">
        <v>3734</v>
      </c>
      <c r="F3876" s="6">
        <v>70</v>
      </c>
      <c r="G3876" s="6">
        <f t="shared" si="197"/>
        <v>70</v>
      </c>
      <c r="H3876" s="6">
        <v>70</v>
      </c>
      <c r="I3876" s="26">
        <f t="shared" si="198"/>
        <v>0</v>
      </c>
      <c r="J3876" s="7" t="str">
        <f t="shared" si="199"/>
        <v>PAGADO</v>
      </c>
    </row>
    <row r="3877" spans="1:12" x14ac:dyDescent="0.25">
      <c r="A3877">
        <v>2025</v>
      </c>
      <c r="C3877" s="9" t="s">
        <v>3735</v>
      </c>
      <c r="D3877" t="s">
        <v>3736</v>
      </c>
      <c r="F3877" s="6">
        <v>70</v>
      </c>
      <c r="G3877" s="6">
        <f t="shared" si="197"/>
        <v>70</v>
      </c>
      <c r="H3877" s="6">
        <v>70</v>
      </c>
      <c r="I3877" s="26">
        <f t="shared" si="198"/>
        <v>0</v>
      </c>
      <c r="J3877" s="7" t="str">
        <f t="shared" si="199"/>
        <v>PAGADO</v>
      </c>
    </row>
    <row r="3878" spans="1:12" x14ac:dyDescent="0.25">
      <c r="A3878">
        <v>2025</v>
      </c>
      <c r="C3878" s="9" t="s">
        <v>3737</v>
      </c>
      <c r="D3878" s="9" t="s">
        <v>2548</v>
      </c>
      <c r="F3878" s="6">
        <v>90</v>
      </c>
      <c r="G3878" s="6">
        <f t="shared" si="197"/>
        <v>90</v>
      </c>
      <c r="H3878" s="6">
        <f>45+45</f>
        <v>90</v>
      </c>
      <c r="I3878" s="26">
        <f t="shared" si="198"/>
        <v>0</v>
      </c>
      <c r="J3878" s="7" t="str">
        <f t="shared" si="199"/>
        <v>PAGADO</v>
      </c>
      <c r="K3878" s="33" t="s">
        <v>2640</v>
      </c>
    </row>
    <row r="3879" spans="1:12" x14ac:dyDescent="0.25">
      <c r="A3879">
        <v>2025</v>
      </c>
      <c r="C3879" s="9" t="s">
        <v>3738</v>
      </c>
      <c r="D3879" s="9" t="s">
        <v>2548</v>
      </c>
      <c r="F3879" s="6">
        <v>70</v>
      </c>
      <c r="G3879" s="6">
        <f t="shared" si="197"/>
        <v>70</v>
      </c>
      <c r="H3879" s="6">
        <f>35+35</f>
        <v>70</v>
      </c>
      <c r="I3879" s="26">
        <f t="shared" si="198"/>
        <v>0</v>
      </c>
      <c r="J3879" s="7" t="str">
        <f t="shared" si="199"/>
        <v>PAGADO</v>
      </c>
      <c r="K3879" s="33" t="s">
        <v>2640</v>
      </c>
    </row>
    <row r="3880" spans="1:12" x14ac:dyDescent="0.25">
      <c r="A3880">
        <v>2025</v>
      </c>
      <c r="C3880" t="s">
        <v>3739</v>
      </c>
      <c r="D3880" t="s">
        <v>3158</v>
      </c>
      <c r="F3880" s="6">
        <v>120</v>
      </c>
      <c r="G3880" s="6">
        <f t="shared" si="197"/>
        <v>120</v>
      </c>
      <c r="H3880" s="6">
        <v>120</v>
      </c>
      <c r="I3880" s="26">
        <f t="shared" si="198"/>
        <v>0</v>
      </c>
      <c r="J3880" s="7" t="str">
        <f t="shared" si="199"/>
        <v>PAGADO</v>
      </c>
    </row>
    <row r="3881" spans="1:12" x14ac:dyDescent="0.25">
      <c r="A3881">
        <v>2025</v>
      </c>
      <c r="C3881" t="s">
        <v>3740</v>
      </c>
      <c r="D3881" t="s">
        <v>3158</v>
      </c>
      <c r="F3881" s="6">
        <v>160</v>
      </c>
      <c r="G3881" s="6">
        <f t="shared" si="197"/>
        <v>160</v>
      </c>
      <c r="H3881" s="6">
        <v>160</v>
      </c>
      <c r="I3881" s="26">
        <f t="shared" si="198"/>
        <v>0</v>
      </c>
      <c r="J3881" s="7" t="str">
        <f t="shared" si="199"/>
        <v>PAGADO</v>
      </c>
    </row>
    <row r="3882" spans="1:12" x14ac:dyDescent="0.25">
      <c r="A3882">
        <v>2025</v>
      </c>
      <c r="C3882" t="s">
        <v>3741</v>
      </c>
      <c r="D3882" s="9" t="s">
        <v>488</v>
      </c>
      <c r="F3882" s="6">
        <v>60</v>
      </c>
      <c r="G3882" s="6">
        <f t="shared" si="197"/>
        <v>60</v>
      </c>
      <c r="H3882" s="6">
        <v>60</v>
      </c>
      <c r="I3882" s="26">
        <f t="shared" si="198"/>
        <v>0</v>
      </c>
      <c r="J3882" s="7" t="str">
        <f t="shared" si="199"/>
        <v>PAGADO</v>
      </c>
    </row>
    <row r="3883" spans="1:12" x14ac:dyDescent="0.25">
      <c r="A3883">
        <v>2025</v>
      </c>
      <c r="C3883" s="9" t="s">
        <v>3273</v>
      </c>
      <c r="D3883" s="9" t="s">
        <v>3742</v>
      </c>
      <c r="F3883" s="6">
        <v>65</v>
      </c>
      <c r="G3883" s="6">
        <f t="shared" si="197"/>
        <v>65</v>
      </c>
      <c r="H3883" s="6">
        <f>32.5+32.5</f>
        <v>65</v>
      </c>
      <c r="I3883" s="26">
        <f t="shared" si="198"/>
        <v>0</v>
      </c>
      <c r="J3883" s="7" t="str">
        <f t="shared" si="199"/>
        <v>PAGADO</v>
      </c>
      <c r="K3883" s="33" t="s">
        <v>1815</v>
      </c>
      <c r="L3883" s="9" t="s">
        <v>3274</v>
      </c>
    </row>
    <row r="3884" spans="1:12" x14ac:dyDescent="0.25">
      <c r="A3884">
        <v>2025</v>
      </c>
      <c r="C3884" s="9" t="s">
        <v>2756</v>
      </c>
      <c r="D3884" s="9" t="s">
        <v>3742</v>
      </c>
      <c r="F3884" s="6">
        <v>60</v>
      </c>
      <c r="G3884" s="6">
        <f t="shared" si="197"/>
        <v>60</v>
      </c>
      <c r="H3884" s="6">
        <v>60</v>
      </c>
      <c r="I3884" s="26">
        <f t="shared" si="198"/>
        <v>0</v>
      </c>
      <c r="J3884" s="7" t="str">
        <f t="shared" si="199"/>
        <v>PAGADO</v>
      </c>
      <c r="K3884" s="33" t="s">
        <v>2640</v>
      </c>
    </row>
    <row r="3885" spans="1:12" x14ac:dyDescent="0.25">
      <c r="A3885">
        <v>2025</v>
      </c>
      <c r="C3885" s="9" t="s">
        <v>2940</v>
      </c>
      <c r="D3885" s="9" t="s">
        <v>3742</v>
      </c>
      <c r="F3885" s="6">
        <v>70</v>
      </c>
      <c r="G3885" s="6">
        <f t="shared" si="197"/>
        <v>70</v>
      </c>
      <c r="H3885" s="6">
        <f>20+50</f>
        <v>70</v>
      </c>
      <c r="I3885" s="26">
        <f t="shared" si="198"/>
        <v>0</v>
      </c>
      <c r="J3885" s="7" t="str">
        <f t="shared" si="199"/>
        <v>PAGADO</v>
      </c>
      <c r="K3885" s="33" t="s">
        <v>1815</v>
      </c>
    </row>
    <row r="3886" spans="1:12" x14ac:dyDescent="0.25">
      <c r="A3886">
        <v>2025</v>
      </c>
      <c r="C3886" s="9" t="s">
        <v>3743</v>
      </c>
      <c r="D3886" s="9" t="s">
        <v>3198</v>
      </c>
      <c r="F3886" s="6">
        <v>80</v>
      </c>
      <c r="G3886" s="6">
        <f t="shared" si="197"/>
        <v>80</v>
      </c>
      <c r="H3886" s="6">
        <v>80</v>
      </c>
      <c r="I3886" s="26">
        <f t="shared" si="198"/>
        <v>0</v>
      </c>
      <c r="J3886" s="7" t="str">
        <f t="shared" si="199"/>
        <v>PAGADO</v>
      </c>
    </row>
    <row r="3887" spans="1:12" x14ac:dyDescent="0.25">
      <c r="A3887">
        <v>2025</v>
      </c>
      <c r="C3887" s="9" t="s">
        <v>3744</v>
      </c>
      <c r="D3887" s="9" t="s">
        <v>3198</v>
      </c>
      <c r="F3887" s="6">
        <v>80</v>
      </c>
      <c r="G3887" s="6">
        <f t="shared" si="197"/>
        <v>80</v>
      </c>
      <c r="H3887" s="6">
        <v>80</v>
      </c>
      <c r="I3887" s="26">
        <f t="shared" si="198"/>
        <v>0</v>
      </c>
      <c r="J3887" s="7" t="str">
        <f t="shared" si="199"/>
        <v>PAGADO</v>
      </c>
    </row>
    <row r="3888" spans="1:12" x14ac:dyDescent="0.25">
      <c r="A3888">
        <v>2025</v>
      </c>
      <c r="C3888" s="9" t="s">
        <v>3555</v>
      </c>
      <c r="D3888" s="9" t="s">
        <v>3198</v>
      </c>
      <c r="F3888" s="6">
        <v>60</v>
      </c>
      <c r="G3888" s="6">
        <f t="shared" si="197"/>
        <v>60</v>
      </c>
      <c r="H3888" s="6">
        <v>60</v>
      </c>
      <c r="I3888" s="26">
        <f t="shared" si="198"/>
        <v>0</v>
      </c>
      <c r="J3888" s="7" t="str">
        <f t="shared" si="199"/>
        <v>PAGADO</v>
      </c>
    </row>
    <row r="3889" spans="1:11" x14ac:dyDescent="0.25">
      <c r="A3889">
        <v>2025</v>
      </c>
      <c r="C3889" s="9" t="s">
        <v>3745</v>
      </c>
      <c r="D3889" t="s">
        <v>3592</v>
      </c>
      <c r="F3889" s="6">
        <v>50</v>
      </c>
      <c r="G3889" s="6">
        <f t="shared" si="197"/>
        <v>50</v>
      </c>
      <c r="H3889" s="6">
        <v>50</v>
      </c>
      <c r="I3889" s="26">
        <f t="shared" si="198"/>
        <v>0</v>
      </c>
      <c r="J3889" s="7" t="str">
        <f t="shared" si="199"/>
        <v>PAGADO</v>
      </c>
    </row>
    <row r="3890" spans="1:11" x14ac:dyDescent="0.25">
      <c r="A3890">
        <v>2025</v>
      </c>
      <c r="C3890" s="9" t="s">
        <v>2790</v>
      </c>
      <c r="D3890" s="9" t="s">
        <v>3213</v>
      </c>
      <c r="F3890" s="6">
        <v>100</v>
      </c>
      <c r="G3890" s="6">
        <f t="shared" si="197"/>
        <v>100</v>
      </c>
      <c r="H3890" s="6">
        <v>100</v>
      </c>
      <c r="I3890" s="26">
        <f t="shared" si="198"/>
        <v>0</v>
      </c>
      <c r="J3890" s="7" t="str">
        <f t="shared" si="199"/>
        <v>PAGADO</v>
      </c>
    </row>
    <row r="3891" spans="1:11" x14ac:dyDescent="0.25">
      <c r="A3891">
        <v>2025</v>
      </c>
      <c r="C3891" s="9" t="s">
        <v>3746</v>
      </c>
      <c r="D3891" s="9" t="s">
        <v>1476</v>
      </c>
      <c r="F3891" s="6">
        <v>55</v>
      </c>
      <c r="G3891" s="6">
        <f t="shared" si="197"/>
        <v>55</v>
      </c>
      <c r="H3891" s="6">
        <v>55</v>
      </c>
      <c r="I3891" s="26">
        <f t="shared" si="198"/>
        <v>0</v>
      </c>
      <c r="J3891" s="7" t="str">
        <f t="shared" si="199"/>
        <v>PAGADO</v>
      </c>
    </row>
    <row r="3892" spans="1:11" x14ac:dyDescent="0.25">
      <c r="A3892">
        <v>2025</v>
      </c>
      <c r="C3892" s="9" t="s">
        <v>3747</v>
      </c>
      <c r="D3892" s="9" t="s">
        <v>2363</v>
      </c>
      <c r="F3892" s="6">
        <v>60</v>
      </c>
      <c r="G3892" s="6">
        <f t="shared" si="197"/>
        <v>60</v>
      </c>
      <c r="H3892" s="6">
        <v>60</v>
      </c>
      <c r="I3892" s="26">
        <f t="shared" si="198"/>
        <v>0</v>
      </c>
      <c r="J3892" s="7" t="str">
        <f t="shared" si="199"/>
        <v>PAGADO</v>
      </c>
      <c r="K3892" s="33" t="s">
        <v>693</v>
      </c>
    </row>
    <row r="3893" spans="1:11" x14ac:dyDescent="0.25">
      <c r="A3893">
        <v>2025</v>
      </c>
      <c r="C3893" s="9" t="s">
        <v>3748</v>
      </c>
      <c r="D3893" t="s">
        <v>3158</v>
      </c>
      <c r="F3893" s="6">
        <v>80</v>
      </c>
      <c r="G3893" s="6">
        <f t="shared" si="197"/>
        <v>80</v>
      </c>
      <c r="H3893" s="6">
        <v>80</v>
      </c>
      <c r="I3893" s="26">
        <f t="shared" si="198"/>
        <v>0</v>
      </c>
      <c r="J3893" s="7" t="str">
        <f t="shared" si="199"/>
        <v>PAGADO</v>
      </c>
    </row>
    <row r="3894" spans="1:11" x14ac:dyDescent="0.25">
      <c r="A3894">
        <v>2025</v>
      </c>
      <c r="C3894" s="9" t="s">
        <v>3094</v>
      </c>
      <c r="D3894" s="9" t="s">
        <v>3247</v>
      </c>
      <c r="F3894" s="6">
        <v>60</v>
      </c>
      <c r="G3894" s="6">
        <f t="shared" si="197"/>
        <v>60</v>
      </c>
      <c r="H3894" s="6">
        <f>30+30</f>
        <v>60</v>
      </c>
      <c r="I3894" s="26">
        <f t="shared" si="198"/>
        <v>0</v>
      </c>
      <c r="J3894" s="7" t="str">
        <f t="shared" si="199"/>
        <v>PAGADO</v>
      </c>
    </row>
    <row r="3895" spans="1:11" x14ac:dyDescent="0.25">
      <c r="A3895">
        <v>2025</v>
      </c>
      <c r="C3895" s="9" t="s">
        <v>3749</v>
      </c>
      <c r="D3895" s="9" t="s">
        <v>3247</v>
      </c>
      <c r="F3895" s="6">
        <v>70</v>
      </c>
      <c r="G3895" s="6">
        <f t="shared" si="197"/>
        <v>70</v>
      </c>
      <c r="H3895" s="6">
        <f>30+15+25</f>
        <v>70</v>
      </c>
      <c r="I3895" s="26">
        <f t="shared" si="198"/>
        <v>0</v>
      </c>
      <c r="J3895" s="7" t="str">
        <f t="shared" si="199"/>
        <v>PAGADO</v>
      </c>
    </row>
    <row r="3896" spans="1:11" x14ac:dyDescent="0.25">
      <c r="A3896">
        <v>2025</v>
      </c>
      <c r="C3896" s="9" t="s">
        <v>3750</v>
      </c>
      <c r="D3896" s="9" t="s">
        <v>2213</v>
      </c>
      <c r="F3896" s="6">
        <v>70</v>
      </c>
      <c r="G3896" s="6">
        <f t="shared" si="197"/>
        <v>70</v>
      </c>
      <c r="H3896" s="6">
        <v>70</v>
      </c>
      <c r="I3896" s="26">
        <f t="shared" si="198"/>
        <v>0</v>
      </c>
      <c r="J3896" s="7" t="str">
        <f t="shared" si="199"/>
        <v>PAGADO</v>
      </c>
    </row>
    <row r="3897" spans="1:11" x14ac:dyDescent="0.25">
      <c r="A3897">
        <v>2025</v>
      </c>
      <c r="C3897" s="9" t="s">
        <v>3611</v>
      </c>
      <c r="D3897" s="9" t="s">
        <v>2213</v>
      </c>
      <c r="F3897" s="6">
        <v>60</v>
      </c>
      <c r="G3897" s="6">
        <f t="shared" si="197"/>
        <v>60</v>
      </c>
      <c r="H3897" s="6">
        <v>60</v>
      </c>
      <c r="I3897" s="26">
        <f t="shared" si="198"/>
        <v>0</v>
      </c>
      <c r="J3897" s="7" t="str">
        <f t="shared" si="199"/>
        <v>PAGADO</v>
      </c>
    </row>
    <row r="3898" spans="1:11" x14ac:dyDescent="0.25">
      <c r="A3898">
        <v>2025</v>
      </c>
      <c r="C3898" s="9" t="s">
        <v>3751</v>
      </c>
      <c r="D3898" s="9" t="s">
        <v>2213</v>
      </c>
      <c r="F3898" s="6">
        <v>60</v>
      </c>
      <c r="G3898" s="6">
        <f t="shared" si="197"/>
        <v>60</v>
      </c>
      <c r="H3898" s="6">
        <v>60</v>
      </c>
      <c r="I3898" s="26">
        <f t="shared" si="198"/>
        <v>0</v>
      </c>
      <c r="J3898" s="7" t="str">
        <f t="shared" si="199"/>
        <v>PAGADO</v>
      </c>
    </row>
    <row r="3899" spans="1:11" x14ac:dyDescent="0.25">
      <c r="A3899">
        <v>2025</v>
      </c>
      <c r="C3899" s="9" t="s">
        <v>3752</v>
      </c>
      <c r="D3899" s="9" t="s">
        <v>3599</v>
      </c>
      <c r="F3899" s="6">
        <v>70</v>
      </c>
      <c r="G3899" s="6">
        <f t="shared" si="197"/>
        <v>70</v>
      </c>
      <c r="H3899" s="6">
        <v>70</v>
      </c>
      <c r="I3899" s="26">
        <f t="shared" si="198"/>
        <v>0</v>
      </c>
      <c r="J3899" s="7" t="str">
        <f t="shared" si="199"/>
        <v>PAGADO</v>
      </c>
    </row>
    <row r="3900" spans="1:11" x14ac:dyDescent="0.25">
      <c r="A3900">
        <v>2025</v>
      </c>
      <c r="C3900" s="9" t="s">
        <v>3753</v>
      </c>
      <c r="D3900" s="9" t="s">
        <v>3599</v>
      </c>
      <c r="F3900" s="6">
        <v>70</v>
      </c>
      <c r="G3900" s="6">
        <f t="shared" si="197"/>
        <v>70</v>
      </c>
      <c r="H3900" s="6">
        <v>70</v>
      </c>
      <c r="I3900" s="26">
        <f t="shared" si="198"/>
        <v>0</v>
      </c>
      <c r="J3900" s="7" t="str">
        <f t="shared" si="199"/>
        <v>PAGADO</v>
      </c>
    </row>
    <row r="3901" spans="1:11" x14ac:dyDescent="0.25">
      <c r="A3901">
        <v>2025</v>
      </c>
      <c r="C3901" s="9" t="s">
        <v>3754</v>
      </c>
      <c r="D3901" s="9" t="s">
        <v>3599</v>
      </c>
      <c r="F3901" s="6">
        <v>80</v>
      </c>
      <c r="G3901" s="6">
        <f t="shared" si="197"/>
        <v>80</v>
      </c>
      <c r="H3901" s="6">
        <v>80</v>
      </c>
      <c r="I3901" s="26">
        <f t="shared" si="198"/>
        <v>0</v>
      </c>
      <c r="J3901" s="7" t="str">
        <f t="shared" si="199"/>
        <v>PAGADO</v>
      </c>
    </row>
    <row r="3902" spans="1:11" x14ac:dyDescent="0.25">
      <c r="A3902">
        <v>2025</v>
      </c>
      <c r="C3902" s="9" t="s">
        <v>2048</v>
      </c>
      <c r="D3902" s="9" t="s">
        <v>3026</v>
      </c>
      <c r="F3902" s="6">
        <v>50</v>
      </c>
      <c r="G3902" s="6">
        <f t="shared" ref="G3902:G3965" si="200">F3902-E3902</f>
        <v>50</v>
      </c>
      <c r="H3902" s="6">
        <v>50</v>
      </c>
      <c r="I3902" s="26">
        <f t="shared" si="198"/>
        <v>0</v>
      </c>
      <c r="J3902" s="7" t="str">
        <f t="shared" si="199"/>
        <v>PAGADO</v>
      </c>
    </row>
    <row r="3903" spans="1:11" x14ac:dyDescent="0.25">
      <c r="A3903">
        <v>2025</v>
      </c>
      <c r="C3903" s="9" t="s">
        <v>3389</v>
      </c>
      <c r="D3903" s="9" t="s">
        <v>3026</v>
      </c>
      <c r="F3903" s="6">
        <v>50</v>
      </c>
      <c r="G3903" s="6">
        <f t="shared" si="200"/>
        <v>50</v>
      </c>
      <c r="H3903" s="6">
        <v>50</v>
      </c>
      <c r="I3903" s="26">
        <f t="shared" si="198"/>
        <v>0</v>
      </c>
      <c r="J3903" s="7" t="str">
        <f t="shared" si="199"/>
        <v>PAGADO</v>
      </c>
    </row>
    <row r="3904" spans="1:11" x14ac:dyDescent="0.25">
      <c r="A3904">
        <v>2025</v>
      </c>
      <c r="C3904" s="9" t="s">
        <v>3659</v>
      </c>
      <c r="D3904" s="9" t="s">
        <v>1399</v>
      </c>
      <c r="F3904" s="6">
        <v>60</v>
      </c>
      <c r="G3904" s="6">
        <f t="shared" si="200"/>
        <v>60</v>
      </c>
      <c r="H3904" s="6">
        <v>60</v>
      </c>
      <c r="I3904" s="26">
        <f t="shared" si="198"/>
        <v>0</v>
      </c>
      <c r="J3904" s="7" t="str">
        <f t="shared" si="199"/>
        <v>PAGADO</v>
      </c>
    </row>
    <row r="3905" spans="1:13" x14ac:dyDescent="0.25">
      <c r="A3905">
        <v>2025</v>
      </c>
      <c r="C3905" s="9" t="s">
        <v>3755</v>
      </c>
      <c r="D3905" t="s">
        <v>3592</v>
      </c>
      <c r="F3905" s="6">
        <v>75</v>
      </c>
      <c r="G3905" s="6">
        <f t="shared" si="200"/>
        <v>75</v>
      </c>
      <c r="H3905" s="6">
        <v>75</v>
      </c>
      <c r="I3905" s="26">
        <f t="shared" si="198"/>
        <v>0</v>
      </c>
      <c r="J3905" s="7" t="str">
        <f t="shared" si="199"/>
        <v>PAGADO</v>
      </c>
    </row>
    <row r="3906" spans="1:13" x14ac:dyDescent="0.25">
      <c r="A3906">
        <v>2025</v>
      </c>
      <c r="C3906" s="9" t="s">
        <v>3361</v>
      </c>
      <c r="D3906" s="9" t="s">
        <v>2018</v>
      </c>
      <c r="F3906" s="6">
        <v>70</v>
      </c>
      <c r="G3906" s="6">
        <f t="shared" si="200"/>
        <v>70</v>
      </c>
      <c r="H3906" s="6">
        <f>40+30</f>
        <v>70</v>
      </c>
      <c r="I3906" s="26">
        <f t="shared" si="198"/>
        <v>0</v>
      </c>
      <c r="J3906" s="7" t="str">
        <f t="shared" si="199"/>
        <v>PAGADO</v>
      </c>
      <c r="K3906" s="33" t="s">
        <v>1815</v>
      </c>
    </row>
    <row r="3907" spans="1:13" x14ac:dyDescent="0.25">
      <c r="A3907">
        <v>2025</v>
      </c>
      <c r="C3907" s="9" t="s">
        <v>3756</v>
      </c>
      <c r="D3907" s="9" t="s">
        <v>2018</v>
      </c>
      <c r="F3907" s="6">
        <v>70</v>
      </c>
      <c r="G3907" s="6">
        <f t="shared" si="200"/>
        <v>70</v>
      </c>
      <c r="H3907" s="6">
        <f>40+30</f>
        <v>70</v>
      </c>
      <c r="I3907" s="26">
        <f t="shared" si="198"/>
        <v>0</v>
      </c>
      <c r="J3907" s="7" t="str">
        <f t="shared" si="199"/>
        <v>PAGADO</v>
      </c>
      <c r="K3907" s="33" t="s">
        <v>1815</v>
      </c>
    </row>
    <row r="3908" spans="1:13" x14ac:dyDescent="0.25">
      <c r="A3908">
        <v>2025</v>
      </c>
      <c r="C3908" s="9" t="s">
        <v>2725</v>
      </c>
      <c r="D3908" s="9" t="s">
        <v>2018</v>
      </c>
      <c r="F3908" s="6">
        <v>65</v>
      </c>
      <c r="G3908" s="6">
        <f t="shared" si="200"/>
        <v>65</v>
      </c>
      <c r="H3908" s="6">
        <f>35+30</f>
        <v>65</v>
      </c>
      <c r="I3908" s="26">
        <f t="shared" si="198"/>
        <v>0</v>
      </c>
      <c r="J3908" s="7" t="str">
        <f t="shared" si="199"/>
        <v>PAGADO</v>
      </c>
      <c r="K3908" s="33" t="s">
        <v>1815</v>
      </c>
      <c r="M3908" s="82"/>
    </row>
    <row r="3909" spans="1:13" x14ac:dyDescent="0.25">
      <c r="A3909">
        <v>2025</v>
      </c>
      <c r="C3909" s="9" t="s">
        <v>3757</v>
      </c>
      <c r="D3909" s="9" t="s">
        <v>18</v>
      </c>
      <c r="F3909" s="6">
        <v>330</v>
      </c>
      <c r="G3909" s="6">
        <f t="shared" si="200"/>
        <v>330</v>
      </c>
      <c r="H3909" s="6">
        <f>200+110+20</f>
        <v>330</v>
      </c>
      <c r="I3909" s="26">
        <f t="shared" si="198"/>
        <v>0</v>
      </c>
      <c r="J3909" s="7" t="str">
        <f t="shared" si="199"/>
        <v>PAGADO</v>
      </c>
      <c r="K3909" s="33" t="s">
        <v>2479</v>
      </c>
    </row>
    <row r="3910" spans="1:13" x14ac:dyDescent="0.25">
      <c r="A3910">
        <v>2025</v>
      </c>
      <c r="C3910" s="9" t="s">
        <v>3758</v>
      </c>
      <c r="D3910" s="9" t="s">
        <v>31</v>
      </c>
      <c r="F3910" s="6">
        <v>70</v>
      </c>
      <c r="G3910" s="6">
        <f t="shared" si="200"/>
        <v>70</v>
      </c>
      <c r="H3910" s="6">
        <v>70</v>
      </c>
      <c r="I3910" s="26">
        <f t="shared" si="198"/>
        <v>0</v>
      </c>
      <c r="J3910" s="7" t="str">
        <f t="shared" si="199"/>
        <v>PAGADO</v>
      </c>
    </row>
    <row r="3911" spans="1:13" x14ac:dyDescent="0.25">
      <c r="A3911">
        <v>2025</v>
      </c>
      <c r="C3911" s="9" t="s">
        <v>3759</v>
      </c>
      <c r="D3911" s="9" t="s">
        <v>1606</v>
      </c>
      <c r="F3911" s="6">
        <v>100</v>
      </c>
      <c r="G3911" s="6">
        <f t="shared" si="200"/>
        <v>100</v>
      </c>
      <c r="H3911" s="6">
        <v>100</v>
      </c>
      <c r="I3911" s="26">
        <f t="shared" si="198"/>
        <v>0</v>
      </c>
      <c r="J3911" s="7" t="str">
        <f t="shared" si="199"/>
        <v>PAGADO</v>
      </c>
    </row>
    <row r="3912" spans="1:13" x14ac:dyDescent="0.25">
      <c r="A3912">
        <v>2025</v>
      </c>
      <c r="C3912" s="9" t="s">
        <v>3760</v>
      </c>
      <c r="D3912" s="9" t="s">
        <v>3761</v>
      </c>
      <c r="F3912" s="6">
        <v>130</v>
      </c>
      <c r="G3912" s="6">
        <f t="shared" si="200"/>
        <v>130</v>
      </c>
      <c r="H3912" s="6">
        <v>130</v>
      </c>
      <c r="I3912" s="26">
        <f t="shared" si="198"/>
        <v>0</v>
      </c>
      <c r="J3912" s="7" t="str">
        <f t="shared" si="199"/>
        <v>PAGADO</v>
      </c>
    </row>
    <row r="3913" spans="1:13" x14ac:dyDescent="0.25">
      <c r="A3913">
        <v>2025</v>
      </c>
      <c r="C3913" s="9" t="s">
        <v>3762</v>
      </c>
      <c r="D3913" s="9" t="s">
        <v>2360</v>
      </c>
      <c r="F3913" s="6">
        <v>35</v>
      </c>
      <c r="G3913" s="6">
        <f t="shared" si="200"/>
        <v>35</v>
      </c>
      <c r="H3913" s="6">
        <f>15+10+10</f>
        <v>35</v>
      </c>
      <c r="I3913" s="26">
        <f t="shared" si="198"/>
        <v>0</v>
      </c>
      <c r="J3913" s="7" t="str">
        <f t="shared" si="199"/>
        <v>PAGADO</v>
      </c>
    </row>
    <row r="3914" spans="1:13" x14ac:dyDescent="0.25">
      <c r="A3914">
        <v>2025</v>
      </c>
      <c r="C3914" s="9" t="s">
        <v>3763</v>
      </c>
      <c r="D3914" s="9" t="s">
        <v>3026</v>
      </c>
      <c r="F3914" s="6">
        <v>70</v>
      </c>
      <c r="G3914" s="6">
        <f t="shared" si="200"/>
        <v>70</v>
      </c>
      <c r="H3914" s="6">
        <v>70</v>
      </c>
      <c r="I3914" s="26">
        <f t="shared" si="198"/>
        <v>0</v>
      </c>
      <c r="J3914" s="7" t="str">
        <f t="shared" si="199"/>
        <v>PAGADO</v>
      </c>
    </row>
    <row r="3915" spans="1:13" x14ac:dyDescent="0.25">
      <c r="A3915">
        <v>2025</v>
      </c>
      <c r="C3915" s="9" t="s">
        <v>3764</v>
      </c>
      <c r="D3915" s="9" t="s">
        <v>3026</v>
      </c>
      <c r="F3915" s="6">
        <v>70</v>
      </c>
      <c r="G3915" s="6">
        <f t="shared" si="200"/>
        <v>70</v>
      </c>
      <c r="H3915" s="6">
        <v>70</v>
      </c>
      <c r="I3915" s="26">
        <f t="shared" si="198"/>
        <v>0</v>
      </c>
      <c r="J3915" s="7" t="str">
        <f t="shared" si="199"/>
        <v>PAGADO</v>
      </c>
    </row>
    <row r="3916" spans="1:13" x14ac:dyDescent="0.25">
      <c r="A3916">
        <v>2025</v>
      </c>
      <c r="C3916" s="9" t="s">
        <v>3765</v>
      </c>
      <c r="D3916" s="9" t="s">
        <v>2878</v>
      </c>
      <c r="F3916" s="6">
        <v>320</v>
      </c>
      <c r="G3916" s="6">
        <f t="shared" si="200"/>
        <v>320</v>
      </c>
      <c r="H3916" s="6">
        <v>320</v>
      </c>
      <c r="I3916" s="26">
        <f t="shared" si="198"/>
        <v>0</v>
      </c>
      <c r="J3916" s="7" t="str">
        <f t="shared" si="199"/>
        <v>PAGADO</v>
      </c>
      <c r="K3916" s="33" t="s">
        <v>3766</v>
      </c>
    </row>
    <row r="3917" spans="1:13" x14ac:dyDescent="0.25">
      <c r="A3917">
        <v>2025</v>
      </c>
      <c r="C3917" s="9" t="s">
        <v>3767</v>
      </c>
      <c r="D3917" s="9" t="s">
        <v>2878</v>
      </c>
      <c r="F3917" s="6">
        <v>60</v>
      </c>
      <c r="G3917" s="6">
        <f t="shared" si="200"/>
        <v>60</v>
      </c>
      <c r="H3917" s="6">
        <v>60</v>
      </c>
      <c r="I3917" s="26">
        <f t="shared" si="198"/>
        <v>0</v>
      </c>
      <c r="J3917" s="7" t="str">
        <f t="shared" si="199"/>
        <v>PAGADO</v>
      </c>
    </row>
    <row r="3918" spans="1:13" x14ac:dyDescent="0.25">
      <c r="A3918">
        <v>2025</v>
      </c>
      <c r="C3918" s="9" t="s">
        <v>3768</v>
      </c>
      <c r="D3918" s="9" t="s">
        <v>2548</v>
      </c>
      <c r="F3918" s="6">
        <v>70</v>
      </c>
      <c r="G3918" s="6">
        <f t="shared" si="200"/>
        <v>70</v>
      </c>
      <c r="H3918" s="6">
        <v>70</v>
      </c>
      <c r="I3918" s="26">
        <f t="shared" si="198"/>
        <v>0</v>
      </c>
      <c r="J3918" s="7" t="str">
        <f t="shared" si="199"/>
        <v>PAGADO</v>
      </c>
    </row>
    <row r="3919" spans="1:13" x14ac:dyDescent="0.25">
      <c r="A3919">
        <v>2025</v>
      </c>
      <c r="C3919" s="9" t="s">
        <v>3769</v>
      </c>
      <c r="D3919" s="9" t="s">
        <v>2548</v>
      </c>
      <c r="F3919" s="6">
        <v>140</v>
      </c>
      <c r="G3919" s="6">
        <f t="shared" si="200"/>
        <v>140</v>
      </c>
      <c r="H3919" s="6">
        <f>70+70</f>
        <v>140</v>
      </c>
      <c r="I3919" s="26">
        <f t="shared" si="198"/>
        <v>0</v>
      </c>
      <c r="J3919" s="7" t="str">
        <f t="shared" si="199"/>
        <v>PAGADO</v>
      </c>
      <c r="K3919" s="33" t="s">
        <v>2640</v>
      </c>
    </row>
    <row r="3920" spans="1:13" x14ac:dyDescent="0.25">
      <c r="A3920">
        <v>2025</v>
      </c>
      <c r="C3920" s="9" t="s">
        <v>3770</v>
      </c>
      <c r="D3920" s="9" t="s">
        <v>2548</v>
      </c>
      <c r="F3920" s="6">
        <v>70</v>
      </c>
      <c r="G3920" s="6">
        <f t="shared" si="200"/>
        <v>70</v>
      </c>
      <c r="H3920" s="6">
        <v>70</v>
      </c>
      <c r="I3920" s="26">
        <f t="shared" si="198"/>
        <v>0</v>
      </c>
      <c r="J3920" s="7" t="str">
        <f t="shared" si="199"/>
        <v>PAGADO</v>
      </c>
    </row>
    <row r="3921" spans="1:11" x14ac:dyDescent="0.25">
      <c r="A3921">
        <v>2025</v>
      </c>
      <c r="C3921" s="9" t="s">
        <v>3771</v>
      </c>
      <c r="D3921" s="9" t="s">
        <v>2548</v>
      </c>
      <c r="F3921" s="6">
        <v>75</v>
      </c>
      <c r="G3921" s="6">
        <f t="shared" si="200"/>
        <v>75</v>
      </c>
      <c r="H3921" s="6">
        <v>75</v>
      </c>
      <c r="I3921" s="26">
        <f t="shared" si="198"/>
        <v>0</v>
      </c>
      <c r="J3921" s="7" t="str">
        <f t="shared" si="199"/>
        <v>PAGADO</v>
      </c>
    </row>
    <row r="3922" spans="1:11" x14ac:dyDescent="0.25">
      <c r="A3922">
        <v>2025</v>
      </c>
      <c r="C3922" t="s">
        <v>3772</v>
      </c>
      <c r="D3922" t="s">
        <v>3142</v>
      </c>
      <c r="F3922" s="6">
        <v>200</v>
      </c>
      <c r="G3922" s="6">
        <f t="shared" si="200"/>
        <v>200</v>
      </c>
      <c r="H3922" s="6">
        <f>100+70+30</f>
        <v>200</v>
      </c>
      <c r="I3922" s="26">
        <f t="shared" ref="I3922:I3985" si="201">F3922-H3922</f>
        <v>0</v>
      </c>
      <c r="J3922" s="7" t="str">
        <f t="shared" si="199"/>
        <v>PAGADO</v>
      </c>
      <c r="K3922" s="9" t="s">
        <v>2639</v>
      </c>
    </row>
    <row r="3923" spans="1:11" x14ac:dyDescent="0.25">
      <c r="A3923">
        <v>2025</v>
      </c>
      <c r="C3923" t="s">
        <v>3773</v>
      </c>
      <c r="D3923" s="9" t="s">
        <v>3728</v>
      </c>
      <c r="F3923" s="6">
        <v>60</v>
      </c>
      <c r="G3923" s="6">
        <f t="shared" si="200"/>
        <v>60</v>
      </c>
      <c r="H3923" s="6">
        <v>60</v>
      </c>
      <c r="I3923" s="26">
        <f t="shared" si="201"/>
        <v>0</v>
      </c>
      <c r="J3923" s="7" t="str">
        <f t="shared" si="199"/>
        <v>PAGADO</v>
      </c>
      <c r="K3923" s="33" t="s">
        <v>2639</v>
      </c>
    </row>
    <row r="3924" spans="1:11" x14ac:dyDescent="0.25">
      <c r="A3924">
        <v>2025</v>
      </c>
      <c r="C3924" t="s">
        <v>3774</v>
      </c>
      <c r="D3924" s="9" t="s">
        <v>3612</v>
      </c>
      <c r="F3924" s="6">
        <v>150</v>
      </c>
      <c r="G3924" s="6">
        <f t="shared" si="200"/>
        <v>150</v>
      </c>
      <c r="H3924" s="6">
        <v>150</v>
      </c>
      <c r="I3924" s="26">
        <f t="shared" si="201"/>
        <v>0</v>
      </c>
      <c r="J3924" s="7" t="str">
        <f t="shared" si="199"/>
        <v>PAGADO</v>
      </c>
    </row>
    <row r="3925" spans="1:11" x14ac:dyDescent="0.25">
      <c r="A3925">
        <v>2025</v>
      </c>
      <c r="C3925" s="9" t="s">
        <v>3775</v>
      </c>
      <c r="D3925" s="9" t="s">
        <v>80</v>
      </c>
      <c r="F3925" s="6">
        <v>70</v>
      </c>
      <c r="G3925" s="6">
        <f t="shared" si="200"/>
        <v>70</v>
      </c>
      <c r="H3925" s="6">
        <v>70</v>
      </c>
      <c r="I3925" s="26">
        <f t="shared" si="201"/>
        <v>0</v>
      </c>
      <c r="J3925" s="7" t="str">
        <f t="shared" si="199"/>
        <v>PAGADO</v>
      </c>
    </row>
    <row r="3926" spans="1:11" x14ac:dyDescent="0.25">
      <c r="A3926">
        <v>2025</v>
      </c>
      <c r="C3926" s="9" t="s">
        <v>3776</v>
      </c>
      <c r="D3926" s="9" t="s">
        <v>2878</v>
      </c>
      <c r="F3926" s="6">
        <v>40</v>
      </c>
      <c r="G3926" s="6">
        <f t="shared" si="200"/>
        <v>40</v>
      </c>
      <c r="H3926" s="6">
        <v>40</v>
      </c>
      <c r="I3926" s="26">
        <f t="shared" si="201"/>
        <v>0</v>
      </c>
      <c r="J3926" s="7" t="str">
        <f t="shared" si="199"/>
        <v>PAGADO</v>
      </c>
    </row>
    <row r="3927" spans="1:11" x14ac:dyDescent="0.25">
      <c r="A3927">
        <v>2025</v>
      </c>
      <c r="C3927" s="9" t="s">
        <v>3425</v>
      </c>
      <c r="D3927" s="9" t="s">
        <v>2878</v>
      </c>
      <c r="F3927" s="6">
        <v>250</v>
      </c>
      <c r="G3927" s="6">
        <f t="shared" si="200"/>
        <v>250</v>
      </c>
      <c r="H3927" s="6">
        <v>250</v>
      </c>
      <c r="I3927" s="26">
        <f t="shared" si="201"/>
        <v>0</v>
      </c>
      <c r="J3927" s="7" t="str">
        <f t="shared" si="199"/>
        <v>PAGADO</v>
      </c>
    </row>
    <row r="3928" spans="1:11" x14ac:dyDescent="0.25">
      <c r="A3928">
        <v>2025</v>
      </c>
      <c r="C3928" s="9" t="s">
        <v>3777</v>
      </c>
      <c r="D3928" s="9" t="s">
        <v>2878</v>
      </c>
      <c r="F3928" s="6">
        <v>60</v>
      </c>
      <c r="G3928" s="6">
        <f t="shared" si="200"/>
        <v>60</v>
      </c>
      <c r="H3928" s="6">
        <v>60</v>
      </c>
      <c r="I3928" s="26">
        <f t="shared" si="201"/>
        <v>0</v>
      </c>
      <c r="J3928" s="7" t="str">
        <f t="shared" si="199"/>
        <v>PAGADO</v>
      </c>
    </row>
    <row r="3929" spans="1:11" x14ac:dyDescent="0.25">
      <c r="A3929">
        <v>2025</v>
      </c>
      <c r="C3929" t="s">
        <v>3778</v>
      </c>
      <c r="D3929" t="s">
        <v>2935</v>
      </c>
      <c r="F3929" s="6">
        <v>60</v>
      </c>
      <c r="G3929" s="6">
        <f t="shared" si="200"/>
        <v>60</v>
      </c>
      <c r="H3929" s="6">
        <v>60</v>
      </c>
      <c r="I3929" s="26">
        <f t="shared" si="201"/>
        <v>0</v>
      </c>
      <c r="J3929" s="7" t="str">
        <f t="shared" si="199"/>
        <v>PAGADO</v>
      </c>
      <c r="K3929" s="33" t="s">
        <v>2639</v>
      </c>
    </row>
    <row r="3930" spans="1:11" x14ac:dyDescent="0.25">
      <c r="A3930">
        <v>2025</v>
      </c>
      <c r="C3930" s="9" t="s">
        <v>3779</v>
      </c>
      <c r="D3930" t="s">
        <v>2935</v>
      </c>
      <c r="F3930" s="6">
        <v>60</v>
      </c>
      <c r="G3930" s="6">
        <f t="shared" si="200"/>
        <v>60</v>
      </c>
      <c r="H3930" s="6">
        <v>60</v>
      </c>
      <c r="I3930" s="26">
        <f t="shared" si="201"/>
        <v>0</v>
      </c>
      <c r="J3930" s="7" t="str">
        <f t="shared" si="199"/>
        <v>PAGADO</v>
      </c>
      <c r="K3930" s="33" t="s">
        <v>2639</v>
      </c>
    </row>
    <row r="3931" spans="1:11" x14ac:dyDescent="0.25">
      <c r="A3931">
        <v>2025</v>
      </c>
      <c r="C3931" s="9" t="s">
        <v>3780</v>
      </c>
      <c r="D3931" t="s">
        <v>2935</v>
      </c>
      <c r="F3931" s="6">
        <v>70</v>
      </c>
      <c r="G3931" s="6">
        <f t="shared" si="200"/>
        <v>70</v>
      </c>
      <c r="H3931" s="6">
        <v>70</v>
      </c>
      <c r="I3931" s="26">
        <f t="shared" si="201"/>
        <v>0</v>
      </c>
      <c r="J3931" s="7" t="str">
        <f t="shared" si="199"/>
        <v>PAGADO</v>
      </c>
      <c r="K3931" s="33" t="s">
        <v>2639</v>
      </c>
    </row>
    <row r="3932" spans="1:11" x14ac:dyDescent="0.25">
      <c r="A3932">
        <v>2025</v>
      </c>
      <c r="C3932" s="9" t="s">
        <v>3781</v>
      </c>
      <c r="D3932" t="s">
        <v>2935</v>
      </c>
      <c r="F3932" s="6">
        <v>70</v>
      </c>
      <c r="G3932" s="6">
        <f t="shared" si="200"/>
        <v>70</v>
      </c>
      <c r="H3932" s="6">
        <v>70</v>
      </c>
      <c r="I3932" s="26">
        <f t="shared" si="201"/>
        <v>0</v>
      </c>
      <c r="J3932" s="7" t="str">
        <f t="shared" si="199"/>
        <v>PAGADO</v>
      </c>
      <c r="K3932" s="33" t="s">
        <v>2639</v>
      </c>
    </row>
    <row r="3933" spans="1:11" x14ac:dyDescent="0.25">
      <c r="A3933">
        <v>2025</v>
      </c>
      <c r="C3933" s="9" t="s">
        <v>3782</v>
      </c>
      <c r="D3933" s="9" t="s">
        <v>2969</v>
      </c>
      <c r="F3933" s="6">
        <v>430</v>
      </c>
      <c r="G3933" s="6">
        <f t="shared" si="200"/>
        <v>430</v>
      </c>
      <c r="H3933" s="6">
        <v>430</v>
      </c>
      <c r="I3933" s="26">
        <f t="shared" si="201"/>
        <v>0</v>
      </c>
      <c r="J3933" s="7" t="str">
        <f t="shared" si="199"/>
        <v>PAGADO</v>
      </c>
      <c r="K3933" s="33" t="s">
        <v>2639</v>
      </c>
    </row>
    <row r="3934" spans="1:11" x14ac:dyDescent="0.25">
      <c r="A3934">
        <v>2025</v>
      </c>
      <c r="C3934" s="9" t="s">
        <v>3783</v>
      </c>
      <c r="D3934" s="9" t="s">
        <v>2969</v>
      </c>
      <c r="F3934" s="6">
        <v>150</v>
      </c>
      <c r="G3934" s="6">
        <f t="shared" si="200"/>
        <v>150</v>
      </c>
      <c r="H3934" s="6">
        <v>150</v>
      </c>
      <c r="I3934" s="26">
        <f t="shared" si="201"/>
        <v>0</v>
      </c>
      <c r="J3934" s="7" t="str">
        <f t="shared" si="199"/>
        <v>PAGADO</v>
      </c>
      <c r="K3934" s="33" t="s">
        <v>2639</v>
      </c>
    </row>
    <row r="3935" spans="1:11" x14ac:dyDescent="0.25">
      <c r="A3935">
        <v>2025</v>
      </c>
      <c r="C3935" s="9" t="s">
        <v>3784</v>
      </c>
      <c r="D3935" s="9" t="s">
        <v>2969</v>
      </c>
      <c r="F3935" s="6">
        <v>190</v>
      </c>
      <c r="G3935" s="6">
        <f t="shared" si="200"/>
        <v>190</v>
      </c>
      <c r="H3935" s="6">
        <v>190</v>
      </c>
      <c r="I3935" s="26">
        <f t="shared" si="201"/>
        <v>0</v>
      </c>
      <c r="J3935" s="7" t="str">
        <f t="shared" si="199"/>
        <v>PAGADO</v>
      </c>
      <c r="K3935" s="33" t="s">
        <v>2639</v>
      </c>
    </row>
    <row r="3936" spans="1:11" x14ac:dyDescent="0.25">
      <c r="A3936">
        <v>2025</v>
      </c>
      <c r="C3936" s="9" t="s">
        <v>3785</v>
      </c>
      <c r="D3936" s="9" t="s">
        <v>2906</v>
      </c>
      <c r="F3936" s="6">
        <v>130</v>
      </c>
      <c r="G3936" s="6">
        <f t="shared" si="200"/>
        <v>130</v>
      </c>
      <c r="H3936" s="6">
        <v>130</v>
      </c>
      <c r="I3936" s="26">
        <f t="shared" si="201"/>
        <v>0</v>
      </c>
      <c r="J3936" s="7" t="str">
        <f t="shared" si="199"/>
        <v>PAGADO</v>
      </c>
      <c r="K3936" s="33" t="s">
        <v>2639</v>
      </c>
    </row>
    <row r="3937" spans="1:12" x14ac:dyDescent="0.25">
      <c r="A3937">
        <v>2025</v>
      </c>
      <c r="C3937" s="9" t="s">
        <v>3786</v>
      </c>
      <c r="D3937" s="9" t="s">
        <v>2906</v>
      </c>
      <c r="F3937" s="6">
        <v>60</v>
      </c>
      <c r="G3937" s="6">
        <f t="shared" si="200"/>
        <v>60</v>
      </c>
      <c r="H3937" s="6">
        <v>60</v>
      </c>
      <c r="I3937" s="26">
        <f t="shared" si="201"/>
        <v>0</v>
      </c>
      <c r="J3937" s="7" t="str">
        <f t="shared" si="199"/>
        <v>PAGADO</v>
      </c>
      <c r="K3937" s="33" t="s">
        <v>2639</v>
      </c>
    </row>
    <row r="3938" spans="1:12" x14ac:dyDescent="0.25">
      <c r="A3938">
        <v>2025</v>
      </c>
      <c r="C3938" s="9" t="s">
        <v>3787</v>
      </c>
      <c r="D3938" s="9" t="s">
        <v>1510</v>
      </c>
      <c r="F3938" s="6">
        <v>80</v>
      </c>
      <c r="G3938" s="6">
        <f t="shared" si="200"/>
        <v>80</v>
      </c>
      <c r="H3938" s="6">
        <v>80</v>
      </c>
      <c r="I3938" s="26">
        <f t="shared" si="201"/>
        <v>0</v>
      </c>
      <c r="J3938" s="7" t="str">
        <f t="shared" si="199"/>
        <v>PAGADO</v>
      </c>
      <c r="K3938" s="33" t="s">
        <v>2639</v>
      </c>
    </row>
    <row r="3939" spans="1:12" x14ac:dyDescent="0.25">
      <c r="A3939">
        <v>2025</v>
      </c>
      <c r="C3939" s="9" t="s">
        <v>3788</v>
      </c>
      <c r="D3939" s="9" t="s">
        <v>1510</v>
      </c>
      <c r="F3939" s="6">
        <v>80</v>
      </c>
      <c r="G3939" s="6">
        <f t="shared" si="200"/>
        <v>80</v>
      </c>
      <c r="H3939" s="6">
        <v>80</v>
      </c>
      <c r="I3939" s="26">
        <f t="shared" si="201"/>
        <v>0</v>
      </c>
      <c r="J3939" s="7" t="str">
        <f t="shared" ref="J3939:J4002" si="202">IF(I3939&gt;0,"DEBE","PAGADO")</f>
        <v>PAGADO</v>
      </c>
      <c r="K3939" s="33" t="s">
        <v>2639</v>
      </c>
    </row>
    <row r="3940" spans="1:12" x14ac:dyDescent="0.25">
      <c r="A3940">
        <v>2025</v>
      </c>
      <c r="C3940" s="9" t="s">
        <v>3789</v>
      </c>
      <c r="D3940" s="9" t="s">
        <v>1510</v>
      </c>
      <c r="F3940" s="6">
        <v>60</v>
      </c>
      <c r="G3940" s="6">
        <f t="shared" si="200"/>
        <v>60</v>
      </c>
      <c r="H3940" s="6">
        <v>60</v>
      </c>
      <c r="I3940" s="26">
        <f t="shared" si="201"/>
        <v>0</v>
      </c>
      <c r="J3940" s="7" t="str">
        <f t="shared" si="202"/>
        <v>PAGADO</v>
      </c>
      <c r="K3940" s="33" t="s">
        <v>2639</v>
      </c>
    </row>
    <row r="3941" spans="1:12" x14ac:dyDescent="0.25">
      <c r="A3941">
        <v>2025</v>
      </c>
      <c r="C3941" s="9" t="s">
        <v>3790</v>
      </c>
      <c r="D3941" s="9" t="s">
        <v>1510</v>
      </c>
      <c r="F3941" s="6">
        <v>60</v>
      </c>
      <c r="G3941" s="6">
        <f t="shared" si="200"/>
        <v>60</v>
      </c>
      <c r="H3941" s="6">
        <v>60</v>
      </c>
      <c r="I3941" s="26">
        <f t="shared" si="201"/>
        <v>0</v>
      </c>
      <c r="J3941" s="7" t="str">
        <f t="shared" si="202"/>
        <v>PAGADO</v>
      </c>
      <c r="K3941" s="33" t="s">
        <v>2639</v>
      </c>
    </row>
    <row r="3942" spans="1:12" x14ac:dyDescent="0.25">
      <c r="A3942">
        <v>2025</v>
      </c>
      <c r="C3942" s="9" t="s">
        <v>3378</v>
      </c>
      <c r="D3942" s="9" t="s">
        <v>1510</v>
      </c>
      <c r="F3942" s="6">
        <v>85</v>
      </c>
      <c r="G3942" s="6">
        <f t="shared" si="200"/>
        <v>85</v>
      </c>
      <c r="H3942" s="6">
        <v>85</v>
      </c>
      <c r="I3942" s="26">
        <f t="shared" si="201"/>
        <v>0</v>
      </c>
      <c r="J3942" s="7" t="str">
        <f t="shared" si="202"/>
        <v>PAGADO</v>
      </c>
      <c r="K3942" s="33" t="s">
        <v>2639</v>
      </c>
    </row>
    <row r="3943" spans="1:12" x14ac:dyDescent="0.25">
      <c r="A3943">
        <v>2025</v>
      </c>
      <c r="C3943" s="9" t="s">
        <v>3791</v>
      </c>
      <c r="D3943" s="9" t="s">
        <v>1510</v>
      </c>
      <c r="F3943" s="6">
        <v>70</v>
      </c>
      <c r="G3943" s="6">
        <f t="shared" si="200"/>
        <v>70</v>
      </c>
      <c r="H3943" s="6">
        <v>70</v>
      </c>
      <c r="I3943" s="26">
        <f t="shared" si="201"/>
        <v>0</v>
      </c>
      <c r="J3943" s="7" t="str">
        <f t="shared" si="202"/>
        <v>PAGADO</v>
      </c>
      <c r="K3943" s="33" t="s">
        <v>2639</v>
      </c>
    </row>
    <row r="3944" spans="1:12" x14ac:dyDescent="0.25">
      <c r="A3944">
        <v>2025</v>
      </c>
      <c r="C3944" s="9" t="s">
        <v>3792</v>
      </c>
      <c r="D3944" s="9" t="s">
        <v>74</v>
      </c>
      <c r="F3944" s="6">
        <v>70</v>
      </c>
      <c r="G3944" s="6">
        <f t="shared" si="200"/>
        <v>70</v>
      </c>
      <c r="H3944" s="6">
        <v>70</v>
      </c>
      <c r="I3944" s="26">
        <f t="shared" si="201"/>
        <v>0</v>
      </c>
      <c r="J3944" s="7" t="str">
        <f t="shared" si="202"/>
        <v>PAGADO</v>
      </c>
      <c r="K3944" s="33" t="s">
        <v>2639</v>
      </c>
    </row>
    <row r="3945" spans="1:12" x14ac:dyDescent="0.25">
      <c r="A3945">
        <v>2025</v>
      </c>
      <c r="C3945" s="9" t="s">
        <v>3793</v>
      </c>
      <c r="D3945" s="9" t="s">
        <v>2548</v>
      </c>
      <c r="F3945" s="6">
        <v>80</v>
      </c>
      <c r="G3945" s="6">
        <f t="shared" si="200"/>
        <v>80</v>
      </c>
      <c r="H3945" s="6">
        <f>40+40</f>
        <v>80</v>
      </c>
      <c r="I3945" s="26">
        <f t="shared" si="201"/>
        <v>0</v>
      </c>
      <c r="J3945" s="7" t="str">
        <f t="shared" si="202"/>
        <v>PAGADO</v>
      </c>
      <c r="K3945" s="33" t="s">
        <v>2639</v>
      </c>
      <c r="L3945" s="9" t="s">
        <v>3794</v>
      </c>
    </row>
    <row r="3946" spans="1:12" x14ac:dyDescent="0.25">
      <c r="A3946">
        <v>2025</v>
      </c>
      <c r="C3946" s="9" t="s">
        <v>3795</v>
      </c>
      <c r="D3946" s="9" t="s">
        <v>2548</v>
      </c>
      <c r="F3946" s="6">
        <v>80</v>
      </c>
      <c r="G3946" s="6">
        <f t="shared" si="200"/>
        <v>80</v>
      </c>
      <c r="H3946" s="6">
        <f>40+40</f>
        <v>80</v>
      </c>
      <c r="I3946" s="26">
        <f t="shared" si="201"/>
        <v>0</v>
      </c>
      <c r="J3946" s="7" t="str">
        <f t="shared" si="202"/>
        <v>PAGADO</v>
      </c>
      <c r="K3946" s="33" t="s">
        <v>2639</v>
      </c>
      <c r="L3946" s="9" t="s">
        <v>3794</v>
      </c>
    </row>
    <row r="3947" spans="1:12" x14ac:dyDescent="0.25">
      <c r="A3947">
        <v>2025</v>
      </c>
      <c r="C3947" s="9" t="s">
        <v>3796</v>
      </c>
      <c r="D3947" s="9" t="s">
        <v>2548</v>
      </c>
      <c r="F3947" s="6">
        <v>90</v>
      </c>
      <c r="G3947" s="6">
        <f t="shared" si="200"/>
        <v>90</v>
      </c>
      <c r="H3947" s="6">
        <f>45+45</f>
        <v>90</v>
      </c>
      <c r="I3947" s="26">
        <f t="shared" si="201"/>
        <v>0</v>
      </c>
      <c r="J3947" s="7" t="str">
        <f t="shared" si="202"/>
        <v>PAGADO</v>
      </c>
      <c r="K3947" s="33" t="s">
        <v>2639</v>
      </c>
      <c r="L3947" s="9" t="s">
        <v>3794</v>
      </c>
    </row>
    <row r="3948" spans="1:12" x14ac:dyDescent="0.25">
      <c r="A3948">
        <v>2025</v>
      </c>
      <c r="C3948" s="9" t="s">
        <v>3797</v>
      </c>
      <c r="D3948" s="9" t="s">
        <v>1309</v>
      </c>
      <c r="F3948" s="6">
        <v>70</v>
      </c>
      <c r="G3948" s="6">
        <f t="shared" si="200"/>
        <v>70</v>
      </c>
      <c r="H3948" s="6">
        <v>70</v>
      </c>
      <c r="I3948" s="26">
        <f t="shared" si="201"/>
        <v>0</v>
      </c>
      <c r="J3948" s="7" t="str">
        <f t="shared" si="202"/>
        <v>PAGADO</v>
      </c>
      <c r="K3948" s="33" t="s">
        <v>2639</v>
      </c>
    </row>
    <row r="3949" spans="1:12" x14ac:dyDescent="0.25">
      <c r="A3949">
        <v>2025</v>
      </c>
      <c r="C3949" t="s">
        <v>3798</v>
      </c>
      <c r="D3949" s="9" t="s">
        <v>2275</v>
      </c>
      <c r="F3949" s="6">
        <v>70</v>
      </c>
      <c r="G3949" s="6">
        <f t="shared" si="200"/>
        <v>70</v>
      </c>
      <c r="H3949" s="6">
        <v>70</v>
      </c>
      <c r="I3949" s="16">
        <f t="shared" si="201"/>
        <v>0</v>
      </c>
      <c r="J3949" s="7" t="str">
        <f t="shared" si="202"/>
        <v>PAGADO</v>
      </c>
      <c r="K3949" s="33" t="s">
        <v>2639</v>
      </c>
    </row>
    <row r="3950" spans="1:12" x14ac:dyDescent="0.25">
      <c r="A3950">
        <v>2025</v>
      </c>
      <c r="C3950" s="9" t="s">
        <v>3799</v>
      </c>
      <c r="D3950" s="9" t="s">
        <v>2275</v>
      </c>
      <c r="F3950" s="6">
        <v>65</v>
      </c>
      <c r="G3950" s="6">
        <f t="shared" si="200"/>
        <v>65</v>
      </c>
      <c r="H3950" s="6">
        <v>65</v>
      </c>
      <c r="I3950" s="16">
        <f t="shared" si="201"/>
        <v>0</v>
      </c>
      <c r="J3950" s="7" t="str">
        <f t="shared" si="202"/>
        <v>PAGADO</v>
      </c>
      <c r="K3950" s="33" t="s">
        <v>2639</v>
      </c>
    </row>
    <row r="3951" spans="1:12" x14ac:dyDescent="0.25">
      <c r="A3951">
        <v>2025</v>
      </c>
      <c r="C3951" s="9" t="s">
        <v>3793</v>
      </c>
      <c r="D3951" s="9" t="s">
        <v>2275</v>
      </c>
      <c r="F3951" s="6">
        <v>80</v>
      </c>
      <c r="G3951" s="6">
        <f t="shared" si="200"/>
        <v>80</v>
      </c>
      <c r="H3951" s="6">
        <v>80</v>
      </c>
      <c r="I3951" s="16">
        <f t="shared" si="201"/>
        <v>0</v>
      </c>
      <c r="J3951" s="7" t="str">
        <f t="shared" si="202"/>
        <v>PAGADO</v>
      </c>
      <c r="K3951" s="33" t="s">
        <v>2639</v>
      </c>
    </row>
    <row r="3952" spans="1:12" x14ac:dyDescent="0.25">
      <c r="A3952">
        <v>2025</v>
      </c>
      <c r="C3952" s="9" t="s">
        <v>3795</v>
      </c>
      <c r="D3952" s="9" t="s">
        <v>2275</v>
      </c>
      <c r="F3952" s="6">
        <v>80</v>
      </c>
      <c r="G3952" s="6">
        <f t="shared" si="200"/>
        <v>80</v>
      </c>
      <c r="H3952" s="6">
        <v>80</v>
      </c>
      <c r="I3952" s="16">
        <f t="shared" si="201"/>
        <v>0</v>
      </c>
      <c r="J3952" s="7" t="str">
        <f t="shared" si="202"/>
        <v>PAGADO</v>
      </c>
      <c r="K3952" s="33" t="s">
        <v>2639</v>
      </c>
    </row>
    <row r="3953" spans="1:12" x14ac:dyDescent="0.25">
      <c r="A3953">
        <v>2025</v>
      </c>
      <c r="C3953" s="9" t="s">
        <v>3800</v>
      </c>
      <c r="D3953" s="9" t="s">
        <v>2360</v>
      </c>
      <c r="F3953" s="6">
        <v>80</v>
      </c>
      <c r="G3953" s="6">
        <f t="shared" si="200"/>
        <v>80</v>
      </c>
      <c r="H3953" s="6">
        <f>50+30</f>
        <v>80</v>
      </c>
      <c r="I3953" s="26">
        <f t="shared" si="201"/>
        <v>0</v>
      </c>
      <c r="J3953" s="7" t="str">
        <f t="shared" si="202"/>
        <v>PAGADO</v>
      </c>
      <c r="K3953" s="33" t="s">
        <v>2639</v>
      </c>
    </row>
    <row r="3954" spans="1:12" x14ac:dyDescent="0.25">
      <c r="A3954">
        <v>2025</v>
      </c>
      <c r="C3954" s="9" t="s">
        <v>3801</v>
      </c>
      <c r="D3954" s="9" t="s">
        <v>3612</v>
      </c>
      <c r="F3954" s="6">
        <v>40</v>
      </c>
      <c r="G3954" s="6">
        <f t="shared" si="200"/>
        <v>40</v>
      </c>
      <c r="H3954" s="6">
        <v>40</v>
      </c>
      <c r="I3954" s="26">
        <f t="shared" si="201"/>
        <v>0</v>
      </c>
      <c r="J3954" s="7" t="str">
        <f t="shared" si="202"/>
        <v>PAGADO</v>
      </c>
      <c r="K3954" s="33" t="s">
        <v>2640</v>
      </c>
    </row>
    <row r="3955" spans="1:12" x14ac:dyDescent="0.25">
      <c r="A3955">
        <v>2025</v>
      </c>
      <c r="C3955" s="9" t="s">
        <v>3802</v>
      </c>
      <c r="D3955" s="9" t="s">
        <v>3612</v>
      </c>
      <c r="F3955" s="6">
        <v>30</v>
      </c>
      <c r="G3955" s="6">
        <f t="shared" si="200"/>
        <v>30</v>
      </c>
      <c r="H3955" s="6">
        <v>30</v>
      </c>
      <c r="I3955" s="26">
        <f t="shared" si="201"/>
        <v>0</v>
      </c>
      <c r="J3955" s="7" t="str">
        <f t="shared" si="202"/>
        <v>PAGADO</v>
      </c>
      <c r="K3955" s="33" t="s">
        <v>2639</v>
      </c>
    </row>
    <row r="3956" spans="1:12" x14ac:dyDescent="0.25">
      <c r="A3956">
        <v>2025</v>
      </c>
      <c r="C3956" s="9" t="s">
        <v>3803</v>
      </c>
      <c r="D3956" s="9" t="s">
        <v>3653</v>
      </c>
      <c r="F3956" s="6">
        <v>80</v>
      </c>
      <c r="G3956" s="6">
        <f t="shared" si="200"/>
        <v>80</v>
      </c>
      <c r="H3956" s="6">
        <v>80</v>
      </c>
      <c r="I3956" s="26">
        <f t="shared" si="201"/>
        <v>0</v>
      </c>
      <c r="J3956" s="7" t="str">
        <f t="shared" si="202"/>
        <v>PAGADO</v>
      </c>
      <c r="K3956" s="33" t="s">
        <v>2639</v>
      </c>
    </row>
    <row r="3957" spans="1:12" x14ac:dyDescent="0.25">
      <c r="A3957">
        <v>2025</v>
      </c>
      <c r="C3957" s="9" t="s">
        <v>3804</v>
      </c>
      <c r="D3957" s="9" t="s">
        <v>3736</v>
      </c>
      <c r="F3957" s="6">
        <v>60</v>
      </c>
      <c r="G3957" s="6">
        <f t="shared" si="200"/>
        <v>60</v>
      </c>
      <c r="H3957" s="6">
        <f>30+30</f>
        <v>60</v>
      </c>
      <c r="I3957" s="26">
        <f t="shared" si="201"/>
        <v>0</v>
      </c>
      <c r="J3957" s="7" t="str">
        <f t="shared" si="202"/>
        <v>PAGADO</v>
      </c>
      <c r="K3957" s="33" t="s">
        <v>2639</v>
      </c>
    </row>
    <row r="3958" spans="1:12" x14ac:dyDescent="0.25">
      <c r="A3958">
        <v>2025</v>
      </c>
      <c r="C3958" s="9" t="s">
        <v>3805</v>
      </c>
      <c r="D3958" s="9" t="s">
        <v>3331</v>
      </c>
      <c r="F3958" s="6">
        <v>80</v>
      </c>
      <c r="G3958" s="6">
        <f t="shared" si="200"/>
        <v>80</v>
      </c>
      <c r="H3958" s="6">
        <v>80</v>
      </c>
      <c r="I3958" s="26">
        <f t="shared" si="201"/>
        <v>0</v>
      </c>
      <c r="J3958" s="7" t="str">
        <f t="shared" si="202"/>
        <v>PAGADO</v>
      </c>
      <c r="K3958" s="33" t="s">
        <v>2639</v>
      </c>
    </row>
    <row r="3959" spans="1:12" x14ac:dyDescent="0.25">
      <c r="A3959">
        <v>2025</v>
      </c>
      <c r="C3959" s="9" t="s">
        <v>3378</v>
      </c>
      <c r="D3959" s="9" t="s">
        <v>3331</v>
      </c>
      <c r="F3959" s="6">
        <v>85</v>
      </c>
      <c r="G3959" s="6">
        <f t="shared" si="200"/>
        <v>85</v>
      </c>
      <c r="H3959" s="6">
        <f>40+45</f>
        <v>85</v>
      </c>
      <c r="I3959" s="26">
        <f t="shared" si="201"/>
        <v>0</v>
      </c>
      <c r="J3959" s="7" t="str">
        <f t="shared" si="202"/>
        <v>PAGADO</v>
      </c>
      <c r="K3959" s="33" t="s">
        <v>2639</v>
      </c>
    </row>
    <row r="3960" spans="1:12" x14ac:dyDescent="0.25">
      <c r="A3960">
        <v>2025</v>
      </c>
      <c r="C3960" s="9" t="s">
        <v>3806</v>
      </c>
      <c r="D3960" s="9" t="s">
        <v>2548</v>
      </c>
      <c r="F3960" s="6">
        <v>70</v>
      </c>
      <c r="G3960" s="6">
        <f t="shared" si="200"/>
        <v>70</v>
      </c>
      <c r="H3960" s="6">
        <f>35+35</f>
        <v>70</v>
      </c>
      <c r="I3960" s="26">
        <f t="shared" si="201"/>
        <v>0</v>
      </c>
      <c r="J3960" s="7" t="str">
        <f t="shared" si="202"/>
        <v>PAGADO</v>
      </c>
      <c r="K3960" s="33" t="s">
        <v>2639</v>
      </c>
      <c r="L3960" s="9" t="s">
        <v>3794</v>
      </c>
    </row>
    <row r="3961" spans="1:12" x14ac:dyDescent="0.25">
      <c r="A3961">
        <v>2025</v>
      </c>
      <c r="C3961" s="9" t="s">
        <v>3807</v>
      </c>
      <c r="D3961" s="9" t="s">
        <v>1309</v>
      </c>
      <c r="F3961" s="6">
        <v>80</v>
      </c>
      <c r="G3961" s="6">
        <f t="shared" si="200"/>
        <v>80</v>
      </c>
      <c r="H3961" s="6">
        <v>80</v>
      </c>
      <c r="I3961" s="26">
        <f t="shared" si="201"/>
        <v>0</v>
      </c>
      <c r="J3961" s="7" t="str">
        <f t="shared" si="202"/>
        <v>PAGADO</v>
      </c>
      <c r="K3961" s="33" t="s">
        <v>2639</v>
      </c>
    </row>
    <row r="3962" spans="1:12" x14ac:dyDescent="0.25">
      <c r="A3962">
        <v>2025</v>
      </c>
      <c r="C3962" s="9" t="s">
        <v>3808</v>
      </c>
      <c r="D3962" s="9" t="s">
        <v>3135</v>
      </c>
      <c r="F3962" s="6">
        <v>15</v>
      </c>
      <c r="G3962" s="6">
        <f t="shared" si="200"/>
        <v>15</v>
      </c>
      <c r="H3962" s="6">
        <v>15</v>
      </c>
      <c r="I3962" s="26">
        <f t="shared" si="201"/>
        <v>0</v>
      </c>
      <c r="J3962" s="7" t="str">
        <f t="shared" si="202"/>
        <v>PAGADO</v>
      </c>
      <c r="K3962" s="33" t="s">
        <v>2639</v>
      </c>
    </row>
    <row r="3963" spans="1:12" x14ac:dyDescent="0.25">
      <c r="A3963">
        <v>2025</v>
      </c>
      <c r="C3963" s="9" t="s">
        <v>3809</v>
      </c>
      <c r="D3963" s="9" t="s">
        <v>3382</v>
      </c>
      <c r="F3963" s="6">
        <v>90</v>
      </c>
      <c r="G3963" s="6">
        <f t="shared" si="200"/>
        <v>90</v>
      </c>
      <c r="H3963" s="6">
        <f>45+45</f>
        <v>90</v>
      </c>
      <c r="I3963" s="26">
        <f t="shared" si="201"/>
        <v>0</v>
      </c>
      <c r="J3963" s="7" t="str">
        <f t="shared" si="202"/>
        <v>PAGADO</v>
      </c>
      <c r="K3963" s="33" t="s">
        <v>2639</v>
      </c>
    </row>
    <row r="3964" spans="1:12" x14ac:dyDescent="0.25">
      <c r="A3964">
        <v>2025</v>
      </c>
      <c r="C3964" s="9" t="s">
        <v>3810</v>
      </c>
      <c r="D3964" s="9" t="s">
        <v>2018</v>
      </c>
      <c r="F3964" s="6">
        <v>55</v>
      </c>
      <c r="G3964" s="6">
        <f t="shared" si="200"/>
        <v>55</v>
      </c>
      <c r="H3964" s="6">
        <f>30+25</f>
        <v>55</v>
      </c>
      <c r="I3964" s="16">
        <f t="shared" si="201"/>
        <v>0</v>
      </c>
      <c r="J3964" s="7" t="str">
        <f t="shared" si="202"/>
        <v>PAGADO</v>
      </c>
      <c r="K3964" s="33" t="s">
        <v>2639</v>
      </c>
    </row>
    <row r="3965" spans="1:12" x14ac:dyDescent="0.25">
      <c r="A3965">
        <v>2025</v>
      </c>
      <c r="C3965" s="9" t="s">
        <v>3811</v>
      </c>
      <c r="D3965" s="9" t="s">
        <v>2018</v>
      </c>
      <c r="F3965" s="6">
        <v>75</v>
      </c>
      <c r="G3965" s="6">
        <f t="shared" si="200"/>
        <v>75</v>
      </c>
      <c r="H3965" s="6">
        <f>40+35</f>
        <v>75</v>
      </c>
      <c r="I3965" s="16">
        <f t="shared" si="201"/>
        <v>0</v>
      </c>
      <c r="J3965" s="7" t="str">
        <f t="shared" si="202"/>
        <v>PAGADO</v>
      </c>
      <c r="K3965" s="33" t="s">
        <v>2639</v>
      </c>
    </row>
    <row r="3966" spans="1:12" x14ac:dyDescent="0.25">
      <c r="A3966">
        <v>2025</v>
      </c>
      <c r="C3966" s="9" t="s">
        <v>3812</v>
      </c>
      <c r="D3966" s="9" t="s">
        <v>2906</v>
      </c>
      <c r="F3966" s="6">
        <v>5</v>
      </c>
      <c r="G3966" s="6">
        <f t="shared" ref="G3966:G4029" si="203">F3966-E3966</f>
        <v>5</v>
      </c>
      <c r="H3966" s="6">
        <v>5</v>
      </c>
      <c r="I3966" s="26">
        <f t="shared" si="201"/>
        <v>0</v>
      </c>
      <c r="J3966" s="7" t="str">
        <f t="shared" si="202"/>
        <v>PAGADO</v>
      </c>
      <c r="K3966" s="33" t="s">
        <v>2640</v>
      </c>
    </row>
    <row r="3967" spans="1:12" x14ac:dyDescent="0.25">
      <c r="A3967">
        <v>2025</v>
      </c>
      <c r="C3967" s="9" t="s">
        <v>3811</v>
      </c>
      <c r="D3967" s="9" t="s">
        <v>3662</v>
      </c>
      <c r="F3967" s="6">
        <v>75</v>
      </c>
      <c r="G3967" s="6">
        <f t="shared" si="203"/>
        <v>75</v>
      </c>
      <c r="H3967" s="6">
        <v>75</v>
      </c>
      <c r="I3967" s="26">
        <f t="shared" si="201"/>
        <v>0</v>
      </c>
      <c r="J3967" s="7" t="str">
        <f t="shared" si="202"/>
        <v>PAGADO</v>
      </c>
      <c r="K3967" s="33" t="s">
        <v>2639</v>
      </c>
    </row>
    <row r="3968" spans="1:12" x14ac:dyDescent="0.25">
      <c r="A3968">
        <v>2025</v>
      </c>
      <c r="C3968" s="9" t="s">
        <v>3813</v>
      </c>
      <c r="D3968" s="9" t="s">
        <v>3662</v>
      </c>
      <c r="F3968" s="6">
        <v>60</v>
      </c>
      <c r="G3968" s="6">
        <f t="shared" si="203"/>
        <v>60</v>
      </c>
      <c r="H3968" s="6">
        <v>60</v>
      </c>
      <c r="I3968" s="26">
        <f t="shared" si="201"/>
        <v>0</v>
      </c>
      <c r="J3968" s="7" t="str">
        <f t="shared" si="202"/>
        <v>PAGADO</v>
      </c>
      <c r="K3968" s="33" t="s">
        <v>2639</v>
      </c>
    </row>
    <row r="3969" spans="1:12" x14ac:dyDescent="0.25">
      <c r="A3969">
        <v>2025</v>
      </c>
      <c r="C3969" s="9" t="s">
        <v>3814</v>
      </c>
      <c r="D3969" s="9" t="s">
        <v>3262</v>
      </c>
      <c r="F3969" s="6">
        <v>5</v>
      </c>
      <c r="G3969" s="6">
        <f t="shared" si="203"/>
        <v>5</v>
      </c>
      <c r="H3969" s="6">
        <v>5</v>
      </c>
      <c r="I3969" s="26">
        <f t="shared" si="201"/>
        <v>0</v>
      </c>
      <c r="J3969" s="7" t="str">
        <f t="shared" si="202"/>
        <v>PAGADO</v>
      </c>
      <c r="K3969" s="33" t="s">
        <v>2640</v>
      </c>
    </row>
    <row r="3970" spans="1:12" x14ac:dyDescent="0.25">
      <c r="A3970">
        <v>2025</v>
      </c>
      <c r="C3970" s="9" t="s">
        <v>3815</v>
      </c>
      <c r="D3970" s="9" t="s">
        <v>3262</v>
      </c>
      <c r="F3970" s="6">
        <v>5</v>
      </c>
      <c r="G3970" s="6">
        <f t="shared" si="203"/>
        <v>5</v>
      </c>
      <c r="H3970" s="6">
        <v>5</v>
      </c>
      <c r="I3970" s="26">
        <f t="shared" si="201"/>
        <v>0</v>
      </c>
      <c r="J3970" s="7" t="str">
        <f t="shared" si="202"/>
        <v>PAGADO</v>
      </c>
      <c r="K3970" s="33" t="s">
        <v>2640</v>
      </c>
    </row>
    <row r="3971" spans="1:12" x14ac:dyDescent="0.25">
      <c r="A3971">
        <v>2025</v>
      </c>
      <c r="C3971" s="9" t="s">
        <v>3816</v>
      </c>
      <c r="D3971" s="9" t="s">
        <v>3702</v>
      </c>
      <c r="F3971" s="6">
        <v>60</v>
      </c>
      <c r="G3971" s="6">
        <f t="shared" si="203"/>
        <v>60</v>
      </c>
      <c r="H3971" s="6">
        <v>60</v>
      </c>
      <c r="I3971" s="26">
        <f t="shared" si="201"/>
        <v>0</v>
      </c>
      <c r="J3971" s="7" t="str">
        <f t="shared" si="202"/>
        <v>PAGADO</v>
      </c>
      <c r="K3971" s="33" t="s">
        <v>2639</v>
      </c>
    </row>
    <row r="3972" spans="1:12" x14ac:dyDescent="0.25">
      <c r="A3972">
        <v>2025</v>
      </c>
      <c r="C3972" s="9" t="s">
        <v>1864</v>
      </c>
      <c r="D3972" s="9" t="s">
        <v>3658</v>
      </c>
      <c r="F3972" s="6">
        <v>60</v>
      </c>
      <c r="G3972" s="6">
        <f t="shared" si="203"/>
        <v>60</v>
      </c>
      <c r="H3972" s="6">
        <f>30+30</f>
        <v>60</v>
      </c>
      <c r="I3972" s="26">
        <f t="shared" si="201"/>
        <v>0</v>
      </c>
      <c r="J3972" s="7" t="str">
        <f t="shared" si="202"/>
        <v>PAGADO</v>
      </c>
      <c r="K3972" s="33" t="s">
        <v>2639</v>
      </c>
    </row>
    <row r="3973" spans="1:12" x14ac:dyDescent="0.25">
      <c r="A3973">
        <v>2025</v>
      </c>
      <c r="C3973" s="9" t="s">
        <v>3817</v>
      </c>
      <c r="D3973" s="9" t="s">
        <v>3818</v>
      </c>
      <c r="F3973" s="6">
        <v>10</v>
      </c>
      <c r="G3973" s="6">
        <f t="shared" si="203"/>
        <v>10</v>
      </c>
      <c r="H3973" s="6">
        <v>10</v>
      </c>
      <c r="I3973" s="26">
        <f t="shared" si="201"/>
        <v>0</v>
      </c>
      <c r="J3973" s="7" t="str">
        <f t="shared" si="202"/>
        <v>PAGADO</v>
      </c>
      <c r="K3973" s="33" t="s">
        <v>2639</v>
      </c>
    </row>
    <row r="3974" spans="1:12" x14ac:dyDescent="0.25">
      <c r="A3974">
        <v>2025</v>
      </c>
      <c r="C3974" s="9" t="s">
        <v>3797</v>
      </c>
      <c r="D3974" s="9" t="s">
        <v>1849</v>
      </c>
      <c r="F3974" s="6">
        <v>70</v>
      </c>
      <c r="G3974" s="6">
        <f t="shared" si="203"/>
        <v>70</v>
      </c>
      <c r="H3974" s="6">
        <f>35+35</f>
        <v>70</v>
      </c>
      <c r="I3974" s="26">
        <f t="shared" si="201"/>
        <v>0</v>
      </c>
      <c r="J3974" s="7" t="str">
        <f t="shared" si="202"/>
        <v>PAGADO</v>
      </c>
      <c r="K3974" s="33" t="s">
        <v>3819</v>
      </c>
    </row>
    <row r="3975" spans="1:12" x14ac:dyDescent="0.25">
      <c r="A3975">
        <v>2025</v>
      </c>
      <c r="C3975" s="9" t="s">
        <v>3820</v>
      </c>
      <c r="D3975" s="9" t="s">
        <v>2018</v>
      </c>
      <c r="F3975" s="6">
        <v>160</v>
      </c>
      <c r="G3975" s="6">
        <f t="shared" si="203"/>
        <v>160</v>
      </c>
      <c r="H3975" s="6">
        <v>160</v>
      </c>
      <c r="I3975" s="16">
        <f t="shared" si="201"/>
        <v>0</v>
      </c>
      <c r="J3975" s="7" t="str">
        <f t="shared" si="202"/>
        <v>PAGADO</v>
      </c>
      <c r="K3975" s="33" t="s">
        <v>2639</v>
      </c>
    </row>
    <row r="3976" spans="1:12" x14ac:dyDescent="0.25">
      <c r="A3976">
        <v>2025</v>
      </c>
      <c r="C3976" t="s">
        <v>3798</v>
      </c>
      <c r="D3976" s="9" t="s">
        <v>3198</v>
      </c>
      <c r="F3976" s="6">
        <v>70</v>
      </c>
      <c r="G3976" s="6">
        <f t="shared" si="203"/>
        <v>70</v>
      </c>
      <c r="H3976" s="6">
        <v>70</v>
      </c>
      <c r="I3976" s="26">
        <f t="shared" si="201"/>
        <v>0</v>
      </c>
      <c r="J3976" s="7" t="str">
        <f t="shared" si="202"/>
        <v>PAGADO</v>
      </c>
      <c r="K3976" s="33" t="s">
        <v>2639</v>
      </c>
    </row>
    <row r="3977" spans="1:12" x14ac:dyDescent="0.25">
      <c r="A3977">
        <v>2025</v>
      </c>
      <c r="C3977" s="9" t="s">
        <v>3821</v>
      </c>
      <c r="D3977" s="9" t="s">
        <v>2857</v>
      </c>
      <c r="F3977" s="6">
        <v>15</v>
      </c>
      <c r="G3977" s="6">
        <f t="shared" si="203"/>
        <v>15</v>
      </c>
      <c r="H3977" s="6">
        <v>15</v>
      </c>
      <c r="I3977" s="26">
        <f t="shared" si="201"/>
        <v>0</v>
      </c>
      <c r="J3977" s="7" t="str">
        <f t="shared" si="202"/>
        <v>PAGADO</v>
      </c>
      <c r="K3977" s="33" t="s">
        <v>2639</v>
      </c>
    </row>
    <row r="3978" spans="1:12" x14ac:dyDescent="0.25">
      <c r="A3978">
        <v>2025</v>
      </c>
      <c r="C3978" s="9" t="s">
        <v>3822</v>
      </c>
      <c r="D3978" s="9" t="s">
        <v>1380</v>
      </c>
      <c r="F3978" s="6">
        <v>5</v>
      </c>
      <c r="G3978" s="6">
        <f t="shared" si="203"/>
        <v>5</v>
      </c>
      <c r="H3978" s="6">
        <v>5</v>
      </c>
      <c r="I3978" s="26">
        <f t="shared" si="201"/>
        <v>0</v>
      </c>
      <c r="J3978" s="7" t="str">
        <f t="shared" si="202"/>
        <v>PAGADO</v>
      </c>
      <c r="K3978" s="9" t="s">
        <v>1056</v>
      </c>
    </row>
    <row r="3979" spans="1:12" x14ac:dyDescent="0.25">
      <c r="A3979">
        <v>2025</v>
      </c>
      <c r="C3979" s="9" t="s">
        <v>3823</v>
      </c>
      <c r="D3979" s="9" t="s">
        <v>3666</v>
      </c>
      <c r="F3979" s="6">
        <v>80</v>
      </c>
      <c r="G3979" s="6">
        <f t="shared" si="203"/>
        <v>80</v>
      </c>
      <c r="H3979" s="6">
        <f>40+40</f>
        <v>80</v>
      </c>
      <c r="I3979" s="26">
        <f t="shared" si="201"/>
        <v>0</v>
      </c>
      <c r="J3979" s="7" t="str">
        <f t="shared" si="202"/>
        <v>PAGADO</v>
      </c>
      <c r="K3979" s="33" t="s">
        <v>2639</v>
      </c>
    </row>
    <row r="3980" spans="1:12" x14ac:dyDescent="0.25">
      <c r="A3980">
        <v>2025</v>
      </c>
      <c r="C3980" s="9" t="s">
        <v>3792</v>
      </c>
      <c r="D3980" s="9" t="s">
        <v>3449</v>
      </c>
      <c r="F3980" s="6">
        <v>65</v>
      </c>
      <c r="G3980" s="6">
        <f t="shared" si="203"/>
        <v>65</v>
      </c>
      <c r="H3980" s="6">
        <v>65</v>
      </c>
      <c r="I3980" s="26">
        <f t="shared" si="201"/>
        <v>0</v>
      </c>
      <c r="J3980" s="7" t="str">
        <f t="shared" si="202"/>
        <v>PAGADO</v>
      </c>
      <c r="K3980" s="33" t="s">
        <v>2639</v>
      </c>
    </row>
    <row r="3981" spans="1:12" x14ac:dyDescent="0.25">
      <c r="A3981">
        <v>2025</v>
      </c>
      <c r="C3981" s="9" t="s">
        <v>3792</v>
      </c>
      <c r="D3981" s="9" t="s">
        <v>2548</v>
      </c>
      <c r="F3981" s="6">
        <v>70</v>
      </c>
      <c r="G3981" s="6">
        <f t="shared" si="203"/>
        <v>70</v>
      </c>
      <c r="H3981" s="6">
        <f>35+35</f>
        <v>70</v>
      </c>
      <c r="I3981" s="26">
        <f t="shared" si="201"/>
        <v>0</v>
      </c>
      <c r="J3981" s="7" t="str">
        <f t="shared" si="202"/>
        <v>PAGADO</v>
      </c>
      <c r="K3981" s="33" t="s">
        <v>2639</v>
      </c>
      <c r="L3981" s="9" t="s">
        <v>3794</v>
      </c>
    </row>
    <row r="3982" spans="1:12" x14ac:dyDescent="0.25">
      <c r="A3982">
        <v>2025</v>
      </c>
      <c r="C3982" s="9" t="s">
        <v>3811</v>
      </c>
      <c r="D3982" s="9" t="s">
        <v>3643</v>
      </c>
      <c r="F3982" s="6">
        <v>75</v>
      </c>
      <c r="G3982" s="6">
        <f t="shared" si="203"/>
        <v>75</v>
      </c>
      <c r="H3982" s="6">
        <v>75</v>
      </c>
      <c r="I3982" s="26">
        <f t="shared" si="201"/>
        <v>0</v>
      </c>
      <c r="J3982" s="7" t="str">
        <f t="shared" si="202"/>
        <v>PAGADO</v>
      </c>
      <c r="K3982" s="33" t="s">
        <v>2639</v>
      </c>
    </row>
    <row r="3983" spans="1:12" x14ac:dyDescent="0.25">
      <c r="A3983">
        <v>2025</v>
      </c>
      <c r="C3983" s="9" t="s">
        <v>3417</v>
      </c>
      <c r="D3983" s="9" t="s">
        <v>3643</v>
      </c>
      <c r="F3983" s="6">
        <v>80</v>
      </c>
      <c r="G3983" s="6">
        <f t="shared" si="203"/>
        <v>80</v>
      </c>
      <c r="H3983" s="6">
        <v>80</v>
      </c>
      <c r="I3983" s="26">
        <f t="shared" si="201"/>
        <v>0</v>
      </c>
      <c r="J3983" s="7" t="str">
        <f t="shared" si="202"/>
        <v>PAGADO</v>
      </c>
      <c r="K3983" s="33" t="s">
        <v>2639</v>
      </c>
    </row>
    <row r="3984" spans="1:12" x14ac:dyDescent="0.25">
      <c r="A3984">
        <v>2025</v>
      </c>
      <c r="C3984" s="9" t="s">
        <v>3824</v>
      </c>
      <c r="D3984" t="s">
        <v>2744</v>
      </c>
      <c r="F3984" s="6">
        <v>90</v>
      </c>
      <c r="G3984" s="6">
        <f t="shared" si="203"/>
        <v>90</v>
      </c>
      <c r="H3984" s="6">
        <f>45+45</f>
        <v>90</v>
      </c>
      <c r="I3984" s="26">
        <f t="shared" si="201"/>
        <v>0</v>
      </c>
      <c r="J3984" s="7" t="str">
        <f t="shared" si="202"/>
        <v>PAGADO</v>
      </c>
      <c r="K3984" s="33" t="s">
        <v>2639</v>
      </c>
    </row>
    <row r="3985" spans="1:11" x14ac:dyDescent="0.25">
      <c r="A3985">
        <v>2025</v>
      </c>
      <c r="C3985" s="9" t="s">
        <v>3825</v>
      </c>
      <c r="D3985" t="s">
        <v>2744</v>
      </c>
      <c r="F3985" s="6">
        <v>80</v>
      </c>
      <c r="G3985" s="6">
        <f t="shared" si="203"/>
        <v>80</v>
      </c>
      <c r="H3985" s="6">
        <f>40+40</f>
        <v>80</v>
      </c>
      <c r="I3985" s="26">
        <f t="shared" si="201"/>
        <v>0</v>
      </c>
      <c r="J3985" s="7" t="str">
        <f t="shared" si="202"/>
        <v>PAGADO</v>
      </c>
      <c r="K3985" s="33" t="s">
        <v>2639</v>
      </c>
    </row>
    <row r="3986" spans="1:11" x14ac:dyDescent="0.25">
      <c r="A3986">
        <v>2025</v>
      </c>
      <c r="C3986" s="9" t="s">
        <v>3826</v>
      </c>
      <c r="D3986" s="9" t="s">
        <v>2906</v>
      </c>
      <c r="F3986" s="6">
        <v>70</v>
      </c>
      <c r="G3986" s="6">
        <f t="shared" si="203"/>
        <v>70</v>
      </c>
      <c r="H3986" s="6">
        <v>70</v>
      </c>
      <c r="I3986" s="26">
        <f t="shared" ref="I3986:I4049" si="204">F3986-H3986</f>
        <v>0</v>
      </c>
      <c r="J3986" s="7" t="str">
        <f t="shared" si="202"/>
        <v>PAGADO</v>
      </c>
    </row>
    <row r="3987" spans="1:11" x14ac:dyDescent="0.25">
      <c r="A3987">
        <v>2025</v>
      </c>
      <c r="C3987" s="9" t="s">
        <v>3827</v>
      </c>
      <c r="D3987" t="s">
        <v>3658</v>
      </c>
      <c r="F3987" s="6">
        <v>55</v>
      </c>
      <c r="G3987" s="6">
        <f t="shared" si="203"/>
        <v>55</v>
      </c>
      <c r="H3987" s="6">
        <v>55</v>
      </c>
      <c r="I3987" s="26">
        <f t="shared" si="204"/>
        <v>0</v>
      </c>
      <c r="J3987" s="7" t="str">
        <f t="shared" si="202"/>
        <v>PAGADO</v>
      </c>
    </row>
    <row r="3988" spans="1:11" x14ac:dyDescent="0.25">
      <c r="A3988">
        <v>2025</v>
      </c>
      <c r="C3988" s="9" t="s">
        <v>3828</v>
      </c>
      <c r="D3988" s="9" t="s">
        <v>3829</v>
      </c>
      <c r="F3988" s="6">
        <v>60</v>
      </c>
      <c r="G3988" s="6">
        <f t="shared" si="203"/>
        <v>60</v>
      </c>
      <c r="H3988" s="11">
        <f>10+50</f>
        <v>60</v>
      </c>
      <c r="I3988" s="26">
        <f t="shared" si="204"/>
        <v>0</v>
      </c>
      <c r="J3988" s="7" t="str">
        <f t="shared" si="202"/>
        <v>PAGADO</v>
      </c>
    </row>
    <row r="3989" spans="1:11" x14ac:dyDescent="0.25">
      <c r="A3989">
        <v>2025</v>
      </c>
      <c r="C3989" s="9" t="s">
        <v>3792</v>
      </c>
      <c r="D3989" s="9" t="s">
        <v>1606</v>
      </c>
      <c r="F3989" s="6">
        <v>70</v>
      </c>
      <c r="G3989" s="6">
        <f t="shared" si="203"/>
        <v>70</v>
      </c>
      <c r="H3989" s="6">
        <f>35+35</f>
        <v>70</v>
      </c>
      <c r="I3989" s="26">
        <f t="shared" si="204"/>
        <v>0</v>
      </c>
      <c r="J3989" s="7" t="str">
        <f t="shared" si="202"/>
        <v>PAGADO</v>
      </c>
      <c r="K3989" s="33" t="s">
        <v>2639</v>
      </c>
    </row>
    <row r="3990" spans="1:11" x14ac:dyDescent="0.25">
      <c r="A3990">
        <v>2025</v>
      </c>
      <c r="C3990" s="9" t="s">
        <v>3830</v>
      </c>
      <c r="D3990" s="9" t="s">
        <v>1606</v>
      </c>
      <c r="F3990" s="6">
        <v>55</v>
      </c>
      <c r="G3990" s="6">
        <f t="shared" si="203"/>
        <v>55</v>
      </c>
      <c r="H3990" s="6">
        <f>30+25</f>
        <v>55</v>
      </c>
      <c r="I3990" s="26">
        <f t="shared" si="204"/>
        <v>0</v>
      </c>
      <c r="J3990" s="7" t="str">
        <f t="shared" si="202"/>
        <v>PAGADO</v>
      </c>
      <c r="K3990" s="33" t="s">
        <v>2639</v>
      </c>
    </row>
    <row r="3991" spans="1:11" x14ac:dyDescent="0.25">
      <c r="A3991">
        <v>2025</v>
      </c>
      <c r="C3991" s="9" t="s">
        <v>3824</v>
      </c>
      <c r="D3991" t="s">
        <v>1606</v>
      </c>
      <c r="F3991" s="6">
        <v>90</v>
      </c>
      <c r="G3991" s="6">
        <f t="shared" si="203"/>
        <v>90</v>
      </c>
      <c r="H3991" s="6">
        <f>45+45</f>
        <v>90</v>
      </c>
      <c r="I3991" s="26">
        <f t="shared" si="204"/>
        <v>0</v>
      </c>
      <c r="J3991" s="7" t="str">
        <f t="shared" si="202"/>
        <v>PAGADO</v>
      </c>
      <c r="K3991" s="33" t="s">
        <v>2639</v>
      </c>
    </row>
    <row r="3992" spans="1:11" x14ac:dyDescent="0.25">
      <c r="A3992">
        <v>2025</v>
      </c>
      <c r="C3992" t="s">
        <v>1814</v>
      </c>
      <c r="D3992" t="s">
        <v>3831</v>
      </c>
      <c r="F3992" s="6">
        <v>90</v>
      </c>
      <c r="G3992" s="6">
        <f t="shared" si="203"/>
        <v>90</v>
      </c>
      <c r="H3992" s="6">
        <f>45+45</f>
        <v>90</v>
      </c>
      <c r="I3992" s="26">
        <f t="shared" si="204"/>
        <v>0</v>
      </c>
      <c r="J3992" s="7" t="str">
        <f t="shared" si="202"/>
        <v>PAGADO</v>
      </c>
      <c r="K3992" s="33" t="s">
        <v>1815</v>
      </c>
    </row>
    <row r="3993" spans="1:11" x14ac:dyDescent="0.25">
      <c r="A3993">
        <v>2025</v>
      </c>
      <c r="C3993" t="s">
        <v>2879</v>
      </c>
      <c r="D3993" t="s">
        <v>3831</v>
      </c>
      <c r="F3993" s="6">
        <v>70</v>
      </c>
      <c r="G3993" s="6">
        <f t="shared" si="203"/>
        <v>70</v>
      </c>
      <c r="H3993" s="6">
        <v>70</v>
      </c>
      <c r="I3993" s="26">
        <f t="shared" si="204"/>
        <v>0</v>
      </c>
      <c r="J3993" s="7" t="str">
        <f t="shared" si="202"/>
        <v>PAGADO</v>
      </c>
    </row>
    <row r="3994" spans="1:11" x14ac:dyDescent="0.25">
      <c r="A3994">
        <v>2025</v>
      </c>
      <c r="C3994" t="s">
        <v>3832</v>
      </c>
      <c r="D3994" t="s">
        <v>3833</v>
      </c>
      <c r="F3994" s="6">
        <v>70</v>
      </c>
      <c r="G3994" s="6">
        <f t="shared" si="203"/>
        <v>70</v>
      </c>
      <c r="H3994" s="6">
        <v>70</v>
      </c>
      <c r="I3994" s="26">
        <f t="shared" si="204"/>
        <v>0</v>
      </c>
      <c r="J3994" s="7" t="str">
        <f t="shared" si="202"/>
        <v>PAGADO</v>
      </c>
    </row>
    <row r="3995" spans="1:11" x14ac:dyDescent="0.25">
      <c r="A3995">
        <v>2025</v>
      </c>
      <c r="C3995" s="9" t="s">
        <v>2726</v>
      </c>
      <c r="D3995" s="9" t="s">
        <v>597</v>
      </c>
      <c r="F3995" s="6">
        <v>55</v>
      </c>
      <c r="G3995" s="6">
        <f t="shared" si="203"/>
        <v>55</v>
      </c>
      <c r="H3995" s="6">
        <v>55</v>
      </c>
      <c r="I3995" s="26">
        <f t="shared" si="204"/>
        <v>0</v>
      </c>
      <c r="J3995" s="7" t="str">
        <f t="shared" si="202"/>
        <v>PAGADO</v>
      </c>
    </row>
    <row r="3996" spans="1:11" x14ac:dyDescent="0.25">
      <c r="A3996">
        <v>2025</v>
      </c>
      <c r="C3996" s="9" t="s">
        <v>3834</v>
      </c>
      <c r="D3996" s="9" t="s">
        <v>597</v>
      </c>
      <c r="F3996" s="6">
        <v>180</v>
      </c>
      <c r="G3996" s="6">
        <f t="shared" si="203"/>
        <v>180</v>
      </c>
      <c r="H3996" s="6">
        <v>180</v>
      </c>
      <c r="I3996" s="26">
        <f t="shared" si="204"/>
        <v>0</v>
      </c>
      <c r="J3996" s="7" t="str">
        <f t="shared" si="202"/>
        <v>PAGADO</v>
      </c>
    </row>
    <row r="3997" spans="1:11" x14ac:dyDescent="0.25">
      <c r="A3997">
        <v>2025</v>
      </c>
      <c r="C3997" s="9" t="s">
        <v>2141</v>
      </c>
      <c r="D3997" s="9" t="s">
        <v>2109</v>
      </c>
      <c r="F3997" s="6">
        <v>75</v>
      </c>
      <c r="G3997" s="6">
        <f t="shared" si="203"/>
        <v>75</v>
      </c>
      <c r="H3997" s="6">
        <v>75</v>
      </c>
      <c r="I3997" s="26">
        <f t="shared" si="204"/>
        <v>0</v>
      </c>
      <c r="J3997" s="7" t="str">
        <f t="shared" si="202"/>
        <v>PAGADO</v>
      </c>
    </row>
    <row r="3998" spans="1:11" x14ac:dyDescent="0.25">
      <c r="A3998">
        <v>2025</v>
      </c>
      <c r="C3998" s="9" t="s">
        <v>3835</v>
      </c>
      <c r="D3998" s="9" t="s">
        <v>2906</v>
      </c>
      <c r="F3998" s="6">
        <v>120</v>
      </c>
      <c r="G3998" s="6">
        <f t="shared" si="203"/>
        <v>120</v>
      </c>
      <c r="H3998" s="6">
        <v>120</v>
      </c>
      <c r="I3998" s="26">
        <f t="shared" si="204"/>
        <v>0</v>
      </c>
      <c r="J3998" s="7" t="str">
        <f t="shared" si="202"/>
        <v>PAGADO</v>
      </c>
    </row>
    <row r="3999" spans="1:11" x14ac:dyDescent="0.25">
      <c r="A3999">
        <v>2025</v>
      </c>
      <c r="C3999" s="9" t="s">
        <v>3832</v>
      </c>
      <c r="D3999" s="9" t="s">
        <v>3836</v>
      </c>
      <c r="F3999" s="6">
        <v>70</v>
      </c>
      <c r="G3999" s="6">
        <f t="shared" si="203"/>
        <v>70</v>
      </c>
      <c r="H3999" s="6">
        <v>70</v>
      </c>
      <c r="I3999" s="26">
        <f t="shared" si="204"/>
        <v>0</v>
      </c>
      <c r="J3999" s="7" t="str">
        <f t="shared" si="202"/>
        <v>PAGADO</v>
      </c>
    </row>
    <row r="4000" spans="1:11" x14ac:dyDescent="0.25">
      <c r="A4000">
        <v>2025</v>
      </c>
      <c r="C4000" s="9" t="s">
        <v>3837</v>
      </c>
      <c r="D4000" s="9" t="s">
        <v>2906</v>
      </c>
      <c r="F4000" s="6">
        <v>90</v>
      </c>
      <c r="G4000" s="6">
        <f t="shared" si="203"/>
        <v>90</v>
      </c>
      <c r="H4000" s="6">
        <v>90</v>
      </c>
      <c r="I4000" s="26">
        <f t="shared" si="204"/>
        <v>0</v>
      </c>
      <c r="J4000" s="7" t="str">
        <f t="shared" si="202"/>
        <v>PAGADO</v>
      </c>
    </row>
    <row r="4001" spans="1:12" x14ac:dyDescent="0.25">
      <c r="A4001">
        <v>2025</v>
      </c>
      <c r="C4001" s="9" t="s">
        <v>2141</v>
      </c>
      <c r="D4001" s="9" t="s">
        <v>3838</v>
      </c>
      <c r="F4001" s="6">
        <v>65</v>
      </c>
      <c r="G4001" s="6">
        <f t="shared" si="203"/>
        <v>65</v>
      </c>
      <c r="H4001" s="6">
        <v>65</v>
      </c>
      <c r="I4001" s="26">
        <f t="shared" si="204"/>
        <v>0</v>
      </c>
      <c r="J4001" s="7" t="str">
        <f t="shared" si="202"/>
        <v>PAGADO</v>
      </c>
    </row>
    <row r="4002" spans="1:12" x14ac:dyDescent="0.25">
      <c r="A4002">
        <v>2025</v>
      </c>
      <c r="C4002" s="9" t="s">
        <v>3839</v>
      </c>
      <c r="D4002" s="9" t="s">
        <v>3838</v>
      </c>
      <c r="F4002" s="6">
        <v>65</v>
      </c>
      <c r="G4002" s="6">
        <f t="shared" si="203"/>
        <v>65</v>
      </c>
      <c r="H4002" s="6">
        <v>65</v>
      </c>
      <c r="I4002" s="26">
        <f t="shared" si="204"/>
        <v>0</v>
      </c>
      <c r="J4002" s="7" t="str">
        <f t="shared" si="202"/>
        <v>PAGADO</v>
      </c>
    </row>
    <row r="4003" spans="1:12" x14ac:dyDescent="0.25">
      <c r="A4003">
        <v>2025</v>
      </c>
      <c r="C4003" s="9" t="s">
        <v>2253</v>
      </c>
      <c r="D4003" s="9" t="s">
        <v>3370</v>
      </c>
      <c r="F4003" s="6">
        <v>70</v>
      </c>
      <c r="G4003" s="6">
        <f t="shared" si="203"/>
        <v>70</v>
      </c>
      <c r="H4003" s="6">
        <v>70</v>
      </c>
      <c r="I4003" s="26">
        <f t="shared" si="204"/>
        <v>0</v>
      </c>
      <c r="J4003" s="7" t="str">
        <f t="shared" ref="J4003:J4066" si="205">IF(I4003&gt;0,"DEBE","PAGADO")</f>
        <v>PAGADO</v>
      </c>
      <c r="K4003" s="33" t="s">
        <v>2640</v>
      </c>
    </row>
    <row r="4004" spans="1:12" x14ac:dyDescent="0.25">
      <c r="A4004">
        <v>2025</v>
      </c>
      <c r="C4004" s="9" t="s">
        <v>3840</v>
      </c>
      <c r="D4004" s="9" t="s">
        <v>3370</v>
      </c>
      <c r="F4004" s="6">
        <v>50</v>
      </c>
      <c r="G4004" s="6">
        <f t="shared" si="203"/>
        <v>50</v>
      </c>
      <c r="H4004" s="6">
        <v>50</v>
      </c>
      <c r="I4004" s="26">
        <f t="shared" si="204"/>
        <v>0</v>
      </c>
      <c r="J4004" s="7" t="str">
        <f t="shared" si="205"/>
        <v>PAGADO</v>
      </c>
      <c r="K4004" s="33" t="s">
        <v>2640</v>
      </c>
    </row>
    <row r="4005" spans="1:12" x14ac:dyDescent="0.25">
      <c r="A4005">
        <v>2025</v>
      </c>
      <c r="C4005" s="9" t="s">
        <v>3841</v>
      </c>
      <c r="D4005" t="s">
        <v>3842</v>
      </c>
      <c r="F4005" s="6">
        <v>100</v>
      </c>
      <c r="G4005" s="6">
        <f t="shared" si="203"/>
        <v>100</v>
      </c>
      <c r="H4005" s="6">
        <f>50+50</f>
        <v>100</v>
      </c>
      <c r="I4005" s="26">
        <f t="shared" si="204"/>
        <v>0</v>
      </c>
      <c r="J4005" s="7" t="str">
        <f t="shared" si="205"/>
        <v>PAGADO</v>
      </c>
    </row>
    <row r="4006" spans="1:12" x14ac:dyDescent="0.25">
      <c r="A4006">
        <v>2025</v>
      </c>
      <c r="C4006" s="9" t="s">
        <v>3843</v>
      </c>
      <c r="D4006" t="s">
        <v>2906</v>
      </c>
      <c r="F4006" s="6">
        <f>285*2</f>
        <v>570</v>
      </c>
      <c r="G4006" s="6">
        <f t="shared" si="203"/>
        <v>570</v>
      </c>
      <c r="H4006" s="6">
        <v>570</v>
      </c>
      <c r="I4006" s="26">
        <f t="shared" si="204"/>
        <v>0</v>
      </c>
      <c r="J4006" s="7" t="str">
        <f t="shared" si="205"/>
        <v>PAGADO</v>
      </c>
      <c r="K4006" s="33" t="s">
        <v>2639</v>
      </c>
    </row>
    <row r="4007" spans="1:12" x14ac:dyDescent="0.25">
      <c r="A4007">
        <v>2025</v>
      </c>
      <c r="C4007" s="9" t="s">
        <v>3844</v>
      </c>
      <c r="D4007" t="s">
        <v>80</v>
      </c>
      <c r="F4007" s="6">
        <v>70</v>
      </c>
      <c r="G4007" s="6">
        <f t="shared" si="203"/>
        <v>70</v>
      </c>
      <c r="H4007" s="6">
        <v>70</v>
      </c>
      <c r="I4007" s="26">
        <f t="shared" si="204"/>
        <v>0</v>
      </c>
      <c r="J4007" s="7" t="str">
        <f t="shared" si="205"/>
        <v>PAGADO</v>
      </c>
      <c r="K4007" s="33" t="s">
        <v>2640</v>
      </c>
    </row>
    <row r="4008" spans="1:12" x14ac:dyDescent="0.25">
      <c r="A4008">
        <v>2025</v>
      </c>
      <c r="C4008" s="9" t="s">
        <v>3845</v>
      </c>
      <c r="D4008" t="s">
        <v>80</v>
      </c>
      <c r="F4008" s="6">
        <v>70</v>
      </c>
      <c r="G4008" s="6">
        <f t="shared" si="203"/>
        <v>70</v>
      </c>
      <c r="H4008" s="6">
        <v>70</v>
      </c>
      <c r="I4008" s="26">
        <f t="shared" si="204"/>
        <v>0</v>
      </c>
      <c r="J4008" s="7" t="str">
        <f t="shared" si="205"/>
        <v>PAGADO</v>
      </c>
      <c r="K4008" s="33" t="s">
        <v>2640</v>
      </c>
    </row>
    <row r="4009" spans="1:12" x14ac:dyDescent="0.25">
      <c r="A4009">
        <v>2025</v>
      </c>
      <c r="C4009" s="9" t="s">
        <v>3846</v>
      </c>
      <c r="D4009" t="s">
        <v>80</v>
      </c>
      <c r="F4009" s="6">
        <v>80</v>
      </c>
      <c r="G4009" s="6">
        <f t="shared" si="203"/>
        <v>80</v>
      </c>
      <c r="H4009" s="6">
        <v>80</v>
      </c>
      <c r="I4009" s="26">
        <f t="shared" si="204"/>
        <v>0</v>
      </c>
      <c r="J4009" s="7" t="str">
        <f t="shared" si="205"/>
        <v>PAGADO</v>
      </c>
      <c r="K4009" s="33" t="s">
        <v>2640</v>
      </c>
    </row>
    <row r="4010" spans="1:12" x14ac:dyDescent="0.25">
      <c r="A4010">
        <v>2025</v>
      </c>
      <c r="C4010" s="9" t="s">
        <v>3847</v>
      </c>
      <c r="D4010" t="s">
        <v>80</v>
      </c>
      <c r="F4010" s="6">
        <v>80</v>
      </c>
      <c r="G4010" s="6">
        <f t="shared" si="203"/>
        <v>80</v>
      </c>
      <c r="H4010" s="6">
        <v>80</v>
      </c>
      <c r="I4010" s="26">
        <f t="shared" si="204"/>
        <v>0</v>
      </c>
      <c r="J4010" s="7" t="str">
        <f t="shared" si="205"/>
        <v>PAGADO</v>
      </c>
      <c r="K4010" s="33" t="s">
        <v>2640</v>
      </c>
    </row>
    <row r="4011" spans="1:12" x14ac:dyDescent="0.25">
      <c r="A4011">
        <v>2025</v>
      </c>
      <c r="C4011" s="9" t="s">
        <v>3779</v>
      </c>
      <c r="D4011" t="s">
        <v>1309</v>
      </c>
      <c r="F4011" s="6">
        <v>60</v>
      </c>
      <c r="G4011" s="6">
        <f t="shared" si="203"/>
        <v>60</v>
      </c>
      <c r="H4011" s="24">
        <v>60</v>
      </c>
      <c r="I4011" s="26">
        <f t="shared" si="204"/>
        <v>0</v>
      </c>
      <c r="J4011" s="7" t="str">
        <f t="shared" si="205"/>
        <v>PAGADO</v>
      </c>
      <c r="K4011" s="33" t="s">
        <v>2639</v>
      </c>
    </row>
    <row r="4012" spans="1:12" x14ac:dyDescent="0.25">
      <c r="A4012">
        <v>2025</v>
      </c>
      <c r="C4012" s="9" t="s">
        <v>3848</v>
      </c>
      <c r="D4012" t="s">
        <v>2548</v>
      </c>
      <c r="F4012" s="6">
        <v>60</v>
      </c>
      <c r="G4012" s="6">
        <f t="shared" si="203"/>
        <v>60</v>
      </c>
      <c r="H4012" s="6">
        <f>30+30</f>
        <v>60</v>
      </c>
      <c r="I4012" s="26">
        <f t="shared" si="204"/>
        <v>0</v>
      </c>
      <c r="J4012" s="7" t="str">
        <f t="shared" si="205"/>
        <v>PAGADO</v>
      </c>
      <c r="K4012" s="33" t="s">
        <v>2639</v>
      </c>
      <c r="L4012" s="9" t="s">
        <v>3794</v>
      </c>
    </row>
    <row r="4013" spans="1:12" x14ac:dyDescent="0.25">
      <c r="A4013">
        <v>2025</v>
      </c>
      <c r="C4013" s="9" t="s">
        <v>2039</v>
      </c>
      <c r="D4013" t="s">
        <v>2548</v>
      </c>
      <c r="F4013" s="6">
        <v>70</v>
      </c>
      <c r="G4013" s="6">
        <f t="shared" si="203"/>
        <v>70</v>
      </c>
      <c r="H4013" s="6">
        <f>35+35</f>
        <v>70</v>
      </c>
      <c r="I4013" s="26">
        <f t="shared" si="204"/>
        <v>0</v>
      </c>
      <c r="J4013" s="7" t="str">
        <f t="shared" si="205"/>
        <v>PAGADO</v>
      </c>
      <c r="K4013" s="33" t="s">
        <v>2639</v>
      </c>
      <c r="L4013" s="9" t="s">
        <v>3794</v>
      </c>
    </row>
    <row r="4014" spans="1:12" x14ac:dyDescent="0.25">
      <c r="A4014">
        <v>2025</v>
      </c>
      <c r="C4014" s="9" t="s">
        <v>3849</v>
      </c>
      <c r="D4014" s="9" t="s">
        <v>3736</v>
      </c>
      <c r="F4014" s="6">
        <v>75</v>
      </c>
      <c r="G4014" s="6">
        <f t="shared" si="203"/>
        <v>75</v>
      </c>
      <c r="H4014" s="6">
        <v>75</v>
      </c>
      <c r="I4014" s="26">
        <f t="shared" si="204"/>
        <v>0</v>
      </c>
      <c r="J4014" s="7" t="str">
        <f t="shared" si="205"/>
        <v>PAGADO</v>
      </c>
      <c r="K4014" s="33" t="s">
        <v>2640</v>
      </c>
    </row>
    <row r="4015" spans="1:12" x14ac:dyDescent="0.25">
      <c r="A4015">
        <v>2025</v>
      </c>
      <c r="C4015" s="9" t="s">
        <v>3850</v>
      </c>
      <c r="D4015" s="9" t="s">
        <v>3736</v>
      </c>
      <c r="F4015" s="6">
        <v>75</v>
      </c>
      <c r="G4015" s="6">
        <f t="shared" si="203"/>
        <v>75</v>
      </c>
      <c r="H4015" s="6">
        <v>75</v>
      </c>
      <c r="I4015" s="26">
        <f t="shared" si="204"/>
        <v>0</v>
      </c>
      <c r="J4015" s="7" t="str">
        <f t="shared" si="205"/>
        <v>PAGADO</v>
      </c>
      <c r="K4015" s="33" t="s">
        <v>2640</v>
      </c>
    </row>
    <row r="4016" spans="1:12" x14ac:dyDescent="0.25">
      <c r="A4016">
        <v>2025</v>
      </c>
      <c r="C4016" s="9" t="s">
        <v>2013</v>
      </c>
      <c r="D4016" s="9" t="s">
        <v>680</v>
      </c>
      <c r="F4016" s="6">
        <v>70</v>
      </c>
      <c r="G4016" s="6">
        <f t="shared" si="203"/>
        <v>70</v>
      </c>
      <c r="H4016" s="6">
        <v>70</v>
      </c>
      <c r="I4016" s="26">
        <f t="shared" si="204"/>
        <v>0</v>
      </c>
      <c r="J4016" s="7" t="str">
        <f t="shared" si="205"/>
        <v>PAGADO</v>
      </c>
    </row>
    <row r="4017" spans="1:11" x14ac:dyDescent="0.25">
      <c r="A4017">
        <v>2025</v>
      </c>
      <c r="C4017" t="s">
        <v>3851</v>
      </c>
      <c r="D4017" s="9" t="s">
        <v>488</v>
      </c>
      <c r="F4017" s="6">
        <v>60</v>
      </c>
      <c r="G4017" s="6">
        <f t="shared" si="203"/>
        <v>60</v>
      </c>
      <c r="H4017" s="6">
        <v>60</v>
      </c>
      <c r="I4017" s="26">
        <f t="shared" si="204"/>
        <v>0</v>
      </c>
      <c r="J4017" s="7" t="str">
        <f t="shared" si="205"/>
        <v>PAGADO</v>
      </c>
    </row>
    <row r="4018" spans="1:11" x14ac:dyDescent="0.25">
      <c r="A4018">
        <v>2025</v>
      </c>
      <c r="C4018" t="s">
        <v>2693</v>
      </c>
      <c r="D4018" s="9" t="s">
        <v>488</v>
      </c>
      <c r="F4018" s="6">
        <v>20</v>
      </c>
      <c r="G4018" s="6">
        <f t="shared" si="203"/>
        <v>20</v>
      </c>
      <c r="H4018" s="6">
        <v>20</v>
      </c>
      <c r="I4018" s="26">
        <f t="shared" si="204"/>
        <v>0</v>
      </c>
      <c r="J4018" s="7" t="str">
        <f t="shared" si="205"/>
        <v>PAGADO</v>
      </c>
    </row>
    <row r="4019" spans="1:11" x14ac:dyDescent="0.25">
      <c r="A4019">
        <v>2025</v>
      </c>
      <c r="C4019" t="s">
        <v>3852</v>
      </c>
      <c r="D4019" s="9" t="s">
        <v>488</v>
      </c>
      <c r="F4019" s="6">
        <v>70</v>
      </c>
      <c r="G4019" s="6">
        <f t="shared" si="203"/>
        <v>70</v>
      </c>
      <c r="H4019" s="6">
        <v>70</v>
      </c>
      <c r="I4019" s="16">
        <f t="shared" si="204"/>
        <v>0</v>
      </c>
      <c r="J4019" s="7" t="str">
        <f t="shared" si="205"/>
        <v>PAGADO</v>
      </c>
      <c r="K4019" s="33" t="s">
        <v>1815</v>
      </c>
    </row>
    <row r="4020" spans="1:11" x14ac:dyDescent="0.25">
      <c r="A4020">
        <v>2025</v>
      </c>
      <c r="C4020" t="s">
        <v>3853</v>
      </c>
      <c r="D4020" t="s">
        <v>3420</v>
      </c>
      <c r="F4020" s="6">
        <v>60</v>
      </c>
      <c r="G4020" s="6">
        <f t="shared" si="203"/>
        <v>60</v>
      </c>
      <c r="H4020" s="6">
        <v>60</v>
      </c>
      <c r="I4020" s="26">
        <f t="shared" si="204"/>
        <v>0</v>
      </c>
      <c r="J4020" s="7" t="str">
        <f t="shared" si="205"/>
        <v>PAGADO</v>
      </c>
      <c r="K4020" s="33" t="s">
        <v>2640</v>
      </c>
    </row>
    <row r="4021" spans="1:11" x14ac:dyDescent="0.25">
      <c r="A4021">
        <v>2025</v>
      </c>
      <c r="C4021" t="s">
        <v>3854</v>
      </c>
      <c r="D4021" t="s">
        <v>3855</v>
      </c>
      <c r="F4021" s="6">
        <v>65</v>
      </c>
      <c r="G4021" s="6">
        <f t="shared" si="203"/>
        <v>65</v>
      </c>
      <c r="H4021" s="6">
        <f>35+30</f>
        <v>65</v>
      </c>
      <c r="I4021" s="26">
        <f t="shared" si="204"/>
        <v>0</v>
      </c>
      <c r="J4021" s="7" t="str">
        <f t="shared" si="205"/>
        <v>PAGADO</v>
      </c>
      <c r="K4021" s="33" t="s">
        <v>2640</v>
      </c>
    </row>
    <row r="4022" spans="1:11" x14ac:dyDescent="0.25">
      <c r="A4022">
        <v>2025</v>
      </c>
      <c r="C4022" t="s">
        <v>3750</v>
      </c>
      <c r="D4022" t="s">
        <v>3856</v>
      </c>
      <c r="F4022" s="6">
        <v>70</v>
      </c>
      <c r="G4022" s="6">
        <f t="shared" si="203"/>
        <v>70</v>
      </c>
      <c r="H4022" s="6">
        <v>70</v>
      </c>
      <c r="I4022" s="26">
        <f t="shared" si="204"/>
        <v>0</v>
      </c>
      <c r="J4022" s="7" t="str">
        <f t="shared" si="205"/>
        <v>PAGADO</v>
      </c>
    </row>
    <row r="4023" spans="1:11" x14ac:dyDescent="0.25">
      <c r="A4023">
        <v>2025</v>
      </c>
      <c r="C4023" t="s">
        <v>3857</v>
      </c>
      <c r="D4023" s="9" t="s">
        <v>2857</v>
      </c>
      <c r="F4023" s="6">
        <v>450</v>
      </c>
      <c r="G4023" s="6">
        <f t="shared" si="203"/>
        <v>450</v>
      </c>
      <c r="H4023" s="6">
        <v>450</v>
      </c>
      <c r="I4023" s="26">
        <f t="shared" si="204"/>
        <v>0</v>
      </c>
      <c r="J4023" s="7" t="str">
        <f t="shared" si="205"/>
        <v>PAGADO</v>
      </c>
      <c r="K4023" s="33" t="s">
        <v>2639</v>
      </c>
    </row>
    <row r="4024" spans="1:11" x14ac:dyDescent="0.25">
      <c r="A4024">
        <v>2025</v>
      </c>
      <c r="C4024" s="9" t="s">
        <v>3858</v>
      </c>
      <c r="D4024" s="9" t="s">
        <v>2969</v>
      </c>
      <c r="F4024" s="6">
        <v>480</v>
      </c>
      <c r="G4024" s="6">
        <f t="shared" si="203"/>
        <v>480</v>
      </c>
      <c r="H4024" s="6">
        <v>480</v>
      </c>
      <c r="I4024" s="26">
        <f t="shared" si="204"/>
        <v>0</v>
      </c>
      <c r="J4024" s="7" t="str">
        <f t="shared" si="205"/>
        <v>PAGADO</v>
      </c>
      <c r="K4024" s="33" t="s">
        <v>2639</v>
      </c>
    </row>
    <row r="4025" spans="1:11" x14ac:dyDescent="0.25">
      <c r="A4025">
        <v>2025</v>
      </c>
      <c r="C4025" s="9" t="s">
        <v>3859</v>
      </c>
      <c r="D4025" s="9" t="s">
        <v>3761</v>
      </c>
      <c r="F4025" s="6">
        <v>100</v>
      </c>
      <c r="G4025" s="6">
        <f t="shared" si="203"/>
        <v>100</v>
      </c>
      <c r="H4025" s="6">
        <v>100</v>
      </c>
      <c r="I4025" s="26">
        <f t="shared" si="204"/>
        <v>0</v>
      </c>
      <c r="J4025" s="7" t="str">
        <f t="shared" si="205"/>
        <v>PAGADO</v>
      </c>
    </row>
    <row r="4026" spans="1:11" x14ac:dyDescent="0.25">
      <c r="A4026">
        <v>2025</v>
      </c>
      <c r="C4026" s="9" t="s">
        <v>3860</v>
      </c>
      <c r="D4026" s="9" t="s">
        <v>3761</v>
      </c>
      <c r="F4026" s="6">
        <v>130</v>
      </c>
      <c r="G4026" s="6">
        <f t="shared" si="203"/>
        <v>130</v>
      </c>
      <c r="H4026" s="6">
        <v>130</v>
      </c>
      <c r="I4026" s="26">
        <f t="shared" si="204"/>
        <v>0</v>
      </c>
      <c r="J4026" s="7" t="str">
        <f t="shared" si="205"/>
        <v>PAGADO</v>
      </c>
    </row>
    <row r="4027" spans="1:11" x14ac:dyDescent="0.25">
      <c r="A4027">
        <v>2025</v>
      </c>
      <c r="C4027" s="9" t="s">
        <v>3861</v>
      </c>
      <c r="D4027" s="9" t="s">
        <v>3612</v>
      </c>
      <c r="F4027" s="6">
        <v>15</v>
      </c>
      <c r="G4027" s="6">
        <f t="shared" si="203"/>
        <v>15</v>
      </c>
      <c r="H4027" s="6">
        <v>15</v>
      </c>
      <c r="I4027" s="26">
        <f t="shared" si="204"/>
        <v>0</v>
      </c>
      <c r="J4027" s="7" t="str">
        <f t="shared" si="205"/>
        <v>PAGADO</v>
      </c>
    </row>
    <row r="4028" spans="1:11" x14ac:dyDescent="0.25">
      <c r="A4028">
        <v>2025</v>
      </c>
      <c r="C4028" s="9" t="s">
        <v>1693</v>
      </c>
      <c r="D4028" s="9" t="s">
        <v>45</v>
      </c>
      <c r="F4028" s="6">
        <v>70</v>
      </c>
      <c r="G4028" s="6">
        <f t="shared" si="203"/>
        <v>70</v>
      </c>
      <c r="H4028" s="6">
        <v>70</v>
      </c>
      <c r="I4028" s="26">
        <f t="shared" si="204"/>
        <v>0</v>
      </c>
      <c r="J4028" s="7" t="str">
        <f t="shared" si="205"/>
        <v>PAGADO</v>
      </c>
      <c r="K4028" s="9"/>
    </row>
    <row r="4029" spans="1:11" x14ac:dyDescent="0.25">
      <c r="A4029">
        <v>2025</v>
      </c>
      <c r="C4029" s="9" t="s">
        <v>3159</v>
      </c>
      <c r="D4029" s="9" t="s">
        <v>45</v>
      </c>
      <c r="F4029" s="6">
        <v>75</v>
      </c>
      <c r="G4029" s="6">
        <f t="shared" si="203"/>
        <v>75</v>
      </c>
      <c r="H4029" s="6">
        <v>75</v>
      </c>
      <c r="I4029" s="26">
        <f t="shared" si="204"/>
        <v>0</v>
      </c>
      <c r="J4029" s="7" t="str">
        <f t="shared" si="205"/>
        <v>PAGADO</v>
      </c>
      <c r="K4029" s="33" t="s">
        <v>2640</v>
      </c>
    </row>
    <row r="4030" spans="1:11" x14ac:dyDescent="0.25">
      <c r="A4030">
        <v>2025</v>
      </c>
      <c r="C4030" s="9" t="s">
        <v>1007</v>
      </c>
      <c r="D4030" s="9" t="s">
        <v>3862</v>
      </c>
      <c r="F4030" s="6">
        <v>70</v>
      </c>
      <c r="G4030" s="6">
        <f t="shared" ref="G4030:G4093" si="206">F4030-E4030</f>
        <v>70</v>
      </c>
      <c r="H4030" s="6">
        <v>70</v>
      </c>
      <c r="I4030" s="26">
        <f t="shared" si="204"/>
        <v>0</v>
      </c>
      <c r="J4030" s="7" t="str">
        <f t="shared" si="205"/>
        <v>PAGADO</v>
      </c>
    </row>
    <row r="4031" spans="1:11" x14ac:dyDescent="0.25">
      <c r="A4031">
        <v>2025</v>
      </c>
      <c r="C4031" s="9" t="s">
        <v>3863</v>
      </c>
      <c r="D4031" s="9" t="s">
        <v>3862</v>
      </c>
      <c r="F4031" s="6">
        <v>80</v>
      </c>
      <c r="G4031" s="6">
        <f t="shared" si="206"/>
        <v>80</v>
      </c>
      <c r="H4031" s="6">
        <v>80</v>
      </c>
      <c r="I4031" s="26">
        <f t="shared" si="204"/>
        <v>0</v>
      </c>
      <c r="J4031" s="7" t="str">
        <f t="shared" si="205"/>
        <v>PAGADO</v>
      </c>
    </row>
    <row r="4032" spans="1:11" x14ac:dyDescent="0.25">
      <c r="A4032">
        <v>2025</v>
      </c>
      <c r="C4032" s="9" t="s">
        <v>3864</v>
      </c>
      <c r="D4032" s="9" t="s">
        <v>3865</v>
      </c>
      <c r="F4032" s="6">
        <v>70</v>
      </c>
      <c r="G4032" s="6">
        <f t="shared" si="206"/>
        <v>70</v>
      </c>
      <c r="H4032" s="6">
        <v>70</v>
      </c>
      <c r="I4032" s="26">
        <f t="shared" si="204"/>
        <v>0</v>
      </c>
      <c r="J4032" s="7" t="str">
        <f t="shared" si="205"/>
        <v>PAGADO</v>
      </c>
    </row>
    <row r="4033" spans="1:11" x14ac:dyDescent="0.25">
      <c r="A4033">
        <v>2025</v>
      </c>
      <c r="C4033" s="9" t="s">
        <v>3866</v>
      </c>
      <c r="D4033" t="s">
        <v>3497</v>
      </c>
      <c r="F4033" s="6">
        <v>350</v>
      </c>
      <c r="G4033" s="6">
        <f t="shared" si="206"/>
        <v>350</v>
      </c>
      <c r="H4033" s="6">
        <v>350</v>
      </c>
      <c r="I4033" s="27">
        <f t="shared" si="204"/>
        <v>0</v>
      </c>
      <c r="J4033" s="7" t="str">
        <f t="shared" si="205"/>
        <v>PAGADO</v>
      </c>
    </row>
    <row r="4034" spans="1:11" x14ac:dyDescent="0.25">
      <c r="A4034">
        <v>2025</v>
      </c>
      <c r="C4034" s="9" t="s">
        <v>3867</v>
      </c>
      <c r="D4034" t="s">
        <v>3497</v>
      </c>
      <c r="F4034" s="6">
        <v>60</v>
      </c>
      <c r="G4034" s="6">
        <f t="shared" si="206"/>
        <v>60</v>
      </c>
      <c r="H4034" s="6">
        <v>60</v>
      </c>
      <c r="I4034" s="26">
        <f t="shared" si="204"/>
        <v>0</v>
      </c>
      <c r="J4034" s="7" t="str">
        <f t="shared" si="205"/>
        <v>PAGADO</v>
      </c>
    </row>
    <row r="4035" spans="1:11" x14ac:dyDescent="0.25">
      <c r="A4035">
        <v>2025</v>
      </c>
      <c r="C4035" s="9" t="s">
        <v>3868</v>
      </c>
      <c r="D4035" t="s">
        <v>3038</v>
      </c>
      <c r="F4035" s="6">
        <v>75</v>
      </c>
      <c r="G4035" s="6">
        <f t="shared" si="206"/>
        <v>75</v>
      </c>
      <c r="H4035" s="6">
        <v>75</v>
      </c>
      <c r="I4035" s="26">
        <f t="shared" si="204"/>
        <v>0</v>
      </c>
      <c r="J4035" s="7" t="str">
        <f t="shared" si="205"/>
        <v>PAGADO</v>
      </c>
    </row>
    <row r="4036" spans="1:11" x14ac:dyDescent="0.25">
      <c r="A4036">
        <v>2025</v>
      </c>
      <c r="C4036" t="s">
        <v>3805</v>
      </c>
      <c r="D4036" s="9" t="s">
        <v>3433</v>
      </c>
      <c r="F4036" s="6">
        <v>80</v>
      </c>
      <c r="G4036" s="6">
        <f t="shared" si="206"/>
        <v>80</v>
      </c>
      <c r="H4036" s="6">
        <v>80</v>
      </c>
      <c r="I4036" s="26">
        <f t="shared" si="204"/>
        <v>0</v>
      </c>
      <c r="J4036" s="7" t="str">
        <f t="shared" si="205"/>
        <v>PAGADO</v>
      </c>
      <c r="K4036" s="33" t="s">
        <v>2639</v>
      </c>
    </row>
    <row r="4037" spans="1:11" x14ac:dyDescent="0.25">
      <c r="A4037">
        <v>2025</v>
      </c>
      <c r="C4037" t="s">
        <v>3869</v>
      </c>
      <c r="D4037" s="9" t="s">
        <v>3433</v>
      </c>
      <c r="F4037" s="6">
        <v>50</v>
      </c>
      <c r="G4037" s="6">
        <f t="shared" si="206"/>
        <v>50</v>
      </c>
      <c r="H4037" s="6">
        <v>50</v>
      </c>
      <c r="I4037" s="26">
        <f t="shared" si="204"/>
        <v>0</v>
      </c>
      <c r="J4037" s="7" t="str">
        <f t="shared" si="205"/>
        <v>PAGADO</v>
      </c>
    </row>
    <row r="4038" spans="1:11" x14ac:dyDescent="0.25">
      <c r="A4038">
        <v>2025</v>
      </c>
      <c r="C4038" t="s">
        <v>3743</v>
      </c>
      <c r="D4038" s="9" t="s">
        <v>3870</v>
      </c>
      <c r="F4038" s="6">
        <v>75</v>
      </c>
      <c r="G4038" s="6">
        <f t="shared" si="206"/>
        <v>75</v>
      </c>
      <c r="H4038" s="6">
        <v>75</v>
      </c>
      <c r="I4038" s="26">
        <f t="shared" si="204"/>
        <v>0</v>
      </c>
      <c r="J4038" s="7" t="str">
        <f t="shared" si="205"/>
        <v>PAGADO</v>
      </c>
      <c r="K4038" t="s">
        <v>1056</v>
      </c>
    </row>
    <row r="4039" spans="1:11" x14ac:dyDescent="0.25">
      <c r="A4039">
        <v>2025</v>
      </c>
      <c r="C4039" s="9" t="s">
        <v>3871</v>
      </c>
      <c r="D4039" t="s">
        <v>3449</v>
      </c>
      <c r="F4039" s="6">
        <v>50</v>
      </c>
      <c r="G4039" s="6">
        <f t="shared" si="206"/>
        <v>50</v>
      </c>
      <c r="H4039" s="6">
        <v>50</v>
      </c>
      <c r="I4039" s="26">
        <f t="shared" si="204"/>
        <v>0</v>
      </c>
      <c r="J4039" s="7" t="str">
        <f t="shared" si="205"/>
        <v>PAGADO</v>
      </c>
    </row>
    <row r="4040" spans="1:11" x14ac:dyDescent="0.25">
      <c r="A4040">
        <v>2025</v>
      </c>
      <c r="C4040" s="9" t="s">
        <v>3872</v>
      </c>
      <c r="D4040" s="9" t="s">
        <v>1399</v>
      </c>
      <c r="F4040" s="6">
        <v>60</v>
      </c>
      <c r="G4040" s="6">
        <f t="shared" si="206"/>
        <v>60</v>
      </c>
      <c r="H4040" s="6">
        <v>60</v>
      </c>
      <c r="I4040" s="26">
        <f t="shared" si="204"/>
        <v>0</v>
      </c>
      <c r="J4040" s="7" t="str">
        <f t="shared" si="205"/>
        <v>PAGADO</v>
      </c>
    </row>
    <row r="4041" spans="1:11" x14ac:dyDescent="0.25">
      <c r="A4041">
        <v>2025</v>
      </c>
      <c r="C4041" s="9" t="s">
        <v>3873</v>
      </c>
      <c r="D4041" s="9" t="s">
        <v>2548</v>
      </c>
      <c r="F4041" s="6">
        <v>35</v>
      </c>
      <c r="G4041" s="6">
        <f t="shared" si="206"/>
        <v>35</v>
      </c>
      <c r="H4041" s="6">
        <v>35</v>
      </c>
      <c r="I4041" s="26">
        <f t="shared" si="204"/>
        <v>0</v>
      </c>
      <c r="J4041" s="7" t="str">
        <f t="shared" si="205"/>
        <v>PAGADO</v>
      </c>
    </row>
    <row r="4042" spans="1:11" x14ac:dyDescent="0.25">
      <c r="A4042">
        <v>2025</v>
      </c>
      <c r="C4042" s="9" t="s">
        <v>3874</v>
      </c>
      <c r="D4042" s="9" t="s">
        <v>488</v>
      </c>
      <c r="F4042" s="6">
        <v>250</v>
      </c>
      <c r="G4042" s="6">
        <f t="shared" si="206"/>
        <v>250</v>
      </c>
      <c r="H4042" s="6">
        <f>125+125</f>
        <v>250</v>
      </c>
      <c r="I4042" s="26">
        <f t="shared" si="204"/>
        <v>0</v>
      </c>
      <c r="J4042" s="7" t="str">
        <f t="shared" si="205"/>
        <v>PAGADO</v>
      </c>
      <c r="K4042" s="33" t="s">
        <v>570</v>
      </c>
    </row>
    <row r="4043" spans="1:11" x14ac:dyDescent="0.25">
      <c r="A4043">
        <v>2025</v>
      </c>
      <c r="C4043" s="9" t="s">
        <v>3875</v>
      </c>
      <c r="D4043" t="s">
        <v>3158</v>
      </c>
      <c r="F4043" s="6">
        <v>60</v>
      </c>
      <c r="G4043" s="6">
        <f t="shared" si="206"/>
        <v>60</v>
      </c>
      <c r="H4043" s="6">
        <v>60</v>
      </c>
      <c r="I4043" s="26">
        <f t="shared" si="204"/>
        <v>0</v>
      </c>
      <c r="J4043" s="7" t="str">
        <f t="shared" si="205"/>
        <v>PAGADO</v>
      </c>
    </row>
    <row r="4044" spans="1:11" x14ac:dyDescent="0.25">
      <c r="A4044">
        <v>2025</v>
      </c>
      <c r="C4044" s="9" t="s">
        <v>3876</v>
      </c>
      <c r="D4044" t="s">
        <v>3158</v>
      </c>
      <c r="F4044" s="6">
        <v>40</v>
      </c>
      <c r="G4044" s="6">
        <f t="shared" si="206"/>
        <v>40</v>
      </c>
      <c r="H4044" s="6">
        <v>40</v>
      </c>
      <c r="I4044" s="26">
        <f t="shared" si="204"/>
        <v>0</v>
      </c>
      <c r="J4044" s="7" t="str">
        <f t="shared" si="205"/>
        <v>PAGADO</v>
      </c>
    </row>
    <row r="4045" spans="1:11" x14ac:dyDescent="0.25">
      <c r="A4045">
        <v>2025</v>
      </c>
      <c r="C4045" t="s">
        <v>3874</v>
      </c>
      <c r="D4045" s="9" t="s">
        <v>3434</v>
      </c>
      <c r="F4045" s="6">
        <v>240</v>
      </c>
      <c r="G4045" s="6">
        <f t="shared" si="206"/>
        <v>240</v>
      </c>
      <c r="H4045" s="6">
        <v>240</v>
      </c>
      <c r="I4045" s="16">
        <f t="shared" si="204"/>
        <v>0</v>
      </c>
      <c r="J4045" s="7" t="str">
        <f t="shared" si="205"/>
        <v>PAGADO</v>
      </c>
    </row>
    <row r="4046" spans="1:11" x14ac:dyDescent="0.25">
      <c r="A4046">
        <v>2025</v>
      </c>
      <c r="C4046" t="s">
        <v>3877</v>
      </c>
      <c r="D4046" s="9" t="s">
        <v>2548</v>
      </c>
      <c r="F4046" s="6">
        <v>70</v>
      </c>
      <c r="G4046" s="6">
        <f t="shared" si="206"/>
        <v>70</v>
      </c>
      <c r="H4046" s="6">
        <v>70</v>
      </c>
      <c r="I4046" s="26">
        <f t="shared" si="204"/>
        <v>0</v>
      </c>
      <c r="J4046" s="7" t="str">
        <f t="shared" si="205"/>
        <v>PAGADO</v>
      </c>
    </row>
    <row r="4047" spans="1:11" x14ac:dyDescent="0.25">
      <c r="A4047">
        <v>2025</v>
      </c>
      <c r="C4047" t="s">
        <v>3878</v>
      </c>
      <c r="D4047" s="9" t="s">
        <v>2548</v>
      </c>
      <c r="F4047" s="6">
        <v>65</v>
      </c>
      <c r="G4047" s="6">
        <f t="shared" si="206"/>
        <v>65</v>
      </c>
      <c r="H4047" s="6">
        <f>32.5+32.5</f>
        <v>65</v>
      </c>
      <c r="I4047" s="26">
        <f t="shared" si="204"/>
        <v>0</v>
      </c>
      <c r="J4047" s="7" t="str">
        <f t="shared" si="205"/>
        <v>PAGADO</v>
      </c>
      <c r="K4047" s="33" t="s">
        <v>2640</v>
      </c>
    </row>
    <row r="4048" spans="1:11" x14ac:dyDescent="0.25">
      <c r="A4048">
        <v>2025</v>
      </c>
      <c r="C4048" s="9" t="s">
        <v>3839</v>
      </c>
      <c r="D4048" s="9" t="s">
        <v>3387</v>
      </c>
      <c r="F4048" s="6">
        <v>60</v>
      </c>
      <c r="G4048" s="6">
        <f t="shared" si="206"/>
        <v>60</v>
      </c>
      <c r="H4048" s="6">
        <v>60</v>
      </c>
      <c r="I4048" s="26">
        <f t="shared" si="204"/>
        <v>0</v>
      </c>
      <c r="J4048" s="7" t="str">
        <f t="shared" si="205"/>
        <v>PAGADO</v>
      </c>
    </row>
    <row r="4049" spans="1:12" x14ac:dyDescent="0.25">
      <c r="A4049">
        <v>2025</v>
      </c>
      <c r="C4049" s="9" t="s">
        <v>3879</v>
      </c>
      <c r="D4049" s="9" t="s">
        <v>3880</v>
      </c>
      <c r="F4049" s="6">
        <v>70</v>
      </c>
      <c r="G4049" s="6">
        <f t="shared" si="206"/>
        <v>70</v>
      </c>
      <c r="H4049" s="6">
        <v>70</v>
      </c>
      <c r="I4049" s="26">
        <f t="shared" si="204"/>
        <v>0</v>
      </c>
      <c r="J4049" s="7" t="str">
        <f t="shared" si="205"/>
        <v>PAGADO</v>
      </c>
    </row>
    <row r="4050" spans="1:12" x14ac:dyDescent="0.25">
      <c r="A4050">
        <v>2025</v>
      </c>
      <c r="C4050" s="9" t="s">
        <v>3881</v>
      </c>
      <c r="D4050" s="9" t="s">
        <v>2548</v>
      </c>
      <c r="F4050" s="6">
        <v>450</v>
      </c>
      <c r="G4050" s="6">
        <f t="shared" si="206"/>
        <v>450</v>
      </c>
      <c r="H4050" s="6">
        <v>450</v>
      </c>
      <c r="I4050" s="26">
        <f t="shared" ref="I4050:I4113" si="207">F4050-H4050</f>
        <v>0</v>
      </c>
      <c r="J4050" s="7" t="str">
        <f t="shared" si="205"/>
        <v>PAGADO</v>
      </c>
      <c r="K4050" s="33" t="s">
        <v>2639</v>
      </c>
      <c r="L4050" s="9" t="s">
        <v>3794</v>
      </c>
    </row>
    <row r="4051" spans="1:12" x14ac:dyDescent="0.25">
      <c r="A4051">
        <v>2025</v>
      </c>
      <c r="C4051" s="9" t="s">
        <v>3882</v>
      </c>
      <c r="D4051" s="9" t="s">
        <v>18</v>
      </c>
      <c r="F4051" s="6">
        <v>180</v>
      </c>
      <c r="G4051" s="6">
        <f t="shared" si="206"/>
        <v>180</v>
      </c>
      <c r="H4051" s="6">
        <v>180</v>
      </c>
      <c r="I4051" s="26">
        <f t="shared" si="207"/>
        <v>0</v>
      </c>
      <c r="J4051" s="7" t="str">
        <f t="shared" si="205"/>
        <v>PAGADO</v>
      </c>
    </row>
    <row r="4052" spans="1:12" x14ac:dyDescent="0.25">
      <c r="A4052">
        <v>2025</v>
      </c>
      <c r="C4052" s="9" t="s">
        <v>499</v>
      </c>
      <c r="D4052" s="9" t="s">
        <v>3883</v>
      </c>
      <c r="F4052" s="6">
        <v>70</v>
      </c>
      <c r="G4052" s="6">
        <f t="shared" si="206"/>
        <v>70</v>
      </c>
      <c r="H4052" s="6">
        <v>70</v>
      </c>
      <c r="I4052" s="26">
        <f t="shared" si="207"/>
        <v>0</v>
      </c>
      <c r="J4052" s="7" t="str">
        <f t="shared" si="205"/>
        <v>PAGADO</v>
      </c>
    </row>
    <row r="4053" spans="1:12" x14ac:dyDescent="0.25">
      <c r="A4053">
        <v>2025</v>
      </c>
      <c r="C4053" s="9" t="s">
        <v>3884</v>
      </c>
      <c r="D4053" s="9" t="s">
        <v>3883</v>
      </c>
      <c r="F4053" s="6">
        <v>70</v>
      </c>
      <c r="G4053" s="6">
        <f t="shared" si="206"/>
        <v>70</v>
      </c>
      <c r="H4053" s="6">
        <v>70</v>
      </c>
      <c r="I4053" s="26">
        <f t="shared" si="207"/>
        <v>0</v>
      </c>
      <c r="J4053" s="7" t="str">
        <f t="shared" si="205"/>
        <v>PAGADO</v>
      </c>
    </row>
    <row r="4054" spans="1:12" x14ac:dyDescent="0.25">
      <c r="A4054">
        <v>2025</v>
      </c>
      <c r="C4054" s="9" t="s">
        <v>3885</v>
      </c>
      <c r="D4054" s="9" t="s">
        <v>2548</v>
      </c>
      <c r="F4054" s="6">
        <v>50</v>
      </c>
      <c r="G4054" s="6">
        <f t="shared" si="206"/>
        <v>50</v>
      </c>
      <c r="H4054" s="6">
        <v>50</v>
      </c>
      <c r="I4054" s="26">
        <f t="shared" si="207"/>
        <v>0</v>
      </c>
      <c r="J4054" s="7" t="str">
        <f t="shared" si="205"/>
        <v>PAGADO</v>
      </c>
    </row>
    <row r="4055" spans="1:12" x14ac:dyDescent="0.25">
      <c r="A4055">
        <v>2025</v>
      </c>
      <c r="C4055" s="9" t="s">
        <v>3886</v>
      </c>
      <c r="D4055" s="9" t="s">
        <v>1460</v>
      </c>
      <c r="F4055" s="6">
        <v>250</v>
      </c>
      <c r="G4055" s="6">
        <f t="shared" si="206"/>
        <v>250</v>
      </c>
      <c r="H4055" s="6">
        <f>100+150</f>
        <v>250</v>
      </c>
      <c r="I4055" s="26">
        <f t="shared" si="207"/>
        <v>0</v>
      </c>
      <c r="J4055" s="7" t="str">
        <f t="shared" si="205"/>
        <v>PAGADO</v>
      </c>
      <c r="K4055" s="33" t="s">
        <v>2639</v>
      </c>
    </row>
    <row r="4056" spans="1:12" x14ac:dyDescent="0.25">
      <c r="A4056">
        <v>2025</v>
      </c>
      <c r="C4056" t="s">
        <v>3887</v>
      </c>
      <c r="D4056" s="9" t="s">
        <v>3376</v>
      </c>
      <c r="F4056" s="6">
        <v>20</v>
      </c>
      <c r="G4056" s="6">
        <f t="shared" si="206"/>
        <v>20</v>
      </c>
      <c r="H4056" s="6">
        <v>20</v>
      </c>
      <c r="I4056" s="26">
        <f t="shared" si="207"/>
        <v>0</v>
      </c>
      <c r="J4056" s="7" t="str">
        <f t="shared" si="205"/>
        <v>PAGADO</v>
      </c>
    </row>
    <row r="4057" spans="1:12" x14ac:dyDescent="0.25">
      <c r="A4057">
        <v>2025</v>
      </c>
      <c r="C4057" s="9" t="s">
        <v>3888</v>
      </c>
      <c r="D4057" t="s">
        <v>2935</v>
      </c>
      <c r="F4057" s="6">
        <v>50</v>
      </c>
      <c r="G4057" s="6">
        <f t="shared" si="206"/>
        <v>50</v>
      </c>
      <c r="H4057" s="6">
        <v>50</v>
      </c>
      <c r="I4057" s="26">
        <f t="shared" si="207"/>
        <v>0</v>
      </c>
      <c r="J4057" s="7" t="str">
        <f t="shared" si="205"/>
        <v>PAGADO</v>
      </c>
    </row>
    <row r="4058" spans="1:12" x14ac:dyDescent="0.25">
      <c r="A4058">
        <v>2025</v>
      </c>
      <c r="C4058" s="9" t="s">
        <v>3889</v>
      </c>
      <c r="D4058" s="9" t="s">
        <v>597</v>
      </c>
      <c r="F4058" s="6">
        <v>40</v>
      </c>
      <c r="G4058" s="6">
        <f t="shared" si="206"/>
        <v>40</v>
      </c>
      <c r="H4058" s="6">
        <v>40</v>
      </c>
      <c r="I4058" s="26">
        <f t="shared" si="207"/>
        <v>0</v>
      </c>
      <c r="J4058" s="7" t="str">
        <f t="shared" si="205"/>
        <v>PAGADO</v>
      </c>
    </row>
    <row r="4059" spans="1:12" x14ac:dyDescent="0.25">
      <c r="A4059">
        <v>2025</v>
      </c>
      <c r="C4059" s="9" t="s">
        <v>3890</v>
      </c>
      <c r="D4059" s="9" t="s">
        <v>3213</v>
      </c>
      <c r="F4059" s="6">
        <v>450</v>
      </c>
      <c r="G4059" s="6">
        <f t="shared" si="206"/>
        <v>450</v>
      </c>
      <c r="H4059" s="6">
        <v>450</v>
      </c>
      <c r="I4059" s="26">
        <f t="shared" si="207"/>
        <v>0</v>
      </c>
      <c r="J4059" s="7" t="str">
        <f t="shared" si="205"/>
        <v>PAGADO</v>
      </c>
      <c r="K4059" s="33" t="s">
        <v>2639</v>
      </c>
      <c r="L4059" t="s">
        <v>3891</v>
      </c>
    </row>
    <row r="4060" spans="1:12" x14ac:dyDescent="0.25">
      <c r="A4060">
        <v>2025</v>
      </c>
      <c r="C4060" s="9" t="s">
        <v>3798</v>
      </c>
      <c r="D4060" s="9" t="s">
        <v>3213</v>
      </c>
      <c r="F4060" s="6">
        <v>70</v>
      </c>
      <c r="G4060" s="6">
        <f t="shared" si="206"/>
        <v>70</v>
      </c>
      <c r="H4060" s="6">
        <v>70</v>
      </c>
      <c r="I4060" s="83">
        <f t="shared" si="207"/>
        <v>0</v>
      </c>
      <c r="J4060" s="7" t="str">
        <f t="shared" si="205"/>
        <v>PAGADO</v>
      </c>
      <c r="K4060" s="33" t="s">
        <v>2639</v>
      </c>
      <c r="L4060" t="s">
        <v>3891</v>
      </c>
    </row>
    <row r="4061" spans="1:12" x14ac:dyDescent="0.25">
      <c r="A4061">
        <v>2025</v>
      </c>
      <c r="C4061" s="9" t="s">
        <v>3892</v>
      </c>
      <c r="D4061" s="9" t="s">
        <v>3198</v>
      </c>
      <c r="F4061" s="6">
        <v>40</v>
      </c>
      <c r="G4061" s="6">
        <f t="shared" si="206"/>
        <v>40</v>
      </c>
      <c r="H4061" s="6">
        <f>20+20</f>
        <v>40</v>
      </c>
      <c r="I4061" s="26">
        <f t="shared" si="207"/>
        <v>0</v>
      </c>
      <c r="J4061" s="7" t="str">
        <f t="shared" si="205"/>
        <v>PAGADO</v>
      </c>
      <c r="K4061" s="33" t="s">
        <v>2639</v>
      </c>
    </row>
    <row r="4062" spans="1:12" x14ac:dyDescent="0.25">
      <c r="A4062">
        <v>2025</v>
      </c>
      <c r="C4062" s="9" t="s">
        <v>3893</v>
      </c>
      <c r="D4062" s="9" t="s">
        <v>3198</v>
      </c>
      <c r="F4062" s="6">
        <v>60</v>
      </c>
      <c r="G4062" s="6">
        <f t="shared" si="206"/>
        <v>60</v>
      </c>
      <c r="H4062" s="6">
        <f>30+30</f>
        <v>60</v>
      </c>
      <c r="I4062" s="26">
        <f t="shared" si="207"/>
        <v>0</v>
      </c>
      <c r="J4062" s="7" t="str">
        <f t="shared" si="205"/>
        <v>PAGADO</v>
      </c>
      <c r="K4062" s="33" t="s">
        <v>2640</v>
      </c>
    </row>
    <row r="4063" spans="1:12" x14ac:dyDescent="0.25">
      <c r="A4063">
        <v>2025</v>
      </c>
      <c r="C4063" s="9" t="s">
        <v>3894</v>
      </c>
      <c r="D4063" s="9" t="s">
        <v>3213</v>
      </c>
      <c r="F4063" s="6">
        <v>270</v>
      </c>
      <c r="G4063" s="6">
        <f t="shared" si="206"/>
        <v>270</v>
      </c>
      <c r="H4063" s="6">
        <v>270</v>
      </c>
      <c r="I4063" s="83">
        <f t="shared" si="207"/>
        <v>0</v>
      </c>
      <c r="J4063" s="7" t="str">
        <f t="shared" si="205"/>
        <v>PAGADO</v>
      </c>
      <c r="K4063" s="33" t="s">
        <v>2640</v>
      </c>
      <c r="L4063" t="s">
        <v>3895</v>
      </c>
    </row>
    <row r="4064" spans="1:12" x14ac:dyDescent="0.25">
      <c r="A4064">
        <v>2025</v>
      </c>
      <c r="C4064" s="9" t="s">
        <v>3896</v>
      </c>
      <c r="D4064" s="9" t="s">
        <v>3213</v>
      </c>
      <c r="F4064" s="6">
        <v>80</v>
      </c>
      <c r="G4064" s="6">
        <f t="shared" si="206"/>
        <v>80</v>
      </c>
      <c r="H4064" s="6">
        <f>40+40</f>
        <v>80</v>
      </c>
      <c r="I4064" s="83">
        <f t="shared" si="207"/>
        <v>0</v>
      </c>
      <c r="J4064" s="7" t="str">
        <f t="shared" si="205"/>
        <v>PAGADO</v>
      </c>
      <c r="K4064" s="33" t="s">
        <v>1815</v>
      </c>
      <c r="L4064" t="s">
        <v>3895</v>
      </c>
    </row>
    <row r="4065" spans="1:12" x14ac:dyDescent="0.25">
      <c r="A4065">
        <v>2025</v>
      </c>
      <c r="C4065" s="9" t="s">
        <v>554</v>
      </c>
      <c r="D4065" s="9" t="s">
        <v>3897</v>
      </c>
      <c r="F4065" s="6">
        <v>20</v>
      </c>
      <c r="G4065" s="6">
        <f t="shared" si="206"/>
        <v>20</v>
      </c>
      <c r="H4065" s="6">
        <v>20</v>
      </c>
      <c r="I4065" s="26">
        <f t="shared" si="207"/>
        <v>0</v>
      </c>
      <c r="J4065" s="7" t="str">
        <f t="shared" si="205"/>
        <v>PAGADO</v>
      </c>
    </row>
    <row r="4066" spans="1:12" x14ac:dyDescent="0.25">
      <c r="A4066">
        <v>2025</v>
      </c>
      <c r="C4066" s="9" t="s">
        <v>3898</v>
      </c>
      <c r="D4066" s="9" t="s">
        <v>3679</v>
      </c>
      <c r="F4066" s="6">
        <v>65</v>
      </c>
      <c r="G4066" s="6">
        <f t="shared" si="206"/>
        <v>65</v>
      </c>
      <c r="H4066" s="6">
        <f>30+35</f>
        <v>65</v>
      </c>
      <c r="I4066" s="26">
        <f t="shared" si="207"/>
        <v>0</v>
      </c>
      <c r="J4066" s="7" t="str">
        <f t="shared" si="205"/>
        <v>PAGADO</v>
      </c>
      <c r="K4066" s="33" t="s">
        <v>2640</v>
      </c>
    </row>
    <row r="4067" spans="1:12" x14ac:dyDescent="0.25">
      <c r="A4067">
        <v>2025</v>
      </c>
      <c r="C4067" s="9" t="s">
        <v>3899</v>
      </c>
      <c r="D4067" s="9" t="s">
        <v>3101</v>
      </c>
      <c r="F4067" s="6">
        <v>50</v>
      </c>
      <c r="G4067" s="6">
        <f t="shared" si="206"/>
        <v>50</v>
      </c>
      <c r="H4067" s="6">
        <v>25</v>
      </c>
      <c r="I4067" s="26">
        <f t="shared" si="207"/>
        <v>25</v>
      </c>
      <c r="J4067" s="7" t="str">
        <f t="shared" ref="J4067:J4130" si="208">IF(I4067&gt;0,"DEBE","PAGADO")</f>
        <v>DEBE</v>
      </c>
      <c r="K4067" s="33" t="s">
        <v>2640</v>
      </c>
    </row>
    <row r="4068" spans="1:12" x14ac:dyDescent="0.25">
      <c r="A4068">
        <v>2025</v>
      </c>
      <c r="C4068" s="9" t="s">
        <v>3900</v>
      </c>
      <c r="D4068" s="9" t="s">
        <v>3198</v>
      </c>
      <c r="F4068" s="6">
        <v>70</v>
      </c>
      <c r="G4068" s="6">
        <f t="shared" si="206"/>
        <v>70</v>
      </c>
      <c r="H4068" s="24">
        <v>70</v>
      </c>
      <c r="I4068" s="26">
        <f t="shared" si="207"/>
        <v>0</v>
      </c>
      <c r="J4068" s="7" t="str">
        <f t="shared" si="208"/>
        <v>PAGADO</v>
      </c>
      <c r="K4068" s="33" t="s">
        <v>2640</v>
      </c>
    </row>
    <row r="4069" spans="1:12" x14ac:dyDescent="0.25">
      <c r="A4069">
        <v>2025</v>
      </c>
      <c r="C4069" s="9" t="s">
        <v>3901</v>
      </c>
      <c r="D4069" s="9" t="s">
        <v>3213</v>
      </c>
      <c r="F4069" s="6">
        <v>70</v>
      </c>
      <c r="G4069" s="6">
        <f t="shared" si="206"/>
        <v>70</v>
      </c>
      <c r="H4069" s="6">
        <v>70</v>
      </c>
      <c r="I4069" s="83">
        <f t="shared" si="207"/>
        <v>0</v>
      </c>
      <c r="J4069" s="7" t="str">
        <f t="shared" si="208"/>
        <v>PAGADO</v>
      </c>
      <c r="K4069" s="33" t="s">
        <v>2640</v>
      </c>
      <c r="L4069" t="s">
        <v>3895</v>
      </c>
    </row>
    <row r="4070" spans="1:12" x14ac:dyDescent="0.25">
      <c r="A4070">
        <v>2025</v>
      </c>
      <c r="C4070" s="9" t="s">
        <v>3902</v>
      </c>
      <c r="D4070" s="9" t="s">
        <v>3213</v>
      </c>
      <c r="F4070" s="6">
        <v>55</v>
      </c>
      <c r="G4070" s="6">
        <f t="shared" si="206"/>
        <v>55</v>
      </c>
      <c r="H4070" s="6">
        <v>55</v>
      </c>
      <c r="I4070" s="83">
        <f t="shared" si="207"/>
        <v>0</v>
      </c>
      <c r="J4070" s="7" t="str">
        <f t="shared" si="208"/>
        <v>PAGADO</v>
      </c>
      <c r="K4070" s="33" t="s">
        <v>2640</v>
      </c>
      <c r="L4070" t="s">
        <v>3895</v>
      </c>
    </row>
    <row r="4071" spans="1:12" x14ac:dyDescent="0.25">
      <c r="A4071">
        <v>2025</v>
      </c>
      <c r="C4071" s="9" t="s">
        <v>2419</v>
      </c>
      <c r="D4071" s="9" t="s">
        <v>3213</v>
      </c>
      <c r="F4071" s="6">
        <v>150</v>
      </c>
      <c r="G4071" s="6">
        <f t="shared" si="206"/>
        <v>150</v>
      </c>
      <c r="H4071" s="6">
        <v>150</v>
      </c>
      <c r="I4071" s="83">
        <f t="shared" si="207"/>
        <v>0</v>
      </c>
      <c r="J4071" s="7" t="str">
        <f t="shared" si="208"/>
        <v>PAGADO</v>
      </c>
      <c r="L4071" t="s">
        <v>3895</v>
      </c>
    </row>
    <row r="4072" spans="1:12" x14ac:dyDescent="0.25">
      <c r="A4072">
        <v>2025</v>
      </c>
      <c r="C4072" s="9" t="s">
        <v>3903</v>
      </c>
      <c r="D4072" s="9" t="s">
        <v>3213</v>
      </c>
      <c r="F4072" s="6">
        <v>70</v>
      </c>
      <c r="G4072" s="6">
        <f t="shared" si="206"/>
        <v>70</v>
      </c>
      <c r="H4072" s="6">
        <v>70</v>
      </c>
      <c r="I4072" s="83">
        <f t="shared" si="207"/>
        <v>0</v>
      </c>
      <c r="J4072" s="7" t="str">
        <f t="shared" si="208"/>
        <v>PAGADO</v>
      </c>
      <c r="L4072" t="s">
        <v>3895</v>
      </c>
    </row>
    <row r="4073" spans="1:12" x14ac:dyDescent="0.25">
      <c r="A4073">
        <v>2025</v>
      </c>
      <c r="C4073" s="9" t="s">
        <v>1007</v>
      </c>
      <c r="D4073" s="9" t="s">
        <v>3862</v>
      </c>
      <c r="F4073" s="6">
        <v>70</v>
      </c>
      <c r="G4073" s="6">
        <f t="shared" si="206"/>
        <v>70</v>
      </c>
      <c r="H4073" s="6">
        <v>70</v>
      </c>
      <c r="I4073" s="26">
        <f t="shared" si="207"/>
        <v>0</v>
      </c>
      <c r="J4073" s="7" t="str">
        <f t="shared" si="208"/>
        <v>PAGADO</v>
      </c>
      <c r="K4073" s="33" t="s">
        <v>2640</v>
      </c>
    </row>
    <row r="4074" spans="1:12" x14ac:dyDescent="0.25">
      <c r="A4074">
        <v>2025</v>
      </c>
      <c r="C4074" s="9" t="s">
        <v>3904</v>
      </c>
      <c r="D4074" s="9" t="s">
        <v>3862</v>
      </c>
      <c r="F4074" s="6">
        <v>50</v>
      </c>
      <c r="G4074" s="6">
        <f t="shared" si="206"/>
        <v>50</v>
      </c>
      <c r="H4074" s="6">
        <v>50</v>
      </c>
      <c r="I4074" s="26">
        <f t="shared" si="207"/>
        <v>0</v>
      </c>
      <c r="J4074" s="7" t="str">
        <f t="shared" si="208"/>
        <v>PAGADO</v>
      </c>
      <c r="K4074" s="33" t="s">
        <v>2640</v>
      </c>
    </row>
    <row r="4075" spans="1:12" x14ac:dyDescent="0.25">
      <c r="A4075">
        <v>2025</v>
      </c>
      <c r="C4075" s="9" t="s">
        <v>3905</v>
      </c>
      <c r="D4075" s="9" t="s">
        <v>2018</v>
      </c>
      <c r="F4075" s="6">
        <v>70</v>
      </c>
      <c r="G4075" s="6">
        <f t="shared" si="206"/>
        <v>70</v>
      </c>
      <c r="H4075" s="6">
        <f>45+25</f>
        <v>70</v>
      </c>
      <c r="I4075" s="16">
        <f t="shared" si="207"/>
        <v>0</v>
      </c>
      <c r="J4075" s="7" t="str">
        <f t="shared" si="208"/>
        <v>PAGADO</v>
      </c>
      <c r="K4075" s="33" t="s">
        <v>2639</v>
      </c>
    </row>
    <row r="4076" spans="1:12" x14ac:dyDescent="0.25">
      <c r="A4076">
        <v>2025</v>
      </c>
      <c r="C4076" s="9" t="s">
        <v>3906</v>
      </c>
      <c r="D4076" s="9" t="s">
        <v>2548</v>
      </c>
      <c r="F4076" s="6">
        <v>500</v>
      </c>
      <c r="G4076" s="6">
        <f t="shared" si="206"/>
        <v>500</v>
      </c>
      <c r="H4076" s="6">
        <v>500</v>
      </c>
      <c r="I4076" s="26">
        <f t="shared" si="207"/>
        <v>0</v>
      </c>
      <c r="J4076" s="7" t="str">
        <f t="shared" si="208"/>
        <v>PAGADO</v>
      </c>
      <c r="K4076" s="33" t="s">
        <v>2639</v>
      </c>
      <c r="L4076" s="9" t="s">
        <v>3794</v>
      </c>
    </row>
    <row r="4077" spans="1:12" x14ac:dyDescent="0.25">
      <c r="A4077">
        <v>2025</v>
      </c>
      <c r="C4077" s="9" t="s">
        <v>3907</v>
      </c>
      <c r="D4077" s="9" t="s">
        <v>2548</v>
      </c>
      <c r="F4077" s="6">
        <v>300</v>
      </c>
      <c r="G4077" s="6">
        <f t="shared" si="206"/>
        <v>300</v>
      </c>
      <c r="H4077" s="6">
        <v>300</v>
      </c>
      <c r="I4077" s="26">
        <f t="shared" si="207"/>
        <v>0</v>
      </c>
      <c r="J4077" s="7" t="str">
        <f t="shared" si="208"/>
        <v>PAGADO</v>
      </c>
      <c r="K4077" s="33" t="s">
        <v>2639</v>
      </c>
      <c r="L4077" s="9" t="s">
        <v>3794</v>
      </c>
    </row>
    <row r="4078" spans="1:12" x14ac:dyDescent="0.25">
      <c r="A4078">
        <v>2025</v>
      </c>
      <c r="C4078" s="9" t="s">
        <v>3102</v>
      </c>
      <c r="D4078" s="9" t="s">
        <v>3262</v>
      </c>
      <c r="F4078" s="6">
        <v>70</v>
      </c>
      <c r="G4078" s="6">
        <f t="shared" si="206"/>
        <v>70</v>
      </c>
      <c r="H4078" s="6">
        <f>35+35</f>
        <v>70</v>
      </c>
      <c r="I4078" s="26">
        <f t="shared" si="207"/>
        <v>0</v>
      </c>
      <c r="J4078" s="7" t="str">
        <f t="shared" si="208"/>
        <v>PAGADO</v>
      </c>
    </row>
    <row r="4079" spans="1:12" x14ac:dyDescent="0.25">
      <c r="A4079">
        <v>2025</v>
      </c>
      <c r="C4079" s="9" t="s">
        <v>3908</v>
      </c>
      <c r="D4079" s="9" t="s">
        <v>3909</v>
      </c>
      <c r="F4079" s="6">
        <v>120</v>
      </c>
      <c r="G4079" s="6">
        <f t="shared" si="206"/>
        <v>120</v>
      </c>
      <c r="H4079" s="6">
        <v>120</v>
      </c>
      <c r="I4079" s="26">
        <f t="shared" si="207"/>
        <v>0</v>
      </c>
      <c r="J4079" s="7" t="str">
        <f t="shared" si="208"/>
        <v>PAGADO</v>
      </c>
    </row>
    <row r="4080" spans="1:12" x14ac:dyDescent="0.25">
      <c r="A4080">
        <v>2025</v>
      </c>
      <c r="C4080" s="9" t="s">
        <v>3627</v>
      </c>
      <c r="D4080" s="9" t="s">
        <v>3910</v>
      </c>
      <c r="F4080" s="6">
        <v>40</v>
      </c>
      <c r="G4080" s="6">
        <f t="shared" si="206"/>
        <v>40</v>
      </c>
      <c r="H4080" s="6">
        <v>40</v>
      </c>
      <c r="I4080" s="26">
        <f t="shared" si="207"/>
        <v>0</v>
      </c>
      <c r="J4080" s="7" t="str">
        <f t="shared" si="208"/>
        <v>PAGADO</v>
      </c>
    </row>
    <row r="4081" spans="1:12" x14ac:dyDescent="0.25">
      <c r="A4081">
        <v>2025</v>
      </c>
      <c r="C4081" s="9" t="s">
        <v>3874</v>
      </c>
      <c r="D4081" s="9" t="s">
        <v>2878</v>
      </c>
      <c r="F4081" s="6">
        <v>230</v>
      </c>
      <c r="G4081" s="6">
        <f t="shared" si="206"/>
        <v>230</v>
      </c>
      <c r="H4081" s="6">
        <v>230</v>
      </c>
      <c r="I4081" s="26">
        <f t="shared" si="207"/>
        <v>0</v>
      </c>
      <c r="J4081" s="7" t="str">
        <f t="shared" si="208"/>
        <v>PAGADO</v>
      </c>
    </row>
    <row r="4082" spans="1:12" x14ac:dyDescent="0.25">
      <c r="A4082">
        <v>2025</v>
      </c>
      <c r="C4082" s="9" t="s">
        <v>3911</v>
      </c>
      <c r="D4082" s="9" t="s">
        <v>488</v>
      </c>
      <c r="F4082" s="6">
        <v>60</v>
      </c>
      <c r="G4082" s="6">
        <f t="shared" si="206"/>
        <v>60</v>
      </c>
      <c r="H4082" s="6">
        <v>60</v>
      </c>
      <c r="I4082" s="26">
        <f t="shared" si="207"/>
        <v>0</v>
      </c>
      <c r="J4082" s="7" t="str">
        <f t="shared" si="208"/>
        <v>PAGADO</v>
      </c>
    </row>
    <row r="4083" spans="1:12" x14ac:dyDescent="0.25">
      <c r="A4083">
        <v>2025</v>
      </c>
      <c r="C4083" s="9" t="s">
        <v>3911</v>
      </c>
      <c r="D4083" s="9" t="s">
        <v>3612</v>
      </c>
      <c r="F4083" s="6">
        <v>60</v>
      </c>
      <c r="G4083" s="6">
        <f t="shared" si="206"/>
        <v>60</v>
      </c>
      <c r="H4083" s="6">
        <f>30+30</f>
        <v>60</v>
      </c>
      <c r="I4083" s="26">
        <f t="shared" si="207"/>
        <v>0</v>
      </c>
      <c r="J4083" s="7" t="str">
        <f t="shared" si="208"/>
        <v>PAGADO</v>
      </c>
    </row>
    <row r="4084" spans="1:12" x14ac:dyDescent="0.25">
      <c r="A4084">
        <v>2025</v>
      </c>
      <c r="C4084" s="9" t="s">
        <v>3912</v>
      </c>
      <c r="D4084" s="9" t="s">
        <v>3599</v>
      </c>
      <c r="F4084" s="6">
        <v>70</v>
      </c>
      <c r="G4084" s="6">
        <f t="shared" si="206"/>
        <v>70</v>
      </c>
      <c r="H4084" s="6">
        <f>35+35</f>
        <v>70</v>
      </c>
      <c r="I4084" s="26">
        <f t="shared" si="207"/>
        <v>0</v>
      </c>
      <c r="J4084" s="7" t="str">
        <f t="shared" si="208"/>
        <v>PAGADO</v>
      </c>
      <c r="K4084" s="33" t="s">
        <v>2640</v>
      </c>
    </row>
    <row r="4085" spans="1:12" x14ac:dyDescent="0.25">
      <c r="A4085">
        <v>2025</v>
      </c>
      <c r="C4085" s="9" t="s">
        <v>3913</v>
      </c>
      <c r="D4085" t="s">
        <v>2935</v>
      </c>
      <c r="F4085" s="6">
        <v>15</v>
      </c>
      <c r="G4085" s="6">
        <f t="shared" si="206"/>
        <v>15</v>
      </c>
      <c r="H4085" s="6">
        <v>15</v>
      </c>
      <c r="I4085" s="26">
        <f t="shared" si="207"/>
        <v>0</v>
      </c>
      <c r="J4085" s="7" t="str">
        <f t="shared" si="208"/>
        <v>PAGADO</v>
      </c>
    </row>
    <row r="4086" spans="1:12" x14ac:dyDescent="0.25">
      <c r="A4086">
        <v>2025</v>
      </c>
      <c r="C4086" s="9" t="s">
        <v>3914</v>
      </c>
      <c r="D4086" s="9" t="s">
        <v>2018</v>
      </c>
      <c r="F4086" s="6">
        <v>15</v>
      </c>
      <c r="G4086" s="6">
        <f t="shared" si="206"/>
        <v>15</v>
      </c>
      <c r="H4086" s="6">
        <v>15</v>
      </c>
      <c r="I4086" s="26">
        <f t="shared" si="207"/>
        <v>0</v>
      </c>
      <c r="J4086" s="7" t="str">
        <f t="shared" si="208"/>
        <v>PAGADO</v>
      </c>
    </row>
    <row r="4087" spans="1:12" x14ac:dyDescent="0.25">
      <c r="A4087">
        <v>2025</v>
      </c>
      <c r="C4087" s="9" t="s">
        <v>3915</v>
      </c>
      <c r="D4087" s="9" t="s">
        <v>3612</v>
      </c>
      <c r="F4087" s="6">
        <v>30</v>
      </c>
      <c r="G4087" s="6">
        <f t="shared" si="206"/>
        <v>30</v>
      </c>
      <c r="H4087" s="6">
        <v>30</v>
      </c>
      <c r="I4087" s="26">
        <f t="shared" si="207"/>
        <v>0</v>
      </c>
      <c r="J4087" s="7" t="str">
        <f t="shared" si="208"/>
        <v>PAGADO</v>
      </c>
    </row>
    <row r="4088" spans="1:12" x14ac:dyDescent="0.25">
      <c r="A4088">
        <v>2025</v>
      </c>
      <c r="C4088" s="9" t="s">
        <v>3916</v>
      </c>
      <c r="D4088" s="9" t="s">
        <v>1399</v>
      </c>
      <c r="F4088" s="6">
        <v>50</v>
      </c>
      <c r="G4088" s="6">
        <f t="shared" si="206"/>
        <v>50</v>
      </c>
      <c r="H4088" s="6">
        <v>50</v>
      </c>
      <c r="I4088" s="26">
        <f t="shared" si="207"/>
        <v>0</v>
      </c>
      <c r="J4088" s="7" t="str">
        <f t="shared" si="208"/>
        <v>PAGADO</v>
      </c>
      <c r="K4088" s="33" t="s">
        <v>2640</v>
      </c>
    </row>
    <row r="4089" spans="1:12" x14ac:dyDescent="0.25">
      <c r="A4089">
        <v>2025</v>
      </c>
      <c r="C4089" s="9" t="s">
        <v>3917</v>
      </c>
      <c r="D4089" t="s">
        <v>2935</v>
      </c>
      <c r="F4089" s="6">
        <v>280</v>
      </c>
      <c r="G4089" s="6">
        <f t="shared" si="206"/>
        <v>280</v>
      </c>
      <c r="H4089" s="6">
        <v>280</v>
      </c>
      <c r="I4089" s="26">
        <f t="shared" si="207"/>
        <v>0</v>
      </c>
      <c r="J4089" s="7" t="str">
        <f t="shared" si="208"/>
        <v>PAGADO</v>
      </c>
      <c r="K4089" s="33" t="s">
        <v>1056</v>
      </c>
    </row>
    <row r="4090" spans="1:12" x14ac:dyDescent="0.25">
      <c r="A4090">
        <v>2025</v>
      </c>
      <c r="C4090" s="9" t="s">
        <v>3918</v>
      </c>
      <c r="D4090" s="9" t="s">
        <v>2548</v>
      </c>
      <c r="F4090" s="6">
        <v>179</v>
      </c>
      <c r="G4090" s="6">
        <f t="shared" si="206"/>
        <v>179</v>
      </c>
      <c r="H4090" s="6">
        <f>89.5+89.5</f>
        <v>179</v>
      </c>
      <c r="I4090" s="26">
        <f t="shared" si="207"/>
        <v>0</v>
      </c>
      <c r="J4090" s="7" t="str">
        <f t="shared" si="208"/>
        <v>PAGADO</v>
      </c>
      <c r="K4090" s="33" t="s">
        <v>2639</v>
      </c>
      <c r="L4090" s="9" t="s">
        <v>3794</v>
      </c>
    </row>
    <row r="4091" spans="1:12" x14ac:dyDescent="0.25">
      <c r="A4091">
        <v>2025</v>
      </c>
      <c r="C4091" s="9" t="s">
        <v>3919</v>
      </c>
      <c r="D4091" s="9" t="s">
        <v>2548</v>
      </c>
      <c r="F4091" s="6">
        <v>120</v>
      </c>
      <c r="G4091" s="6">
        <f t="shared" si="206"/>
        <v>120</v>
      </c>
      <c r="H4091" s="6">
        <f>60+60</f>
        <v>120</v>
      </c>
      <c r="I4091" s="26">
        <f t="shared" si="207"/>
        <v>0</v>
      </c>
      <c r="J4091" s="7" t="str">
        <f t="shared" si="208"/>
        <v>PAGADO</v>
      </c>
      <c r="K4091" s="33" t="s">
        <v>3506</v>
      </c>
    </row>
    <row r="4092" spans="1:12" x14ac:dyDescent="0.25">
      <c r="A4092">
        <v>2025</v>
      </c>
      <c r="C4092" t="s">
        <v>3920</v>
      </c>
      <c r="D4092" s="9" t="s">
        <v>2548</v>
      </c>
      <c r="F4092" s="6">
        <v>80</v>
      </c>
      <c r="G4092" s="6">
        <f t="shared" si="206"/>
        <v>80</v>
      </c>
      <c r="H4092" s="6">
        <f>40+40</f>
        <v>80</v>
      </c>
      <c r="I4092" s="26">
        <f t="shared" si="207"/>
        <v>0</v>
      </c>
      <c r="J4092" s="7" t="str">
        <f t="shared" si="208"/>
        <v>PAGADO</v>
      </c>
      <c r="K4092" s="33" t="s">
        <v>2640</v>
      </c>
    </row>
    <row r="4093" spans="1:12" x14ac:dyDescent="0.25">
      <c r="A4093">
        <v>2025</v>
      </c>
      <c r="C4093" t="s">
        <v>3921</v>
      </c>
      <c r="D4093" s="9" t="s">
        <v>3612</v>
      </c>
      <c r="F4093" s="6">
        <v>30</v>
      </c>
      <c r="G4093" s="6">
        <f t="shared" si="206"/>
        <v>30</v>
      </c>
      <c r="H4093" s="6">
        <v>30</v>
      </c>
      <c r="I4093" s="26">
        <f t="shared" si="207"/>
        <v>0</v>
      </c>
      <c r="J4093" s="7" t="str">
        <f t="shared" si="208"/>
        <v>PAGADO</v>
      </c>
      <c r="K4093" s="33" t="s">
        <v>2639</v>
      </c>
    </row>
    <row r="4094" spans="1:12" x14ac:dyDescent="0.25">
      <c r="A4094">
        <v>2025</v>
      </c>
      <c r="C4094" t="s">
        <v>3922</v>
      </c>
      <c r="D4094" s="9" t="s">
        <v>3612</v>
      </c>
      <c r="F4094" s="6">
        <v>10</v>
      </c>
      <c r="G4094" s="6">
        <f t="shared" ref="G4094:G4157" si="209">F4094-E4094</f>
        <v>10</v>
      </c>
      <c r="H4094" s="6">
        <v>10</v>
      </c>
      <c r="I4094" s="26">
        <f t="shared" si="207"/>
        <v>0</v>
      </c>
      <c r="J4094" s="7" t="str">
        <f t="shared" si="208"/>
        <v>PAGADO</v>
      </c>
      <c r="K4094" s="33" t="s">
        <v>2639</v>
      </c>
    </row>
    <row r="4095" spans="1:12" x14ac:dyDescent="0.25">
      <c r="A4095">
        <v>2025</v>
      </c>
      <c r="C4095" t="s">
        <v>3923</v>
      </c>
      <c r="D4095" s="9" t="s">
        <v>3612</v>
      </c>
      <c r="F4095" s="6">
        <f>18*6</f>
        <v>108</v>
      </c>
      <c r="G4095" s="6">
        <f t="shared" si="209"/>
        <v>108</v>
      </c>
      <c r="H4095" s="6">
        <v>108</v>
      </c>
      <c r="I4095" s="26">
        <f t="shared" si="207"/>
        <v>0</v>
      </c>
      <c r="J4095" s="7" t="str">
        <f t="shared" si="208"/>
        <v>PAGADO</v>
      </c>
      <c r="K4095" s="33" t="s">
        <v>2639</v>
      </c>
    </row>
    <row r="4096" spans="1:12" x14ac:dyDescent="0.25">
      <c r="A4096">
        <v>2025</v>
      </c>
      <c r="C4096" t="s">
        <v>3924</v>
      </c>
      <c r="D4096" s="9" t="s">
        <v>3612</v>
      </c>
      <c r="F4096" s="6">
        <v>30</v>
      </c>
      <c r="G4096" s="6">
        <f t="shared" si="209"/>
        <v>30</v>
      </c>
      <c r="H4096" s="6">
        <v>30</v>
      </c>
      <c r="I4096" s="26">
        <f t="shared" si="207"/>
        <v>0</v>
      </c>
      <c r="J4096" s="7" t="str">
        <f t="shared" si="208"/>
        <v>PAGADO</v>
      </c>
      <c r="K4096" s="33" t="s">
        <v>2639</v>
      </c>
    </row>
    <row r="4097" spans="1:12" x14ac:dyDescent="0.25">
      <c r="A4097">
        <v>2025</v>
      </c>
      <c r="C4097" t="s">
        <v>3925</v>
      </c>
      <c r="D4097" s="9" t="s">
        <v>3612</v>
      </c>
      <c r="F4097" s="6">
        <v>5</v>
      </c>
      <c r="G4097" s="6">
        <f t="shared" si="209"/>
        <v>5</v>
      </c>
      <c r="H4097" s="6">
        <v>5</v>
      </c>
      <c r="I4097" s="26">
        <f t="shared" si="207"/>
        <v>0</v>
      </c>
      <c r="J4097" s="7" t="str">
        <f t="shared" si="208"/>
        <v>PAGADO</v>
      </c>
      <c r="K4097" s="33" t="s">
        <v>2639</v>
      </c>
    </row>
    <row r="4098" spans="1:12" x14ac:dyDescent="0.25">
      <c r="A4098">
        <v>2025</v>
      </c>
      <c r="C4098" t="s">
        <v>3926</v>
      </c>
      <c r="D4098" s="9" t="s">
        <v>3612</v>
      </c>
      <c r="F4098" s="6">
        <v>5</v>
      </c>
      <c r="G4098" s="6">
        <f t="shared" si="209"/>
        <v>5</v>
      </c>
      <c r="H4098" s="6">
        <v>5</v>
      </c>
      <c r="I4098" s="26">
        <f t="shared" si="207"/>
        <v>0</v>
      </c>
      <c r="J4098" s="7" t="str">
        <f t="shared" si="208"/>
        <v>PAGADO</v>
      </c>
      <c r="K4098" s="33" t="s">
        <v>2639</v>
      </c>
    </row>
    <row r="4099" spans="1:12" x14ac:dyDescent="0.25">
      <c r="A4099">
        <v>2025</v>
      </c>
      <c r="C4099" t="s">
        <v>3927</v>
      </c>
      <c r="D4099" s="9" t="s">
        <v>3612</v>
      </c>
      <c r="F4099" s="6">
        <v>5</v>
      </c>
      <c r="G4099" s="6">
        <f t="shared" si="209"/>
        <v>5</v>
      </c>
      <c r="H4099" s="6">
        <v>5</v>
      </c>
      <c r="I4099" s="26">
        <f t="shared" si="207"/>
        <v>0</v>
      </c>
      <c r="J4099" s="7" t="str">
        <f t="shared" si="208"/>
        <v>PAGADO</v>
      </c>
      <c r="K4099" s="33" t="s">
        <v>2639</v>
      </c>
    </row>
    <row r="4100" spans="1:12" x14ac:dyDescent="0.25">
      <c r="A4100">
        <v>2025</v>
      </c>
      <c r="C4100" t="s">
        <v>3928</v>
      </c>
      <c r="D4100" s="9" t="s">
        <v>3612</v>
      </c>
      <c r="F4100" s="6">
        <f>5*6</f>
        <v>30</v>
      </c>
      <c r="G4100" s="6">
        <f t="shared" si="209"/>
        <v>30</v>
      </c>
      <c r="H4100" s="6">
        <v>30</v>
      </c>
      <c r="I4100" s="26">
        <f t="shared" si="207"/>
        <v>0</v>
      </c>
      <c r="J4100" s="7" t="str">
        <f t="shared" si="208"/>
        <v>PAGADO</v>
      </c>
      <c r="K4100" s="33" t="s">
        <v>2639</v>
      </c>
    </row>
    <row r="4101" spans="1:12" x14ac:dyDescent="0.25">
      <c r="A4101">
        <v>2025</v>
      </c>
      <c r="C4101" t="s">
        <v>3929</v>
      </c>
      <c r="D4101" s="9" t="s">
        <v>3612</v>
      </c>
      <c r="F4101" s="6">
        <v>5</v>
      </c>
      <c r="G4101" s="6">
        <f t="shared" si="209"/>
        <v>5</v>
      </c>
      <c r="H4101" s="6">
        <v>5</v>
      </c>
      <c r="I4101" s="26">
        <f t="shared" si="207"/>
        <v>0</v>
      </c>
      <c r="J4101" s="7" t="str">
        <f t="shared" si="208"/>
        <v>PAGADO</v>
      </c>
      <c r="K4101" s="33" t="s">
        <v>2639</v>
      </c>
    </row>
    <row r="4102" spans="1:12" x14ac:dyDescent="0.25">
      <c r="A4102">
        <v>2025</v>
      </c>
      <c r="C4102" t="s">
        <v>1706</v>
      </c>
      <c r="D4102" s="9" t="s">
        <v>3198</v>
      </c>
      <c r="F4102" s="6">
        <v>80</v>
      </c>
      <c r="G4102" s="6">
        <f t="shared" si="209"/>
        <v>80</v>
      </c>
      <c r="H4102" s="6">
        <v>80</v>
      </c>
      <c r="I4102" s="26">
        <f t="shared" si="207"/>
        <v>0</v>
      </c>
      <c r="J4102" s="7" t="str">
        <f t="shared" si="208"/>
        <v>PAGADO</v>
      </c>
      <c r="K4102" s="33" t="s">
        <v>2639</v>
      </c>
    </row>
    <row r="4103" spans="1:12" x14ac:dyDescent="0.25">
      <c r="A4103">
        <v>2025</v>
      </c>
      <c r="C4103" t="s">
        <v>2596</v>
      </c>
      <c r="D4103" s="9" t="s">
        <v>2548</v>
      </c>
      <c r="F4103" s="6">
        <v>65</v>
      </c>
      <c r="G4103" s="6">
        <f t="shared" si="209"/>
        <v>65</v>
      </c>
      <c r="H4103" s="6">
        <v>65</v>
      </c>
      <c r="I4103" s="26">
        <f t="shared" si="207"/>
        <v>0</v>
      </c>
      <c r="J4103" s="7" t="str">
        <f t="shared" si="208"/>
        <v>PAGADO</v>
      </c>
      <c r="K4103" s="33" t="s">
        <v>2639</v>
      </c>
      <c r="L4103" s="9" t="s">
        <v>3794</v>
      </c>
    </row>
    <row r="4104" spans="1:12" x14ac:dyDescent="0.25">
      <c r="A4104">
        <v>2025</v>
      </c>
      <c r="C4104" t="s">
        <v>2681</v>
      </c>
      <c r="D4104" s="9" t="s">
        <v>2548</v>
      </c>
      <c r="F4104" s="6">
        <v>65</v>
      </c>
      <c r="G4104" s="6">
        <f t="shared" si="209"/>
        <v>65</v>
      </c>
      <c r="H4104" s="6">
        <v>65</v>
      </c>
      <c r="I4104" s="26">
        <f t="shared" si="207"/>
        <v>0</v>
      </c>
      <c r="J4104" s="7" t="str">
        <f t="shared" si="208"/>
        <v>PAGADO</v>
      </c>
      <c r="K4104" s="33" t="s">
        <v>2639</v>
      </c>
      <c r="L4104" s="9" t="s">
        <v>3794</v>
      </c>
    </row>
    <row r="4105" spans="1:12" x14ac:dyDescent="0.25">
      <c r="A4105">
        <v>2025</v>
      </c>
      <c r="C4105" t="s">
        <v>3930</v>
      </c>
      <c r="D4105" s="9" t="s">
        <v>2548</v>
      </c>
      <c r="F4105" s="6">
        <v>160</v>
      </c>
      <c r="G4105" s="6">
        <f t="shared" si="209"/>
        <v>160</v>
      </c>
      <c r="H4105" s="6">
        <v>160</v>
      </c>
      <c r="I4105" s="26">
        <f t="shared" si="207"/>
        <v>0</v>
      </c>
      <c r="J4105" s="7" t="str">
        <f t="shared" si="208"/>
        <v>PAGADO</v>
      </c>
      <c r="K4105" s="33" t="s">
        <v>2639</v>
      </c>
      <c r="L4105" s="9" t="s">
        <v>3794</v>
      </c>
    </row>
    <row r="4106" spans="1:12" x14ac:dyDescent="0.25">
      <c r="A4106">
        <v>2025</v>
      </c>
      <c r="C4106" t="s">
        <v>3931</v>
      </c>
      <c r="D4106" s="9" t="s">
        <v>1078</v>
      </c>
      <c r="F4106" s="6">
        <v>50</v>
      </c>
      <c r="G4106" s="6">
        <f t="shared" si="209"/>
        <v>50</v>
      </c>
      <c r="H4106" s="6">
        <v>50</v>
      </c>
      <c r="I4106" s="26">
        <f t="shared" si="207"/>
        <v>0</v>
      </c>
      <c r="J4106" s="7" t="str">
        <f t="shared" si="208"/>
        <v>PAGADO</v>
      </c>
      <c r="K4106" s="33" t="s">
        <v>2639</v>
      </c>
    </row>
    <row r="4107" spans="1:12" x14ac:dyDescent="0.25">
      <c r="A4107">
        <v>2025</v>
      </c>
      <c r="C4107" t="s">
        <v>3932</v>
      </c>
      <c r="D4107" s="9" t="s">
        <v>2906</v>
      </c>
      <c r="F4107" s="6">
        <v>7</v>
      </c>
      <c r="G4107" s="6">
        <f t="shared" si="209"/>
        <v>7</v>
      </c>
      <c r="H4107" s="6">
        <v>7</v>
      </c>
      <c r="I4107" s="26">
        <f t="shared" si="207"/>
        <v>0</v>
      </c>
      <c r="J4107" s="7" t="str">
        <f t="shared" si="208"/>
        <v>PAGADO</v>
      </c>
      <c r="K4107" s="33" t="s">
        <v>2639</v>
      </c>
    </row>
    <row r="4108" spans="1:12" x14ac:dyDescent="0.25">
      <c r="A4108">
        <v>2025</v>
      </c>
      <c r="C4108" t="s">
        <v>3933</v>
      </c>
      <c r="D4108" s="9" t="s">
        <v>2969</v>
      </c>
      <c r="F4108" s="6">
        <v>120</v>
      </c>
      <c r="G4108" s="6">
        <f t="shared" si="209"/>
        <v>120</v>
      </c>
      <c r="H4108" s="6">
        <v>120</v>
      </c>
      <c r="I4108" s="26">
        <f t="shared" si="207"/>
        <v>0</v>
      </c>
      <c r="J4108" s="7" t="str">
        <f t="shared" si="208"/>
        <v>PAGADO</v>
      </c>
      <c r="K4108" s="33" t="s">
        <v>2639</v>
      </c>
    </row>
    <row r="4109" spans="1:12" x14ac:dyDescent="0.25">
      <c r="A4109">
        <v>2025</v>
      </c>
      <c r="C4109" t="s">
        <v>3934</v>
      </c>
      <c r="D4109" t="s">
        <v>3570</v>
      </c>
      <c r="F4109" s="6">
        <v>80</v>
      </c>
      <c r="G4109" s="6">
        <f t="shared" si="209"/>
        <v>80</v>
      </c>
      <c r="H4109" s="6">
        <f>50+30</f>
        <v>80</v>
      </c>
      <c r="I4109" s="26">
        <f t="shared" si="207"/>
        <v>0</v>
      </c>
      <c r="J4109" s="7" t="str">
        <f t="shared" si="208"/>
        <v>PAGADO</v>
      </c>
      <c r="K4109" s="33" t="s">
        <v>2639</v>
      </c>
    </row>
    <row r="4110" spans="1:12" x14ac:dyDescent="0.25">
      <c r="A4110">
        <v>2025</v>
      </c>
      <c r="C4110" t="s">
        <v>3935</v>
      </c>
      <c r="D4110" s="9" t="s">
        <v>2969</v>
      </c>
      <c r="F4110" s="6">
        <v>250</v>
      </c>
      <c r="G4110" s="6">
        <f t="shared" si="209"/>
        <v>250</v>
      </c>
      <c r="H4110" s="6">
        <v>250</v>
      </c>
      <c r="I4110" s="26">
        <f t="shared" si="207"/>
        <v>0</v>
      </c>
      <c r="J4110" s="7" t="str">
        <f t="shared" si="208"/>
        <v>PAGADO</v>
      </c>
      <c r="K4110" s="33" t="s">
        <v>2639</v>
      </c>
    </row>
    <row r="4111" spans="1:12" x14ac:dyDescent="0.25">
      <c r="A4111">
        <v>2025</v>
      </c>
      <c r="C4111" t="s">
        <v>3936</v>
      </c>
      <c r="D4111" s="9" t="s">
        <v>2906</v>
      </c>
      <c r="F4111" s="6">
        <v>80</v>
      </c>
      <c r="G4111" s="6">
        <f t="shared" si="209"/>
        <v>80</v>
      </c>
      <c r="H4111" s="6">
        <v>80</v>
      </c>
      <c r="I4111" s="26">
        <f t="shared" si="207"/>
        <v>0</v>
      </c>
      <c r="J4111" s="7" t="str">
        <f t="shared" si="208"/>
        <v>PAGADO</v>
      </c>
      <c r="K4111" s="33" t="s">
        <v>2639</v>
      </c>
    </row>
    <row r="4112" spans="1:12" x14ac:dyDescent="0.25">
      <c r="A4112">
        <v>2025</v>
      </c>
      <c r="C4112" t="s">
        <v>3937</v>
      </c>
      <c r="D4112" s="9" t="s">
        <v>488</v>
      </c>
      <c r="F4112" s="6">
        <v>70</v>
      </c>
      <c r="G4112" s="6">
        <f t="shared" si="209"/>
        <v>70</v>
      </c>
      <c r="H4112" s="6">
        <f>35+35</f>
        <v>70</v>
      </c>
      <c r="I4112" s="26">
        <f t="shared" si="207"/>
        <v>0</v>
      </c>
      <c r="J4112" s="7" t="str">
        <f t="shared" si="208"/>
        <v>PAGADO</v>
      </c>
      <c r="K4112" s="33" t="s">
        <v>2639</v>
      </c>
    </row>
    <row r="4113" spans="1:12" x14ac:dyDescent="0.25">
      <c r="A4113">
        <v>2025</v>
      </c>
      <c r="C4113" t="s">
        <v>3938</v>
      </c>
      <c r="D4113" s="9" t="s">
        <v>2935</v>
      </c>
      <c r="F4113" s="6">
        <v>60</v>
      </c>
      <c r="G4113" s="6">
        <f t="shared" si="209"/>
        <v>60</v>
      </c>
      <c r="H4113" s="6">
        <v>60</v>
      </c>
      <c r="I4113" s="26">
        <f t="shared" si="207"/>
        <v>0</v>
      </c>
      <c r="J4113" s="7" t="str">
        <f t="shared" si="208"/>
        <v>PAGADO</v>
      </c>
      <c r="K4113" s="33" t="s">
        <v>2639</v>
      </c>
    </row>
    <row r="4114" spans="1:12" x14ac:dyDescent="0.25">
      <c r="A4114">
        <v>2025</v>
      </c>
      <c r="C4114" t="s">
        <v>3939</v>
      </c>
      <c r="D4114" s="9" t="s">
        <v>3940</v>
      </c>
      <c r="F4114" s="6">
        <v>15</v>
      </c>
      <c r="G4114" s="6">
        <f t="shared" si="209"/>
        <v>15</v>
      </c>
      <c r="H4114" s="6">
        <v>15</v>
      </c>
      <c r="I4114" s="26">
        <f t="shared" ref="I4114:I4177" si="210">F4114-H4114</f>
        <v>0</v>
      </c>
      <c r="J4114" s="7" t="str">
        <f t="shared" si="208"/>
        <v>PAGADO</v>
      </c>
      <c r="K4114" s="33" t="s">
        <v>2639</v>
      </c>
    </row>
    <row r="4115" spans="1:12" x14ac:dyDescent="0.25">
      <c r="A4115">
        <v>2025</v>
      </c>
      <c r="C4115" t="s">
        <v>3941</v>
      </c>
      <c r="D4115" s="9" t="s">
        <v>2275</v>
      </c>
      <c r="F4115" s="6">
        <v>50</v>
      </c>
      <c r="G4115" s="6">
        <f t="shared" si="209"/>
        <v>50</v>
      </c>
      <c r="H4115" s="6">
        <v>50</v>
      </c>
      <c r="I4115" s="26">
        <f t="shared" si="210"/>
        <v>0</v>
      </c>
      <c r="J4115" s="7" t="str">
        <f t="shared" si="208"/>
        <v>PAGADO</v>
      </c>
      <c r="K4115" s="33" t="s">
        <v>2639</v>
      </c>
    </row>
    <row r="4116" spans="1:12" x14ac:dyDescent="0.25">
      <c r="A4116">
        <v>2025</v>
      </c>
      <c r="C4116" s="19" t="s">
        <v>3942</v>
      </c>
      <c r="D4116" s="19" t="s">
        <v>2275</v>
      </c>
      <c r="E4116" s="84"/>
      <c r="F4116" s="85">
        <v>50</v>
      </c>
      <c r="G4116" s="85">
        <f t="shared" si="209"/>
        <v>50</v>
      </c>
      <c r="H4116" s="85">
        <f>25+25</f>
        <v>50</v>
      </c>
      <c r="I4116" s="85">
        <f t="shared" si="210"/>
        <v>0</v>
      </c>
      <c r="J4116" s="86" t="str">
        <f t="shared" si="208"/>
        <v>PAGADO</v>
      </c>
      <c r="K4116" s="18" t="s">
        <v>2639</v>
      </c>
    </row>
    <row r="4117" spans="1:12" x14ac:dyDescent="0.25">
      <c r="A4117">
        <v>2025</v>
      </c>
      <c r="C4117" t="s">
        <v>3943</v>
      </c>
      <c r="D4117" s="9" t="s">
        <v>2275</v>
      </c>
      <c r="F4117" s="6">
        <v>50</v>
      </c>
      <c r="G4117" s="6">
        <f t="shared" si="209"/>
        <v>50</v>
      </c>
      <c r="H4117" s="6">
        <v>50</v>
      </c>
      <c r="I4117" s="26">
        <f t="shared" si="210"/>
        <v>0</v>
      </c>
      <c r="J4117" s="7" t="str">
        <f t="shared" si="208"/>
        <v>PAGADO</v>
      </c>
      <c r="K4117" s="33" t="s">
        <v>2639</v>
      </c>
    </row>
    <row r="4118" spans="1:12" x14ac:dyDescent="0.25">
      <c r="A4118">
        <v>2025</v>
      </c>
      <c r="C4118" t="s">
        <v>3944</v>
      </c>
      <c r="D4118" s="9" t="s">
        <v>3331</v>
      </c>
      <c r="F4118" s="6">
        <v>240</v>
      </c>
      <c r="G4118" s="6">
        <f t="shared" si="209"/>
        <v>240</v>
      </c>
      <c r="H4118" s="6">
        <v>240</v>
      </c>
      <c r="I4118" s="26">
        <f t="shared" si="210"/>
        <v>0</v>
      </c>
      <c r="J4118" s="7" t="str">
        <f t="shared" si="208"/>
        <v>PAGADO</v>
      </c>
      <c r="K4118" s="33" t="s">
        <v>2639</v>
      </c>
    </row>
    <row r="4119" spans="1:12" x14ac:dyDescent="0.25">
      <c r="A4119">
        <v>2025</v>
      </c>
      <c r="C4119" t="s">
        <v>3945</v>
      </c>
      <c r="D4119" s="9" t="s">
        <v>1309</v>
      </c>
      <c r="F4119" s="6">
        <v>80</v>
      </c>
      <c r="G4119" s="6">
        <f t="shared" si="209"/>
        <v>80</v>
      </c>
      <c r="H4119" s="6">
        <v>80</v>
      </c>
      <c r="I4119" s="26">
        <f t="shared" si="210"/>
        <v>0</v>
      </c>
      <c r="J4119" s="7" t="str">
        <f t="shared" si="208"/>
        <v>PAGADO</v>
      </c>
      <c r="K4119" s="9" t="s">
        <v>2639</v>
      </c>
    </row>
    <row r="4120" spans="1:12" x14ac:dyDescent="0.25">
      <c r="A4120">
        <v>2025</v>
      </c>
      <c r="C4120" t="s">
        <v>3945</v>
      </c>
      <c r="D4120" s="9" t="s">
        <v>3497</v>
      </c>
      <c r="F4120" s="6">
        <v>80</v>
      </c>
      <c r="G4120" s="6">
        <f t="shared" si="209"/>
        <v>80</v>
      </c>
      <c r="H4120" s="6">
        <f>40+40</f>
        <v>80</v>
      </c>
      <c r="I4120" s="26">
        <f t="shared" si="210"/>
        <v>0</v>
      </c>
      <c r="J4120" s="7" t="str">
        <f t="shared" si="208"/>
        <v>PAGADO</v>
      </c>
      <c r="K4120" s="33" t="s">
        <v>2639</v>
      </c>
    </row>
    <row r="4121" spans="1:12" x14ac:dyDescent="0.25">
      <c r="A4121">
        <v>2025</v>
      </c>
      <c r="C4121" t="s">
        <v>3946</v>
      </c>
      <c r="D4121" s="9" t="s">
        <v>3497</v>
      </c>
      <c r="F4121" s="6">
        <v>10</v>
      </c>
      <c r="G4121" s="6">
        <f t="shared" si="209"/>
        <v>10</v>
      </c>
      <c r="H4121" s="6">
        <v>10</v>
      </c>
      <c r="I4121" s="27">
        <f t="shared" si="210"/>
        <v>0</v>
      </c>
      <c r="J4121" s="7" t="str">
        <f t="shared" si="208"/>
        <v>PAGADO</v>
      </c>
      <c r="K4121" s="33" t="s">
        <v>2639</v>
      </c>
    </row>
    <row r="4122" spans="1:12" x14ac:dyDescent="0.25">
      <c r="A4122">
        <v>2025</v>
      </c>
      <c r="C4122" t="s">
        <v>3947</v>
      </c>
      <c r="D4122" s="9" t="s">
        <v>3497</v>
      </c>
      <c r="F4122" s="6">
        <v>10</v>
      </c>
      <c r="G4122" s="6">
        <f t="shared" si="209"/>
        <v>10</v>
      </c>
      <c r="H4122" s="6">
        <v>10</v>
      </c>
      <c r="I4122" s="27">
        <f t="shared" si="210"/>
        <v>0</v>
      </c>
      <c r="J4122" s="7" t="str">
        <f t="shared" si="208"/>
        <v>PAGADO</v>
      </c>
      <c r="K4122" s="33" t="s">
        <v>2639</v>
      </c>
    </row>
    <row r="4123" spans="1:12" x14ac:dyDescent="0.25">
      <c r="A4123">
        <v>2025</v>
      </c>
      <c r="C4123" t="s">
        <v>3797</v>
      </c>
      <c r="D4123" s="9" t="s">
        <v>3497</v>
      </c>
      <c r="F4123" s="6">
        <v>80</v>
      </c>
      <c r="G4123" s="6">
        <f t="shared" si="209"/>
        <v>80</v>
      </c>
      <c r="H4123" s="6">
        <f>40+40</f>
        <v>80</v>
      </c>
      <c r="I4123" s="26">
        <f t="shared" si="210"/>
        <v>0</v>
      </c>
      <c r="J4123" s="7" t="str">
        <f t="shared" si="208"/>
        <v>PAGADO</v>
      </c>
      <c r="K4123" s="33" t="s">
        <v>2639</v>
      </c>
      <c r="L4123" s="59" t="s">
        <v>3948</v>
      </c>
    </row>
    <row r="4124" spans="1:12" x14ac:dyDescent="0.25">
      <c r="A4124">
        <v>2025</v>
      </c>
      <c r="C4124" t="s">
        <v>3946</v>
      </c>
      <c r="D4124" s="9" t="s">
        <v>1309</v>
      </c>
      <c r="F4124" s="6">
        <v>10</v>
      </c>
      <c r="G4124" s="6">
        <f t="shared" si="209"/>
        <v>10</v>
      </c>
      <c r="H4124" s="6">
        <v>10</v>
      </c>
      <c r="I4124" s="26">
        <f t="shared" si="210"/>
        <v>0</v>
      </c>
      <c r="J4124" s="7" t="str">
        <f t="shared" si="208"/>
        <v>PAGADO</v>
      </c>
      <c r="K4124" s="9" t="s">
        <v>2639</v>
      </c>
    </row>
    <row r="4125" spans="1:12" x14ac:dyDescent="0.25">
      <c r="A4125">
        <v>2025</v>
      </c>
      <c r="C4125" s="9" t="s">
        <v>3949</v>
      </c>
      <c r="D4125" t="s">
        <v>3456</v>
      </c>
      <c r="F4125" s="6">
        <v>10</v>
      </c>
      <c r="G4125" s="6">
        <f t="shared" si="209"/>
        <v>10</v>
      </c>
      <c r="H4125" s="6">
        <v>10</v>
      </c>
      <c r="I4125" s="26">
        <f t="shared" si="210"/>
        <v>0</v>
      </c>
      <c r="J4125" s="7" t="str">
        <f t="shared" si="208"/>
        <v>PAGADO</v>
      </c>
      <c r="K4125" s="33" t="s">
        <v>2639</v>
      </c>
    </row>
    <row r="4126" spans="1:12" x14ac:dyDescent="0.25">
      <c r="A4126">
        <v>2025</v>
      </c>
      <c r="C4126" s="9" t="s">
        <v>3950</v>
      </c>
      <c r="D4126" t="s">
        <v>3456</v>
      </c>
      <c r="F4126" s="6">
        <v>10</v>
      </c>
      <c r="G4126" s="6">
        <f t="shared" si="209"/>
        <v>10</v>
      </c>
      <c r="H4126" s="6">
        <v>10</v>
      </c>
      <c r="I4126" s="26">
        <f t="shared" si="210"/>
        <v>0</v>
      </c>
      <c r="J4126" s="7" t="str">
        <f t="shared" si="208"/>
        <v>PAGADO</v>
      </c>
      <c r="K4126" s="33" t="s">
        <v>2639</v>
      </c>
    </row>
    <row r="4127" spans="1:12" x14ac:dyDescent="0.25">
      <c r="A4127">
        <v>2025</v>
      </c>
      <c r="C4127" s="9" t="s">
        <v>3951</v>
      </c>
      <c r="D4127" s="9" t="s">
        <v>2031</v>
      </c>
      <c r="F4127" s="6">
        <v>45</v>
      </c>
      <c r="G4127" s="6">
        <f t="shared" si="209"/>
        <v>45</v>
      </c>
      <c r="H4127" s="6">
        <f>22.5+22.5</f>
        <v>45</v>
      </c>
      <c r="I4127" s="26">
        <f t="shared" si="210"/>
        <v>0</v>
      </c>
      <c r="J4127" s="7" t="str">
        <f t="shared" si="208"/>
        <v>PAGADO</v>
      </c>
      <c r="K4127" s="33" t="s">
        <v>2639</v>
      </c>
    </row>
    <row r="4128" spans="1:12" x14ac:dyDescent="0.25">
      <c r="A4128">
        <v>2025</v>
      </c>
      <c r="C4128" s="9" t="s">
        <v>3952</v>
      </c>
      <c r="D4128" t="s">
        <v>3706</v>
      </c>
      <c r="F4128" s="6">
        <v>300</v>
      </c>
      <c r="G4128" s="6">
        <f t="shared" si="209"/>
        <v>300</v>
      </c>
      <c r="H4128" s="6">
        <f>150+150</f>
        <v>300</v>
      </c>
      <c r="I4128" s="26">
        <f t="shared" si="210"/>
        <v>0</v>
      </c>
      <c r="J4128" s="7" t="str">
        <f t="shared" si="208"/>
        <v>PAGADO</v>
      </c>
      <c r="K4128" s="33" t="s">
        <v>2639</v>
      </c>
    </row>
    <row r="4129" spans="1:11" x14ac:dyDescent="0.25">
      <c r="A4129">
        <v>2025</v>
      </c>
      <c r="C4129" s="9" t="s">
        <v>3953</v>
      </c>
      <c r="D4129" s="9" t="s">
        <v>2935</v>
      </c>
      <c r="F4129" s="6">
        <v>55</v>
      </c>
      <c r="G4129" s="6">
        <f t="shared" si="209"/>
        <v>55</v>
      </c>
      <c r="H4129" s="6">
        <v>55</v>
      </c>
      <c r="I4129" s="26">
        <f t="shared" si="210"/>
        <v>0</v>
      </c>
      <c r="J4129" s="7" t="str">
        <f t="shared" si="208"/>
        <v>PAGADO</v>
      </c>
      <c r="K4129" s="33" t="s">
        <v>2639</v>
      </c>
    </row>
    <row r="4130" spans="1:11" x14ac:dyDescent="0.25">
      <c r="A4130">
        <v>2025</v>
      </c>
      <c r="C4130" s="9" t="s">
        <v>3954</v>
      </c>
      <c r="D4130" s="9" t="s">
        <v>2935</v>
      </c>
      <c r="F4130" s="6">
        <v>55</v>
      </c>
      <c r="G4130" s="6">
        <f t="shared" si="209"/>
        <v>55</v>
      </c>
      <c r="H4130" s="6">
        <v>55</v>
      </c>
      <c r="I4130" s="26">
        <f t="shared" si="210"/>
        <v>0</v>
      </c>
      <c r="J4130" s="7" t="str">
        <f t="shared" si="208"/>
        <v>PAGADO</v>
      </c>
      <c r="K4130" s="33" t="s">
        <v>2639</v>
      </c>
    </row>
    <row r="4131" spans="1:11" x14ac:dyDescent="0.25">
      <c r="A4131">
        <v>2025</v>
      </c>
      <c r="C4131" s="9" t="s">
        <v>3955</v>
      </c>
      <c r="D4131" s="9" t="s">
        <v>3653</v>
      </c>
      <c r="F4131" s="6">
        <v>70</v>
      </c>
      <c r="G4131" s="6">
        <f t="shared" si="209"/>
        <v>70</v>
      </c>
      <c r="H4131" s="6">
        <v>70</v>
      </c>
      <c r="I4131" s="26">
        <f t="shared" si="210"/>
        <v>0</v>
      </c>
      <c r="J4131" s="7" t="str">
        <f t="shared" ref="J4131:J4194" si="211">IF(I4131&gt;0,"DEBE","PAGADO")</f>
        <v>PAGADO</v>
      </c>
      <c r="K4131" s="33" t="s">
        <v>2639</v>
      </c>
    </row>
    <row r="4132" spans="1:11" x14ac:dyDescent="0.25">
      <c r="A4132">
        <v>2025</v>
      </c>
      <c r="C4132" s="9" t="s">
        <v>1837</v>
      </c>
      <c r="D4132" s="9" t="s">
        <v>3370</v>
      </c>
      <c r="F4132" s="6">
        <v>55</v>
      </c>
      <c r="G4132" s="6">
        <f t="shared" si="209"/>
        <v>55</v>
      </c>
      <c r="H4132" s="6">
        <v>55</v>
      </c>
      <c r="I4132" s="26">
        <f t="shared" si="210"/>
        <v>0</v>
      </c>
      <c r="J4132" s="7" t="str">
        <f t="shared" si="211"/>
        <v>PAGADO</v>
      </c>
      <c r="K4132" s="9" t="s">
        <v>2639</v>
      </c>
    </row>
    <row r="4133" spans="1:11" x14ac:dyDescent="0.25">
      <c r="A4133">
        <v>2025</v>
      </c>
      <c r="C4133" s="9" t="s">
        <v>3956</v>
      </c>
      <c r="D4133" s="9" t="s">
        <v>236</v>
      </c>
      <c r="F4133" s="6">
        <v>50</v>
      </c>
      <c r="G4133" s="6">
        <f t="shared" si="209"/>
        <v>50</v>
      </c>
      <c r="H4133" s="6">
        <v>50</v>
      </c>
      <c r="I4133" s="26">
        <f t="shared" si="210"/>
        <v>0</v>
      </c>
      <c r="J4133" s="7" t="str">
        <f t="shared" si="211"/>
        <v>PAGADO</v>
      </c>
      <c r="K4133" s="33" t="s">
        <v>2639</v>
      </c>
    </row>
    <row r="4134" spans="1:11" x14ac:dyDescent="0.25">
      <c r="A4134">
        <v>2025</v>
      </c>
      <c r="C4134" s="9" t="s">
        <v>3957</v>
      </c>
      <c r="D4134" s="9" t="s">
        <v>3449</v>
      </c>
      <c r="F4134" s="6">
        <v>140</v>
      </c>
      <c r="G4134" s="6">
        <f t="shared" si="209"/>
        <v>140</v>
      </c>
      <c r="H4134" s="24">
        <f>65+75</f>
        <v>140</v>
      </c>
      <c r="I4134" s="26">
        <f t="shared" si="210"/>
        <v>0</v>
      </c>
      <c r="J4134" s="7" t="str">
        <f t="shared" si="211"/>
        <v>PAGADO</v>
      </c>
      <c r="K4134" s="33" t="s">
        <v>2639</v>
      </c>
    </row>
    <row r="4135" spans="1:11" x14ac:dyDescent="0.25">
      <c r="A4135">
        <v>2025</v>
      </c>
      <c r="C4135" s="9" t="s">
        <v>3958</v>
      </c>
      <c r="D4135" s="9" t="s">
        <v>1736</v>
      </c>
      <c r="F4135" s="6">
        <v>25</v>
      </c>
      <c r="G4135" s="6">
        <f t="shared" si="209"/>
        <v>25</v>
      </c>
      <c r="H4135" s="6">
        <f>12.5+12.5</f>
        <v>25</v>
      </c>
      <c r="I4135" s="26">
        <f t="shared" si="210"/>
        <v>0</v>
      </c>
      <c r="J4135" s="7" t="str">
        <f t="shared" si="211"/>
        <v>PAGADO</v>
      </c>
      <c r="K4135" s="33" t="s">
        <v>2639</v>
      </c>
    </row>
    <row r="4136" spans="1:11" x14ac:dyDescent="0.25">
      <c r="A4136">
        <v>2025</v>
      </c>
      <c r="C4136" s="9" t="s">
        <v>3959</v>
      </c>
      <c r="D4136" s="9" t="s">
        <v>597</v>
      </c>
      <c r="F4136" s="6">
        <v>25</v>
      </c>
      <c r="G4136" s="6">
        <f t="shared" si="209"/>
        <v>25</v>
      </c>
      <c r="H4136" s="6">
        <v>25</v>
      </c>
      <c r="I4136" s="26">
        <f t="shared" si="210"/>
        <v>0</v>
      </c>
      <c r="J4136" s="7" t="str">
        <f t="shared" si="211"/>
        <v>PAGADO</v>
      </c>
      <c r="K4136" s="33" t="s">
        <v>2639</v>
      </c>
    </row>
    <row r="4137" spans="1:11" x14ac:dyDescent="0.25">
      <c r="A4137">
        <v>2025</v>
      </c>
      <c r="C4137" s="9" t="s">
        <v>3960</v>
      </c>
      <c r="D4137" s="9" t="s">
        <v>3856</v>
      </c>
      <c r="F4137" s="6">
        <v>35</v>
      </c>
      <c r="G4137" s="6">
        <f t="shared" si="209"/>
        <v>35</v>
      </c>
      <c r="H4137" s="6">
        <v>35</v>
      </c>
      <c r="I4137" s="26">
        <f t="shared" si="210"/>
        <v>0</v>
      </c>
      <c r="J4137" s="7" t="str">
        <f t="shared" si="211"/>
        <v>PAGADO</v>
      </c>
    </row>
    <row r="4138" spans="1:11" x14ac:dyDescent="0.25">
      <c r="A4138">
        <v>2025</v>
      </c>
      <c r="C4138" s="9" t="s">
        <v>2822</v>
      </c>
      <c r="D4138" s="9" t="s">
        <v>2213</v>
      </c>
      <c r="F4138" s="6">
        <v>70</v>
      </c>
      <c r="G4138" s="6">
        <f t="shared" si="209"/>
        <v>70</v>
      </c>
      <c r="H4138" s="6">
        <v>70</v>
      </c>
      <c r="I4138" s="26">
        <f t="shared" si="210"/>
        <v>0</v>
      </c>
      <c r="J4138" s="7" t="str">
        <f t="shared" si="211"/>
        <v>PAGADO</v>
      </c>
    </row>
    <row r="4139" spans="1:11" x14ac:dyDescent="0.25">
      <c r="A4139">
        <v>2025</v>
      </c>
      <c r="C4139" s="9" t="s">
        <v>3961</v>
      </c>
      <c r="D4139" s="9" t="s">
        <v>2213</v>
      </c>
      <c r="F4139" s="6">
        <v>210</v>
      </c>
      <c r="G4139" s="6">
        <f t="shared" si="209"/>
        <v>210</v>
      </c>
      <c r="H4139" s="6">
        <v>210</v>
      </c>
      <c r="I4139" s="26">
        <f t="shared" si="210"/>
        <v>0</v>
      </c>
      <c r="J4139" s="7" t="str">
        <f t="shared" si="211"/>
        <v>PAGADO</v>
      </c>
    </row>
    <row r="4140" spans="1:11" x14ac:dyDescent="0.25">
      <c r="A4140">
        <v>2025</v>
      </c>
      <c r="C4140" s="9" t="s">
        <v>3962</v>
      </c>
      <c r="D4140" s="9" t="s">
        <v>2548</v>
      </c>
      <c r="F4140" s="6">
        <v>60</v>
      </c>
      <c r="G4140" s="6">
        <f t="shared" si="209"/>
        <v>60</v>
      </c>
      <c r="H4140" s="6">
        <v>60</v>
      </c>
      <c r="I4140" s="26">
        <f t="shared" si="210"/>
        <v>0</v>
      </c>
      <c r="J4140" s="7" t="str">
        <f t="shared" si="211"/>
        <v>PAGADO</v>
      </c>
    </row>
    <row r="4141" spans="1:11" x14ac:dyDescent="0.25">
      <c r="A4141">
        <v>2025</v>
      </c>
      <c r="C4141" s="9" t="s">
        <v>3963</v>
      </c>
      <c r="D4141" s="9" t="s">
        <v>1523</v>
      </c>
      <c r="F4141" s="6">
        <v>250</v>
      </c>
      <c r="G4141" s="6">
        <f t="shared" si="209"/>
        <v>250</v>
      </c>
      <c r="H4141" s="6">
        <f>75+50+75+50</f>
        <v>250</v>
      </c>
      <c r="I4141" s="26">
        <f t="shared" si="210"/>
        <v>0</v>
      </c>
      <c r="J4141" s="7" t="str">
        <f t="shared" si="211"/>
        <v>PAGADO</v>
      </c>
      <c r="K4141" s="33" t="s">
        <v>2639</v>
      </c>
    </row>
    <row r="4142" spans="1:11" x14ac:dyDescent="0.25">
      <c r="A4142">
        <v>2025</v>
      </c>
      <c r="C4142" s="9" t="s">
        <v>3964</v>
      </c>
      <c r="D4142" s="9" t="s">
        <v>1523</v>
      </c>
      <c r="F4142" s="6">
        <v>250</v>
      </c>
      <c r="G4142" s="6">
        <f t="shared" si="209"/>
        <v>250</v>
      </c>
      <c r="H4142" s="6">
        <v>250</v>
      </c>
      <c r="I4142" s="26">
        <f t="shared" si="210"/>
        <v>0</v>
      </c>
      <c r="J4142" s="7" t="str">
        <f t="shared" si="211"/>
        <v>PAGADO</v>
      </c>
      <c r="K4142" s="33" t="s">
        <v>2639</v>
      </c>
    </row>
    <row r="4143" spans="1:11" x14ac:dyDescent="0.25">
      <c r="A4143">
        <v>2025</v>
      </c>
      <c r="C4143" s="9" t="s">
        <v>3965</v>
      </c>
      <c r="D4143" s="9" t="s">
        <v>3449</v>
      </c>
      <c r="F4143" s="6">
        <v>200</v>
      </c>
      <c r="G4143" s="6">
        <f t="shared" si="209"/>
        <v>200</v>
      </c>
      <c r="H4143" s="24">
        <f>100+100</f>
        <v>200</v>
      </c>
      <c r="I4143" s="26">
        <f t="shared" si="210"/>
        <v>0</v>
      </c>
      <c r="J4143" s="7" t="str">
        <f t="shared" si="211"/>
        <v>PAGADO</v>
      </c>
      <c r="K4143" s="33" t="s">
        <v>2639</v>
      </c>
    </row>
    <row r="4144" spans="1:11" x14ac:dyDescent="0.25">
      <c r="A4144">
        <v>2025</v>
      </c>
      <c r="C4144" s="9" t="s">
        <v>2693</v>
      </c>
      <c r="D4144" s="9" t="s">
        <v>3818</v>
      </c>
      <c r="F4144" s="6">
        <v>15</v>
      </c>
      <c r="G4144" s="6">
        <f t="shared" si="209"/>
        <v>15</v>
      </c>
      <c r="H4144" s="6">
        <v>15</v>
      </c>
      <c r="I4144" s="26">
        <f t="shared" si="210"/>
        <v>0</v>
      </c>
      <c r="J4144" s="7" t="str">
        <f t="shared" si="211"/>
        <v>PAGADO</v>
      </c>
      <c r="K4144" s="33" t="s">
        <v>2639</v>
      </c>
    </row>
    <row r="4145" spans="1:11" x14ac:dyDescent="0.25">
      <c r="A4145">
        <v>2025</v>
      </c>
      <c r="C4145" s="9" t="s">
        <v>3966</v>
      </c>
      <c r="D4145" s="9" t="s">
        <v>2906</v>
      </c>
      <c r="F4145" s="6">
        <v>50</v>
      </c>
      <c r="G4145" s="6">
        <f t="shared" si="209"/>
        <v>50</v>
      </c>
      <c r="H4145" s="6">
        <v>50</v>
      </c>
      <c r="I4145" s="26">
        <f t="shared" si="210"/>
        <v>0</v>
      </c>
      <c r="J4145" s="7" t="str">
        <f t="shared" si="211"/>
        <v>PAGADO</v>
      </c>
      <c r="K4145" s="33" t="s">
        <v>2639</v>
      </c>
    </row>
    <row r="4146" spans="1:11" x14ac:dyDescent="0.25">
      <c r="A4146">
        <v>2025</v>
      </c>
      <c r="C4146" s="9" t="s">
        <v>3967</v>
      </c>
      <c r="D4146" s="9" t="s">
        <v>1399</v>
      </c>
      <c r="F4146" s="6">
        <v>50</v>
      </c>
      <c r="G4146" s="6">
        <f t="shared" si="209"/>
        <v>50</v>
      </c>
      <c r="H4146" s="6">
        <v>50</v>
      </c>
      <c r="I4146" s="26">
        <f t="shared" si="210"/>
        <v>0</v>
      </c>
      <c r="J4146" s="7" t="str">
        <f t="shared" si="211"/>
        <v>PAGADO</v>
      </c>
      <c r="K4146" s="33" t="s">
        <v>2640</v>
      </c>
    </row>
    <row r="4147" spans="1:11" x14ac:dyDescent="0.25">
      <c r="A4147">
        <v>2025</v>
      </c>
      <c r="C4147" s="9" t="s">
        <v>3968</v>
      </c>
      <c r="D4147" s="9" t="s">
        <v>1399</v>
      </c>
      <c r="F4147" s="6">
        <v>60</v>
      </c>
      <c r="G4147" s="6">
        <f t="shared" si="209"/>
        <v>60</v>
      </c>
      <c r="H4147" s="6">
        <v>60</v>
      </c>
      <c r="I4147" s="26">
        <f t="shared" si="210"/>
        <v>0</v>
      </c>
      <c r="J4147" s="7" t="str">
        <f t="shared" si="211"/>
        <v>PAGADO</v>
      </c>
      <c r="K4147" s="33" t="s">
        <v>2640</v>
      </c>
    </row>
    <row r="4148" spans="1:11" x14ac:dyDescent="0.25">
      <c r="A4148">
        <v>2025</v>
      </c>
      <c r="C4148" t="s">
        <v>3969</v>
      </c>
      <c r="D4148" s="9" t="s">
        <v>1425</v>
      </c>
      <c r="F4148" s="6">
        <v>36</v>
      </c>
      <c r="G4148" s="6">
        <f t="shared" si="209"/>
        <v>36</v>
      </c>
      <c r="H4148" s="6">
        <v>36</v>
      </c>
      <c r="I4148" s="6">
        <f t="shared" si="210"/>
        <v>0</v>
      </c>
      <c r="J4148" s="7" t="str">
        <f t="shared" si="211"/>
        <v>PAGADO</v>
      </c>
      <c r="K4148" s="33" t="s">
        <v>2639</v>
      </c>
    </row>
    <row r="4149" spans="1:11" x14ac:dyDescent="0.25">
      <c r="A4149">
        <v>2025</v>
      </c>
      <c r="C4149" s="9" t="s">
        <v>3970</v>
      </c>
      <c r="D4149" s="9" t="s">
        <v>2363</v>
      </c>
      <c r="F4149" s="6">
        <v>75</v>
      </c>
      <c r="G4149" s="6">
        <f t="shared" si="209"/>
        <v>75</v>
      </c>
      <c r="H4149" s="6">
        <f>37.5+37.5</f>
        <v>75</v>
      </c>
      <c r="I4149" s="26">
        <f t="shared" si="210"/>
        <v>0</v>
      </c>
      <c r="J4149" s="7" t="str">
        <f t="shared" si="211"/>
        <v>PAGADO</v>
      </c>
      <c r="K4149" s="33" t="s">
        <v>693</v>
      </c>
    </row>
    <row r="4150" spans="1:11" x14ac:dyDescent="0.25">
      <c r="A4150">
        <v>2025</v>
      </c>
      <c r="C4150" t="s">
        <v>3971</v>
      </c>
      <c r="D4150" s="9" t="s">
        <v>2275</v>
      </c>
      <c r="F4150" s="6">
        <v>60</v>
      </c>
      <c r="G4150" s="6">
        <f t="shared" si="209"/>
        <v>60</v>
      </c>
      <c r="H4150" s="6">
        <f>50+10</f>
        <v>60</v>
      </c>
      <c r="I4150" s="26">
        <f t="shared" si="210"/>
        <v>0</v>
      </c>
      <c r="J4150" s="7" t="str">
        <f t="shared" si="211"/>
        <v>PAGADO</v>
      </c>
    </row>
    <row r="4151" spans="1:11" x14ac:dyDescent="0.25">
      <c r="A4151">
        <v>2025</v>
      </c>
      <c r="C4151" t="s">
        <v>3972</v>
      </c>
      <c r="D4151" s="9" t="s">
        <v>2275</v>
      </c>
      <c r="F4151" s="6">
        <v>60</v>
      </c>
      <c r="G4151" s="6">
        <f t="shared" si="209"/>
        <v>60</v>
      </c>
      <c r="H4151" s="6">
        <f>50+10</f>
        <v>60</v>
      </c>
      <c r="I4151" s="26">
        <f t="shared" si="210"/>
        <v>0</v>
      </c>
      <c r="J4151" s="7" t="str">
        <f t="shared" si="211"/>
        <v>PAGADO</v>
      </c>
    </row>
    <row r="4152" spans="1:11" x14ac:dyDescent="0.25">
      <c r="A4152">
        <v>2025</v>
      </c>
      <c r="C4152" s="9" t="s">
        <v>3973</v>
      </c>
      <c r="D4152" s="9" t="s">
        <v>2906</v>
      </c>
      <c r="F4152" s="6">
        <v>20</v>
      </c>
      <c r="G4152" s="6">
        <f t="shared" si="209"/>
        <v>20</v>
      </c>
      <c r="H4152" s="6">
        <v>20</v>
      </c>
      <c r="I4152" s="26">
        <f t="shared" si="210"/>
        <v>0</v>
      </c>
      <c r="J4152" s="7" t="str">
        <f t="shared" si="211"/>
        <v>PAGADO</v>
      </c>
    </row>
    <row r="4153" spans="1:11" x14ac:dyDescent="0.25">
      <c r="A4153">
        <v>2025</v>
      </c>
      <c r="C4153" t="s">
        <v>3974</v>
      </c>
      <c r="D4153" s="9" t="s">
        <v>3198</v>
      </c>
      <c r="F4153" s="6">
        <v>140</v>
      </c>
      <c r="G4153" s="6">
        <f t="shared" si="209"/>
        <v>140</v>
      </c>
      <c r="H4153" s="6">
        <v>140</v>
      </c>
      <c r="I4153" s="26">
        <f t="shared" si="210"/>
        <v>0</v>
      </c>
      <c r="J4153" s="7" t="str">
        <f t="shared" si="211"/>
        <v>PAGADO</v>
      </c>
      <c r="K4153" s="33" t="s">
        <v>2639</v>
      </c>
    </row>
    <row r="4154" spans="1:11" x14ac:dyDescent="0.25">
      <c r="A4154">
        <v>2025</v>
      </c>
      <c r="C4154" s="9" t="s">
        <v>3975</v>
      </c>
      <c r="D4154" s="9" t="s">
        <v>2548</v>
      </c>
      <c r="F4154" s="6">
        <v>375</v>
      </c>
      <c r="G4154" s="6">
        <f t="shared" si="209"/>
        <v>375</v>
      </c>
      <c r="H4154" s="6">
        <f>187.5+100+87.5</f>
        <v>375</v>
      </c>
      <c r="I4154" s="26">
        <f t="shared" si="210"/>
        <v>0</v>
      </c>
      <c r="J4154" s="7" t="str">
        <f t="shared" si="211"/>
        <v>PAGADO</v>
      </c>
    </row>
    <row r="4155" spans="1:11" x14ac:dyDescent="0.25">
      <c r="A4155">
        <v>2025</v>
      </c>
      <c r="C4155" s="9" t="s">
        <v>996</v>
      </c>
      <c r="D4155" s="9" t="s">
        <v>1466</v>
      </c>
      <c r="F4155" s="6">
        <v>85</v>
      </c>
      <c r="G4155" s="6">
        <f t="shared" si="209"/>
        <v>85</v>
      </c>
      <c r="H4155" s="6">
        <v>85</v>
      </c>
      <c r="I4155" s="26">
        <f t="shared" si="210"/>
        <v>0</v>
      </c>
      <c r="J4155" s="7" t="str">
        <f t="shared" si="211"/>
        <v>PAGADO</v>
      </c>
    </row>
    <row r="4156" spans="1:11" x14ac:dyDescent="0.25">
      <c r="A4156">
        <v>2025</v>
      </c>
      <c r="C4156" s="9" t="s">
        <v>3976</v>
      </c>
      <c r="D4156" s="9" t="s">
        <v>597</v>
      </c>
      <c r="F4156" s="6">
        <v>65</v>
      </c>
      <c r="G4156" s="6">
        <f t="shared" si="209"/>
        <v>65</v>
      </c>
      <c r="H4156" s="6">
        <v>65</v>
      </c>
      <c r="I4156" s="26">
        <f t="shared" si="210"/>
        <v>0</v>
      </c>
      <c r="J4156" s="7" t="str">
        <f t="shared" si="211"/>
        <v>PAGADO</v>
      </c>
    </row>
    <row r="4157" spans="1:11" x14ac:dyDescent="0.25">
      <c r="A4157">
        <v>2025</v>
      </c>
      <c r="C4157" s="9" t="s">
        <v>3908</v>
      </c>
      <c r="D4157" s="9" t="s">
        <v>3444</v>
      </c>
      <c r="F4157" s="6">
        <v>90</v>
      </c>
      <c r="G4157" s="6">
        <f t="shared" si="209"/>
        <v>90</v>
      </c>
      <c r="H4157" s="6">
        <v>90</v>
      </c>
      <c r="I4157" s="26">
        <f t="shared" si="210"/>
        <v>0</v>
      </c>
      <c r="J4157" s="7" t="str">
        <f t="shared" si="211"/>
        <v>PAGADO</v>
      </c>
      <c r="K4157" s="33" t="s">
        <v>2640</v>
      </c>
    </row>
    <row r="4158" spans="1:11" x14ac:dyDescent="0.25">
      <c r="A4158">
        <v>2025</v>
      </c>
      <c r="C4158" s="9" t="s">
        <v>3977</v>
      </c>
      <c r="D4158" t="s">
        <v>3038</v>
      </c>
      <c r="F4158" s="6">
        <v>140</v>
      </c>
      <c r="G4158" s="6">
        <f t="shared" ref="G4158:G4221" si="212">F4158-E4158</f>
        <v>140</v>
      </c>
      <c r="H4158" s="6">
        <f>50+90</f>
        <v>140</v>
      </c>
      <c r="I4158" s="26">
        <f t="shared" si="210"/>
        <v>0</v>
      </c>
      <c r="J4158" s="7" t="str">
        <f t="shared" si="211"/>
        <v>PAGADO</v>
      </c>
      <c r="K4158" s="33" t="s">
        <v>1815</v>
      </c>
    </row>
    <row r="4159" spans="1:11" x14ac:dyDescent="0.25">
      <c r="A4159">
        <v>2025</v>
      </c>
      <c r="C4159" t="s">
        <v>3978</v>
      </c>
      <c r="D4159" s="9" t="s">
        <v>3612</v>
      </c>
      <c r="F4159" s="6">
        <v>15</v>
      </c>
      <c r="G4159" s="6">
        <f t="shared" si="212"/>
        <v>15</v>
      </c>
      <c r="H4159" s="6">
        <v>15</v>
      </c>
      <c r="I4159" s="26">
        <f t="shared" si="210"/>
        <v>0</v>
      </c>
      <c r="J4159" s="7" t="str">
        <f t="shared" si="211"/>
        <v>PAGADO</v>
      </c>
    </row>
    <row r="4160" spans="1:11" x14ac:dyDescent="0.25">
      <c r="A4160">
        <v>2025</v>
      </c>
      <c r="C4160" t="s">
        <v>3979</v>
      </c>
      <c r="D4160" s="9" t="s">
        <v>3612</v>
      </c>
      <c r="F4160" s="6">
        <v>40</v>
      </c>
      <c r="G4160" s="6">
        <f t="shared" si="212"/>
        <v>40</v>
      </c>
      <c r="H4160" s="6">
        <v>40</v>
      </c>
      <c r="I4160" s="26">
        <f t="shared" si="210"/>
        <v>0</v>
      </c>
      <c r="J4160" s="7" t="str">
        <f t="shared" si="211"/>
        <v>PAGADO</v>
      </c>
    </row>
    <row r="4161" spans="1:12" x14ac:dyDescent="0.25">
      <c r="A4161">
        <v>2025</v>
      </c>
      <c r="C4161" s="9" t="s">
        <v>3799</v>
      </c>
      <c r="D4161" s="9" t="s">
        <v>2903</v>
      </c>
      <c r="F4161" s="6">
        <v>65</v>
      </c>
      <c r="G4161" s="6">
        <f t="shared" si="212"/>
        <v>65</v>
      </c>
      <c r="H4161" s="6">
        <f>32.5+32.5</f>
        <v>65</v>
      </c>
      <c r="I4161" s="26">
        <f t="shared" si="210"/>
        <v>0</v>
      </c>
      <c r="J4161" s="7" t="str">
        <f t="shared" si="211"/>
        <v>PAGADO</v>
      </c>
      <c r="K4161" s="33" t="s">
        <v>2639</v>
      </c>
    </row>
    <row r="4162" spans="1:12" x14ac:dyDescent="0.25">
      <c r="A4162">
        <v>2025</v>
      </c>
      <c r="C4162" s="9" t="s">
        <v>3799</v>
      </c>
      <c r="D4162" s="9" t="s">
        <v>3198</v>
      </c>
      <c r="F4162" s="6">
        <v>65</v>
      </c>
      <c r="G4162" s="6">
        <f t="shared" si="212"/>
        <v>65</v>
      </c>
      <c r="H4162" s="6">
        <v>65</v>
      </c>
      <c r="I4162" s="26">
        <f t="shared" si="210"/>
        <v>0</v>
      </c>
      <c r="J4162" s="7" t="str">
        <f t="shared" si="211"/>
        <v>PAGADO</v>
      </c>
      <c r="K4162" s="33" t="s">
        <v>2639</v>
      </c>
    </row>
    <row r="4163" spans="1:12" x14ac:dyDescent="0.25">
      <c r="A4163">
        <v>2025</v>
      </c>
      <c r="C4163" s="9" t="s">
        <v>3792</v>
      </c>
      <c r="D4163" s="9" t="s">
        <v>3980</v>
      </c>
      <c r="F4163" s="6">
        <v>70</v>
      </c>
      <c r="G4163" s="6">
        <f t="shared" si="212"/>
        <v>70</v>
      </c>
      <c r="H4163" s="6">
        <v>70</v>
      </c>
      <c r="I4163" s="26">
        <f t="shared" si="210"/>
        <v>0</v>
      </c>
      <c r="J4163" s="7" t="str">
        <f t="shared" si="211"/>
        <v>PAGADO</v>
      </c>
      <c r="K4163" s="33" t="s">
        <v>2639</v>
      </c>
    </row>
    <row r="4164" spans="1:12" x14ac:dyDescent="0.25">
      <c r="A4164">
        <v>2025</v>
      </c>
      <c r="C4164" s="9" t="s">
        <v>3981</v>
      </c>
      <c r="D4164" s="9" t="s">
        <v>377</v>
      </c>
      <c r="F4164" s="6">
        <v>60</v>
      </c>
      <c r="G4164" s="6">
        <f t="shared" si="212"/>
        <v>60</v>
      </c>
      <c r="H4164" s="6">
        <v>60</v>
      </c>
      <c r="I4164" s="26">
        <f t="shared" si="210"/>
        <v>0</v>
      </c>
      <c r="J4164" s="7" t="str">
        <f t="shared" si="211"/>
        <v>PAGADO</v>
      </c>
    </row>
    <row r="4165" spans="1:12" x14ac:dyDescent="0.25">
      <c r="A4165">
        <v>2025</v>
      </c>
      <c r="C4165" s="9" t="s">
        <v>3982</v>
      </c>
      <c r="D4165" s="9" t="s">
        <v>3612</v>
      </c>
      <c r="F4165" s="6">
        <v>60</v>
      </c>
      <c r="G4165" s="6">
        <f t="shared" si="212"/>
        <v>60</v>
      </c>
      <c r="H4165" s="6">
        <f>10+50</f>
        <v>60</v>
      </c>
      <c r="I4165" s="26">
        <f t="shared" si="210"/>
        <v>0</v>
      </c>
      <c r="J4165" s="7" t="str">
        <f t="shared" si="211"/>
        <v>PAGADO</v>
      </c>
    </row>
    <row r="4166" spans="1:12" x14ac:dyDescent="0.25">
      <c r="A4166">
        <v>2025</v>
      </c>
      <c r="C4166" t="s">
        <v>3983</v>
      </c>
      <c r="D4166" s="9" t="s">
        <v>2275</v>
      </c>
      <c r="F4166" s="6">
        <v>110</v>
      </c>
      <c r="G4166" s="6">
        <f t="shared" si="212"/>
        <v>110</v>
      </c>
      <c r="H4166" s="24">
        <f>10+100</f>
        <v>110</v>
      </c>
      <c r="I4166" s="26">
        <f t="shared" si="210"/>
        <v>0</v>
      </c>
      <c r="J4166" s="7" t="str">
        <f t="shared" si="211"/>
        <v>PAGADO</v>
      </c>
      <c r="K4166" s="33" t="s">
        <v>2639</v>
      </c>
    </row>
    <row r="4167" spans="1:12" x14ac:dyDescent="0.25">
      <c r="A4167">
        <v>2025</v>
      </c>
      <c r="C4167" t="s">
        <v>3984</v>
      </c>
      <c r="D4167" s="9" t="s">
        <v>2275</v>
      </c>
      <c r="F4167" s="6">
        <v>180</v>
      </c>
      <c r="G4167" s="6">
        <f t="shared" si="212"/>
        <v>180</v>
      </c>
      <c r="H4167" s="24">
        <v>180</v>
      </c>
      <c r="I4167" s="26">
        <f t="shared" si="210"/>
        <v>0</v>
      </c>
      <c r="J4167" s="7" t="str">
        <f t="shared" si="211"/>
        <v>PAGADO</v>
      </c>
      <c r="K4167" s="33" t="s">
        <v>2639</v>
      </c>
    </row>
    <row r="4168" spans="1:12" x14ac:dyDescent="0.25">
      <c r="A4168">
        <v>2025</v>
      </c>
      <c r="C4168" s="9" t="s">
        <v>3985</v>
      </c>
      <c r="D4168" s="9" t="s">
        <v>31</v>
      </c>
      <c r="F4168" s="6">
        <v>150</v>
      </c>
      <c r="G4168" s="6">
        <f t="shared" si="212"/>
        <v>150</v>
      </c>
      <c r="H4168" s="6">
        <f>75+75</f>
        <v>150</v>
      </c>
      <c r="I4168" s="26">
        <f t="shared" si="210"/>
        <v>0</v>
      </c>
      <c r="J4168" s="7" t="str">
        <f t="shared" si="211"/>
        <v>PAGADO</v>
      </c>
      <c r="K4168" s="33" t="s">
        <v>2639</v>
      </c>
    </row>
    <row r="4169" spans="1:12" x14ac:dyDescent="0.25">
      <c r="A4169">
        <v>2025</v>
      </c>
      <c r="C4169" s="9" t="s">
        <v>3986</v>
      </c>
      <c r="D4169" s="9" t="s">
        <v>3143</v>
      </c>
      <c r="F4169" s="6">
        <v>220</v>
      </c>
      <c r="G4169" s="6">
        <f t="shared" si="212"/>
        <v>220</v>
      </c>
      <c r="H4169" s="6">
        <v>220</v>
      </c>
      <c r="I4169" s="26">
        <f t="shared" si="210"/>
        <v>0</v>
      </c>
      <c r="J4169" s="7" t="str">
        <f t="shared" si="211"/>
        <v>PAGADO</v>
      </c>
      <c r="K4169" s="33" t="s">
        <v>2639</v>
      </c>
    </row>
    <row r="4170" spans="1:12" x14ac:dyDescent="0.25">
      <c r="A4170">
        <v>2025</v>
      </c>
      <c r="C4170" s="9" t="s">
        <v>3987</v>
      </c>
      <c r="D4170" s="9" t="s">
        <v>2548</v>
      </c>
      <c r="F4170" s="6">
        <v>60</v>
      </c>
      <c r="G4170" s="6">
        <f t="shared" si="212"/>
        <v>60</v>
      </c>
      <c r="H4170" s="6">
        <v>60</v>
      </c>
      <c r="I4170" s="26">
        <f t="shared" si="210"/>
        <v>0</v>
      </c>
      <c r="J4170" s="7" t="str">
        <f t="shared" si="211"/>
        <v>PAGADO</v>
      </c>
      <c r="K4170" s="33" t="s">
        <v>2640</v>
      </c>
    </row>
    <row r="4171" spans="1:12" x14ac:dyDescent="0.25">
      <c r="A4171">
        <v>2025</v>
      </c>
      <c r="C4171" s="9" t="s">
        <v>3988</v>
      </c>
      <c r="D4171" s="9" t="s">
        <v>2548</v>
      </c>
      <c r="F4171" s="6">
        <v>60</v>
      </c>
      <c r="G4171" s="6">
        <f t="shared" si="212"/>
        <v>60</v>
      </c>
      <c r="H4171" s="6">
        <v>60</v>
      </c>
      <c r="I4171" s="26">
        <f t="shared" si="210"/>
        <v>0</v>
      </c>
      <c r="J4171" s="7" t="str">
        <f t="shared" si="211"/>
        <v>PAGADO</v>
      </c>
      <c r="K4171" s="33" t="s">
        <v>2640</v>
      </c>
    </row>
    <row r="4172" spans="1:12" x14ac:dyDescent="0.25">
      <c r="A4172">
        <v>2025</v>
      </c>
      <c r="C4172" s="9" t="s">
        <v>3811</v>
      </c>
      <c r="D4172" s="9" t="s">
        <v>2548</v>
      </c>
      <c r="F4172" s="6">
        <v>75</v>
      </c>
      <c r="G4172" s="6">
        <f t="shared" si="212"/>
        <v>75</v>
      </c>
      <c r="H4172" s="6">
        <v>75</v>
      </c>
      <c r="I4172" s="26">
        <f t="shared" si="210"/>
        <v>0</v>
      </c>
      <c r="J4172" s="7" t="str">
        <f t="shared" si="211"/>
        <v>PAGADO</v>
      </c>
      <c r="K4172" s="33" t="s">
        <v>2639</v>
      </c>
      <c r="L4172" s="9" t="s">
        <v>3794</v>
      </c>
    </row>
    <row r="4173" spans="1:12" x14ac:dyDescent="0.25">
      <c r="A4173">
        <v>2025</v>
      </c>
      <c r="C4173" s="9" t="s">
        <v>1819</v>
      </c>
      <c r="D4173" s="9" t="s">
        <v>3989</v>
      </c>
      <c r="F4173" s="6">
        <v>70</v>
      </c>
      <c r="G4173" s="6">
        <f t="shared" si="212"/>
        <v>70</v>
      </c>
      <c r="H4173" s="6">
        <v>70</v>
      </c>
      <c r="I4173" s="26">
        <f t="shared" si="210"/>
        <v>0</v>
      </c>
      <c r="J4173" s="7" t="str">
        <f t="shared" si="211"/>
        <v>PAGADO</v>
      </c>
    </row>
    <row r="4174" spans="1:12" x14ac:dyDescent="0.25">
      <c r="A4174">
        <v>2025</v>
      </c>
      <c r="C4174" s="9" t="s">
        <v>504</v>
      </c>
      <c r="D4174" s="9" t="s">
        <v>3990</v>
      </c>
      <c r="F4174" s="6">
        <v>70</v>
      </c>
      <c r="G4174" s="6">
        <f t="shared" si="212"/>
        <v>70</v>
      </c>
      <c r="H4174" s="6">
        <v>70</v>
      </c>
      <c r="I4174" s="26">
        <f t="shared" si="210"/>
        <v>0</v>
      </c>
      <c r="J4174" s="7" t="str">
        <f t="shared" si="211"/>
        <v>PAGADO</v>
      </c>
    </row>
    <row r="4175" spans="1:12" x14ac:dyDescent="0.25">
      <c r="A4175">
        <v>2025</v>
      </c>
      <c r="C4175" s="9" t="s">
        <v>3991</v>
      </c>
      <c r="D4175" s="9" t="s">
        <v>2360</v>
      </c>
      <c r="F4175" s="6">
        <v>380</v>
      </c>
      <c r="G4175" s="6">
        <f t="shared" si="212"/>
        <v>380</v>
      </c>
      <c r="H4175" s="6">
        <f>250+100+20+10</f>
        <v>380</v>
      </c>
      <c r="I4175" s="26">
        <f t="shared" si="210"/>
        <v>0</v>
      </c>
      <c r="J4175" s="7" t="str">
        <f t="shared" si="211"/>
        <v>PAGADO</v>
      </c>
      <c r="K4175" s="33" t="s">
        <v>2639</v>
      </c>
    </row>
    <row r="4176" spans="1:12" x14ac:dyDescent="0.25">
      <c r="A4176">
        <v>2025</v>
      </c>
      <c r="C4176" s="9" t="s">
        <v>3992</v>
      </c>
      <c r="D4176" s="9" t="s">
        <v>3213</v>
      </c>
      <c r="F4176" s="6">
        <v>1000</v>
      </c>
      <c r="G4176" s="6">
        <f t="shared" si="212"/>
        <v>1000</v>
      </c>
      <c r="H4176" s="6">
        <v>1000</v>
      </c>
      <c r="I4176" s="26">
        <f t="shared" si="210"/>
        <v>0</v>
      </c>
      <c r="J4176" s="7" t="str">
        <f t="shared" si="211"/>
        <v>PAGADO</v>
      </c>
      <c r="K4176" s="33" t="s">
        <v>2639</v>
      </c>
      <c r="L4176" t="s">
        <v>3891</v>
      </c>
    </row>
    <row r="4177" spans="1:12" x14ac:dyDescent="0.25">
      <c r="A4177">
        <v>2025</v>
      </c>
      <c r="C4177" s="9" t="s">
        <v>3993</v>
      </c>
      <c r="D4177" s="9" t="s">
        <v>3213</v>
      </c>
      <c r="F4177" s="6">
        <v>160</v>
      </c>
      <c r="G4177" s="6">
        <f t="shared" si="212"/>
        <v>160</v>
      </c>
      <c r="H4177" s="6">
        <v>160</v>
      </c>
      <c r="I4177" s="26">
        <f t="shared" si="210"/>
        <v>0</v>
      </c>
      <c r="J4177" s="7" t="str">
        <f t="shared" si="211"/>
        <v>PAGADO</v>
      </c>
      <c r="L4177" t="s">
        <v>3895</v>
      </c>
    </row>
    <row r="4178" spans="1:12" x14ac:dyDescent="0.25">
      <c r="A4178">
        <v>2025</v>
      </c>
      <c r="C4178" s="9" t="s">
        <v>3994</v>
      </c>
      <c r="D4178" s="9" t="s">
        <v>3479</v>
      </c>
      <c r="F4178" s="6">
        <v>80</v>
      </c>
      <c r="G4178" s="6">
        <f t="shared" si="212"/>
        <v>80</v>
      </c>
      <c r="H4178" s="6">
        <f>40+40</f>
        <v>80</v>
      </c>
      <c r="I4178" s="26">
        <f t="shared" ref="I4178:I4241" si="213">F4178-H4178</f>
        <v>0</v>
      </c>
      <c r="J4178" s="7" t="str">
        <f t="shared" si="211"/>
        <v>PAGADO</v>
      </c>
    </row>
    <row r="4179" spans="1:12" x14ac:dyDescent="0.25">
      <c r="A4179">
        <v>2025</v>
      </c>
      <c r="C4179" s="9" t="s">
        <v>3995</v>
      </c>
      <c r="D4179" s="9" t="s">
        <v>3198</v>
      </c>
      <c r="F4179" s="6">
        <v>70</v>
      </c>
      <c r="G4179" s="6">
        <f t="shared" si="212"/>
        <v>70</v>
      </c>
      <c r="H4179" s="6">
        <v>70</v>
      </c>
      <c r="I4179" s="26">
        <f t="shared" si="213"/>
        <v>0</v>
      </c>
      <c r="J4179" s="7" t="str">
        <f t="shared" si="211"/>
        <v>PAGADO</v>
      </c>
      <c r="K4179" s="33" t="s">
        <v>2639</v>
      </c>
    </row>
    <row r="4180" spans="1:12" x14ac:dyDescent="0.25">
      <c r="A4180">
        <v>2025</v>
      </c>
      <c r="C4180" s="9" t="s">
        <v>3996</v>
      </c>
      <c r="D4180" s="9" t="s">
        <v>2275</v>
      </c>
      <c r="F4180" s="26">
        <v>80</v>
      </c>
      <c r="G4180" s="26">
        <f t="shared" si="212"/>
        <v>80</v>
      </c>
      <c r="H4180" s="26">
        <v>80</v>
      </c>
      <c r="I4180" s="26">
        <f t="shared" si="213"/>
        <v>0</v>
      </c>
      <c r="J4180" s="7" t="str">
        <f t="shared" si="211"/>
        <v>PAGADO</v>
      </c>
      <c r="K4180" s="33" t="s">
        <v>2639</v>
      </c>
    </row>
    <row r="4181" spans="1:12" x14ac:dyDescent="0.25">
      <c r="A4181">
        <v>2025</v>
      </c>
      <c r="C4181" s="9" t="s">
        <v>3996</v>
      </c>
      <c r="D4181" s="14" t="s">
        <v>3198</v>
      </c>
      <c r="F4181" s="6">
        <v>80</v>
      </c>
      <c r="G4181" s="6">
        <f t="shared" si="212"/>
        <v>80</v>
      </c>
      <c r="H4181" s="6">
        <v>80</v>
      </c>
      <c r="I4181" s="26">
        <f t="shared" si="213"/>
        <v>0</v>
      </c>
      <c r="J4181" s="7" t="str">
        <f t="shared" si="211"/>
        <v>PAGADO</v>
      </c>
      <c r="K4181" s="33" t="s">
        <v>2639</v>
      </c>
    </row>
    <row r="4182" spans="1:12" x14ac:dyDescent="0.25">
      <c r="A4182">
        <v>2025</v>
      </c>
      <c r="C4182" s="9" t="s">
        <v>3997</v>
      </c>
      <c r="D4182" s="9" t="s">
        <v>3198</v>
      </c>
      <c r="F4182" s="6">
        <v>60</v>
      </c>
      <c r="G4182" s="6">
        <f t="shared" si="212"/>
        <v>60</v>
      </c>
      <c r="H4182" s="6">
        <v>60</v>
      </c>
      <c r="I4182" s="26">
        <f t="shared" si="213"/>
        <v>0</v>
      </c>
      <c r="J4182" s="7" t="str">
        <f t="shared" si="211"/>
        <v>PAGADO</v>
      </c>
      <c r="K4182" s="33" t="s">
        <v>2639</v>
      </c>
    </row>
    <row r="4183" spans="1:12" x14ac:dyDescent="0.25">
      <c r="A4183">
        <v>2025</v>
      </c>
      <c r="C4183" s="9" t="s">
        <v>3998</v>
      </c>
      <c r="D4183" s="9" t="s">
        <v>1510</v>
      </c>
      <c r="F4183" s="6">
        <v>230</v>
      </c>
      <c r="G4183" s="6">
        <f t="shared" si="212"/>
        <v>230</v>
      </c>
      <c r="H4183" s="6">
        <v>230</v>
      </c>
      <c r="I4183" s="26">
        <f t="shared" si="213"/>
        <v>0</v>
      </c>
      <c r="J4183" s="7" t="str">
        <f t="shared" si="211"/>
        <v>PAGADO</v>
      </c>
      <c r="K4183" s="33" t="s">
        <v>2639</v>
      </c>
    </row>
    <row r="4184" spans="1:12" x14ac:dyDescent="0.25">
      <c r="A4184">
        <v>2025</v>
      </c>
      <c r="C4184" s="9" t="s">
        <v>3998</v>
      </c>
      <c r="D4184" s="9" t="s">
        <v>3213</v>
      </c>
      <c r="F4184" s="6">
        <v>230</v>
      </c>
      <c r="G4184" s="6">
        <f t="shared" si="212"/>
        <v>230</v>
      </c>
      <c r="H4184" s="6">
        <v>230</v>
      </c>
      <c r="I4184" s="26">
        <f t="shared" si="213"/>
        <v>0</v>
      </c>
      <c r="J4184" s="7" t="str">
        <f t="shared" si="211"/>
        <v>PAGADO</v>
      </c>
      <c r="K4184" s="33" t="s">
        <v>2639</v>
      </c>
      <c r="L4184" t="s">
        <v>3891</v>
      </c>
    </row>
    <row r="4185" spans="1:12" x14ac:dyDescent="0.25">
      <c r="A4185">
        <v>2025</v>
      </c>
      <c r="C4185" s="9" t="s">
        <v>3999</v>
      </c>
      <c r="D4185" s="9" t="s">
        <v>3198</v>
      </c>
      <c r="F4185" s="6">
        <v>90</v>
      </c>
      <c r="G4185" s="6">
        <f t="shared" si="212"/>
        <v>90</v>
      </c>
      <c r="H4185" s="6">
        <v>90</v>
      </c>
      <c r="I4185" s="26">
        <f t="shared" si="213"/>
        <v>0</v>
      </c>
      <c r="J4185" s="7" t="str">
        <f t="shared" si="211"/>
        <v>PAGADO</v>
      </c>
      <c r="K4185" s="33" t="s">
        <v>2639</v>
      </c>
    </row>
    <row r="4186" spans="1:12" x14ac:dyDescent="0.25">
      <c r="A4186">
        <v>2025</v>
      </c>
      <c r="C4186" s="9" t="s">
        <v>3560</v>
      </c>
      <c r="D4186" s="9" t="s">
        <v>3463</v>
      </c>
      <c r="F4186" s="6">
        <v>75</v>
      </c>
      <c r="G4186" s="6">
        <f t="shared" si="212"/>
        <v>75</v>
      </c>
      <c r="H4186" s="6">
        <f>30+45</f>
        <v>75</v>
      </c>
      <c r="I4186" s="26">
        <f t="shared" si="213"/>
        <v>0</v>
      </c>
      <c r="J4186" s="7" t="str">
        <f t="shared" si="211"/>
        <v>PAGADO</v>
      </c>
      <c r="K4186" s="33" t="s">
        <v>2968</v>
      </c>
    </row>
    <row r="4187" spans="1:12" x14ac:dyDescent="0.25">
      <c r="A4187">
        <v>2025</v>
      </c>
      <c r="C4187" t="s">
        <v>4000</v>
      </c>
      <c r="D4187" s="9" t="s">
        <v>3856</v>
      </c>
      <c r="F4187" s="6">
        <v>50</v>
      </c>
      <c r="G4187" s="6">
        <f t="shared" si="212"/>
        <v>50</v>
      </c>
      <c r="H4187" s="6">
        <v>50</v>
      </c>
      <c r="I4187" s="26">
        <f t="shared" si="213"/>
        <v>0</v>
      </c>
      <c r="J4187" s="7" t="str">
        <f t="shared" si="211"/>
        <v>PAGADO</v>
      </c>
    </row>
    <row r="4188" spans="1:12" x14ac:dyDescent="0.25">
      <c r="A4188">
        <v>2025</v>
      </c>
      <c r="C4188" s="9" t="s">
        <v>4001</v>
      </c>
      <c r="D4188" s="9" t="s">
        <v>3198</v>
      </c>
      <c r="F4188" s="6">
        <v>200</v>
      </c>
      <c r="G4188" s="6">
        <f t="shared" si="212"/>
        <v>200</v>
      </c>
      <c r="H4188" s="24">
        <f>180+20</f>
        <v>200</v>
      </c>
      <c r="I4188" s="26">
        <f t="shared" si="213"/>
        <v>0</v>
      </c>
      <c r="J4188" s="7" t="str">
        <f t="shared" si="211"/>
        <v>PAGADO</v>
      </c>
      <c r="K4188" s="33" t="s">
        <v>2639</v>
      </c>
    </row>
    <row r="4189" spans="1:12" x14ac:dyDescent="0.25">
      <c r="A4189">
        <v>2025</v>
      </c>
      <c r="C4189" s="9" t="s">
        <v>4002</v>
      </c>
      <c r="D4189" s="9" t="s">
        <v>1523</v>
      </c>
      <c r="F4189" s="6">
        <v>20</v>
      </c>
      <c r="G4189" s="6">
        <f t="shared" si="212"/>
        <v>20</v>
      </c>
      <c r="H4189" s="6">
        <v>20</v>
      </c>
      <c r="I4189" s="26">
        <f t="shared" si="213"/>
        <v>0</v>
      </c>
      <c r="J4189" s="7" t="str">
        <f t="shared" si="211"/>
        <v>PAGADO</v>
      </c>
    </row>
    <row r="4190" spans="1:12" x14ac:dyDescent="0.25">
      <c r="A4190">
        <v>2025</v>
      </c>
      <c r="C4190" s="9" t="s">
        <v>3996</v>
      </c>
      <c r="D4190" s="14" t="s">
        <v>3728</v>
      </c>
      <c r="F4190" s="6">
        <v>80</v>
      </c>
      <c r="G4190" s="6">
        <f t="shared" si="212"/>
        <v>80</v>
      </c>
      <c r="H4190" s="6">
        <v>80</v>
      </c>
      <c r="I4190" s="26">
        <f t="shared" si="213"/>
        <v>0</v>
      </c>
      <c r="J4190" s="7" t="str">
        <f t="shared" si="211"/>
        <v>PAGADO</v>
      </c>
      <c r="K4190" s="33" t="s">
        <v>2639</v>
      </c>
    </row>
    <row r="4191" spans="1:12" x14ac:dyDescent="0.25">
      <c r="A4191">
        <v>2025</v>
      </c>
      <c r="C4191" s="9" t="s">
        <v>3811</v>
      </c>
      <c r="D4191" s="9" t="s">
        <v>3198</v>
      </c>
      <c r="F4191" s="6">
        <v>75</v>
      </c>
      <c r="G4191" s="6">
        <f t="shared" si="212"/>
        <v>75</v>
      </c>
      <c r="H4191" s="6">
        <v>75</v>
      </c>
      <c r="I4191" s="26">
        <f t="shared" si="213"/>
        <v>0</v>
      </c>
      <c r="J4191" s="7" t="str">
        <f t="shared" si="211"/>
        <v>PAGADO</v>
      </c>
      <c r="K4191" s="33" t="s">
        <v>2639</v>
      </c>
    </row>
    <row r="4192" spans="1:12" x14ac:dyDescent="0.25">
      <c r="A4192">
        <v>2025</v>
      </c>
      <c r="C4192" s="9" t="s">
        <v>3996</v>
      </c>
      <c r="D4192" s="14" t="s">
        <v>597</v>
      </c>
      <c r="F4192" s="6">
        <v>80</v>
      </c>
      <c r="G4192" s="6">
        <f t="shared" si="212"/>
        <v>80</v>
      </c>
      <c r="H4192" s="6">
        <v>80</v>
      </c>
      <c r="I4192" s="26">
        <f t="shared" si="213"/>
        <v>0</v>
      </c>
      <c r="J4192" s="7" t="str">
        <f t="shared" si="211"/>
        <v>PAGADO</v>
      </c>
      <c r="K4192" s="33" t="s">
        <v>2639</v>
      </c>
    </row>
    <row r="4193" spans="1:12" x14ac:dyDescent="0.25">
      <c r="A4193">
        <v>2025</v>
      </c>
      <c r="C4193" s="9" t="s">
        <v>3996</v>
      </c>
      <c r="D4193" s="22" t="s">
        <v>1640</v>
      </c>
      <c r="F4193" s="6">
        <v>80</v>
      </c>
      <c r="G4193" s="6">
        <f t="shared" si="212"/>
        <v>80</v>
      </c>
      <c r="H4193" s="6">
        <v>80</v>
      </c>
      <c r="I4193" s="26">
        <f t="shared" si="213"/>
        <v>0</v>
      </c>
      <c r="J4193" s="7" t="str">
        <f t="shared" si="211"/>
        <v>PAGADO</v>
      </c>
      <c r="K4193" s="33" t="s">
        <v>2639</v>
      </c>
    </row>
    <row r="4194" spans="1:12" x14ac:dyDescent="0.25">
      <c r="A4194">
        <v>2025</v>
      </c>
      <c r="C4194" s="9" t="s">
        <v>3996</v>
      </c>
      <c r="D4194" s="14" t="s">
        <v>3662</v>
      </c>
      <c r="F4194" s="6">
        <v>80</v>
      </c>
      <c r="G4194" s="6">
        <f t="shared" si="212"/>
        <v>80</v>
      </c>
      <c r="H4194" s="6">
        <v>80</v>
      </c>
      <c r="I4194" s="26">
        <f t="shared" si="213"/>
        <v>0</v>
      </c>
      <c r="J4194" s="7" t="str">
        <f t="shared" si="211"/>
        <v>PAGADO</v>
      </c>
      <c r="K4194" s="33" t="s">
        <v>2639</v>
      </c>
    </row>
    <row r="4195" spans="1:12" x14ac:dyDescent="0.25">
      <c r="A4195">
        <v>2025</v>
      </c>
      <c r="C4195" s="9" t="s">
        <v>4003</v>
      </c>
      <c r="D4195" s="9" t="s">
        <v>2969</v>
      </c>
      <c r="F4195" s="6">
        <v>80</v>
      </c>
      <c r="G4195" s="6">
        <f t="shared" si="212"/>
        <v>80</v>
      </c>
      <c r="H4195" s="6">
        <v>80</v>
      </c>
      <c r="I4195" s="26">
        <f t="shared" si="213"/>
        <v>0</v>
      </c>
      <c r="J4195" s="7" t="str">
        <f t="shared" ref="J4195:J4258" si="214">IF(I4195&gt;0,"DEBE","PAGADO")</f>
        <v>PAGADO</v>
      </c>
      <c r="K4195" s="33" t="s">
        <v>2639</v>
      </c>
    </row>
    <row r="4196" spans="1:12" x14ac:dyDescent="0.25">
      <c r="A4196">
        <v>2025</v>
      </c>
      <c r="C4196" t="s">
        <v>4004</v>
      </c>
      <c r="D4196" s="9" t="s">
        <v>3434</v>
      </c>
      <c r="F4196" s="6">
        <v>160</v>
      </c>
      <c r="G4196" s="6">
        <f t="shared" si="212"/>
        <v>160</v>
      </c>
      <c r="H4196" s="6">
        <f>80+80</f>
        <v>160</v>
      </c>
      <c r="I4196" s="26">
        <f t="shared" si="213"/>
        <v>0</v>
      </c>
      <c r="J4196" s="7" t="str">
        <f t="shared" si="214"/>
        <v>PAGADO</v>
      </c>
      <c r="K4196" s="33" t="s">
        <v>2639</v>
      </c>
      <c r="L4196" t="s">
        <v>3895</v>
      </c>
    </row>
    <row r="4197" spans="1:12" x14ac:dyDescent="0.25">
      <c r="A4197">
        <v>2025</v>
      </c>
      <c r="C4197" s="9" t="s">
        <v>4005</v>
      </c>
      <c r="D4197" s="9" t="s">
        <v>2278</v>
      </c>
      <c r="F4197" s="6">
        <v>10</v>
      </c>
      <c r="G4197" s="6">
        <f t="shared" si="212"/>
        <v>10</v>
      </c>
      <c r="H4197" s="24">
        <v>10</v>
      </c>
      <c r="I4197" s="26">
        <f t="shared" si="213"/>
        <v>0</v>
      </c>
      <c r="J4197" s="7" t="str">
        <f t="shared" si="214"/>
        <v>PAGADO</v>
      </c>
      <c r="K4197" s="33" t="s">
        <v>2639</v>
      </c>
    </row>
    <row r="4198" spans="1:12" x14ac:dyDescent="0.25">
      <c r="A4198">
        <v>2025</v>
      </c>
      <c r="C4198" s="9" t="s">
        <v>4006</v>
      </c>
      <c r="D4198" s="9" t="s">
        <v>1510</v>
      </c>
      <c r="F4198" s="6">
        <v>60</v>
      </c>
      <c r="G4198" s="6">
        <f t="shared" si="212"/>
        <v>60</v>
      </c>
      <c r="H4198" s="6">
        <v>60</v>
      </c>
      <c r="I4198" s="26">
        <f t="shared" si="213"/>
        <v>0</v>
      </c>
      <c r="J4198" s="7" t="str">
        <f t="shared" si="214"/>
        <v>PAGADO</v>
      </c>
      <c r="K4198" s="33" t="s">
        <v>2639</v>
      </c>
    </row>
    <row r="4199" spans="1:12" x14ac:dyDescent="0.25">
      <c r="A4199">
        <v>2025</v>
      </c>
      <c r="C4199" s="9" t="s">
        <v>4007</v>
      </c>
      <c r="D4199" s="9" t="s">
        <v>1510</v>
      </c>
      <c r="F4199" s="6">
        <v>60</v>
      </c>
      <c r="G4199" s="6">
        <f t="shared" si="212"/>
        <v>60</v>
      </c>
      <c r="H4199" s="6">
        <v>60</v>
      </c>
      <c r="I4199" s="26">
        <f t="shared" si="213"/>
        <v>0</v>
      </c>
      <c r="J4199" s="7" t="str">
        <f t="shared" si="214"/>
        <v>PAGADO</v>
      </c>
      <c r="K4199" s="33" t="s">
        <v>2639</v>
      </c>
    </row>
    <row r="4200" spans="1:12" x14ac:dyDescent="0.25">
      <c r="A4200">
        <v>2025</v>
      </c>
      <c r="C4200" s="9" t="s">
        <v>4008</v>
      </c>
      <c r="D4200" s="9" t="s">
        <v>2548</v>
      </c>
      <c r="F4200" s="6">
        <v>330</v>
      </c>
      <c r="G4200" s="6">
        <f t="shared" si="212"/>
        <v>330</v>
      </c>
      <c r="H4200" s="6">
        <v>330</v>
      </c>
      <c r="I4200" s="26">
        <f t="shared" si="213"/>
        <v>0</v>
      </c>
      <c r="J4200" s="7" t="str">
        <f t="shared" si="214"/>
        <v>PAGADO</v>
      </c>
      <c r="K4200" s="33" t="s">
        <v>2639</v>
      </c>
      <c r="L4200" s="9" t="s">
        <v>3794</v>
      </c>
    </row>
    <row r="4201" spans="1:12" x14ac:dyDescent="0.25">
      <c r="A4201">
        <v>2025</v>
      </c>
      <c r="C4201" s="9" t="s">
        <v>4009</v>
      </c>
      <c r="D4201" s="9" t="s">
        <v>2548</v>
      </c>
      <c r="F4201" s="6">
        <v>180</v>
      </c>
      <c r="G4201" s="6">
        <f t="shared" si="212"/>
        <v>180</v>
      </c>
      <c r="H4201" s="6">
        <v>180</v>
      </c>
      <c r="I4201" s="26">
        <f t="shared" si="213"/>
        <v>0</v>
      </c>
      <c r="J4201" s="7" t="str">
        <f t="shared" si="214"/>
        <v>PAGADO</v>
      </c>
      <c r="K4201" s="33" t="s">
        <v>2639</v>
      </c>
      <c r="L4201" s="9" t="s">
        <v>3794</v>
      </c>
    </row>
    <row r="4202" spans="1:12" x14ac:dyDescent="0.25">
      <c r="A4202">
        <v>2025</v>
      </c>
      <c r="C4202" s="9" t="s">
        <v>3744</v>
      </c>
      <c r="D4202" s="9" t="s">
        <v>2548</v>
      </c>
      <c r="F4202" s="6">
        <v>80</v>
      </c>
      <c r="G4202" s="6">
        <f t="shared" si="212"/>
        <v>80</v>
      </c>
      <c r="H4202" s="6">
        <v>80</v>
      </c>
      <c r="I4202" s="26">
        <f t="shared" si="213"/>
        <v>0</v>
      </c>
      <c r="J4202" s="7" t="str">
        <f t="shared" si="214"/>
        <v>PAGADO</v>
      </c>
      <c r="K4202" s="33" t="s">
        <v>2639</v>
      </c>
      <c r="L4202" t="s">
        <v>4010</v>
      </c>
    </row>
    <row r="4203" spans="1:12" x14ac:dyDescent="0.25">
      <c r="A4203">
        <v>2025</v>
      </c>
      <c r="C4203" s="9" t="s">
        <v>4011</v>
      </c>
      <c r="D4203" s="9" t="s">
        <v>3198</v>
      </c>
      <c r="F4203" s="6">
        <v>80</v>
      </c>
      <c r="G4203" s="6">
        <f t="shared" si="212"/>
        <v>80</v>
      </c>
      <c r="H4203" s="6">
        <v>80</v>
      </c>
      <c r="I4203" s="26">
        <f t="shared" si="213"/>
        <v>0</v>
      </c>
      <c r="J4203" s="7" t="str">
        <f t="shared" si="214"/>
        <v>PAGADO</v>
      </c>
      <c r="K4203" s="33" t="s">
        <v>2639</v>
      </c>
    </row>
    <row r="4204" spans="1:12" x14ac:dyDescent="0.25">
      <c r="A4204">
        <v>2025</v>
      </c>
      <c r="C4204" t="s">
        <v>3900</v>
      </c>
      <c r="D4204" s="9" t="s">
        <v>3870</v>
      </c>
      <c r="F4204" s="6">
        <v>80</v>
      </c>
      <c r="G4204" s="6">
        <f t="shared" si="212"/>
        <v>80</v>
      </c>
      <c r="H4204" s="6">
        <f>40+40</f>
        <v>80</v>
      </c>
      <c r="I4204" s="26">
        <f t="shared" si="213"/>
        <v>0</v>
      </c>
      <c r="J4204" s="7" t="str">
        <f t="shared" si="214"/>
        <v>PAGADO</v>
      </c>
      <c r="K4204" s="33" t="s">
        <v>2639</v>
      </c>
    </row>
    <row r="4205" spans="1:12" x14ac:dyDescent="0.25">
      <c r="A4205">
        <v>2025</v>
      </c>
      <c r="C4205" s="9" t="s">
        <v>4012</v>
      </c>
      <c r="D4205" s="9" t="s">
        <v>2018</v>
      </c>
      <c r="F4205" s="6">
        <v>340</v>
      </c>
      <c r="G4205" s="6">
        <f t="shared" si="212"/>
        <v>340</v>
      </c>
      <c r="H4205" s="6">
        <v>340</v>
      </c>
      <c r="I4205" s="16">
        <f t="shared" si="213"/>
        <v>0</v>
      </c>
      <c r="J4205" s="7" t="str">
        <f t="shared" si="214"/>
        <v>PAGADO</v>
      </c>
      <c r="K4205" s="33" t="s">
        <v>2639</v>
      </c>
    </row>
    <row r="4206" spans="1:12" x14ac:dyDescent="0.25">
      <c r="A4206">
        <v>2025</v>
      </c>
      <c r="C4206" s="9" t="s">
        <v>4013</v>
      </c>
      <c r="D4206" s="9" t="s">
        <v>3728</v>
      </c>
      <c r="F4206" s="6">
        <v>50</v>
      </c>
      <c r="G4206" s="6">
        <f t="shared" si="212"/>
        <v>50</v>
      </c>
      <c r="H4206" s="6">
        <v>50</v>
      </c>
      <c r="I4206" s="26">
        <f t="shared" si="213"/>
        <v>0</v>
      </c>
      <c r="J4206" s="7" t="str">
        <f t="shared" si="214"/>
        <v>PAGADO</v>
      </c>
      <c r="K4206" s="33" t="s">
        <v>2639</v>
      </c>
    </row>
    <row r="4207" spans="1:12" x14ac:dyDescent="0.25">
      <c r="A4207">
        <v>2025</v>
      </c>
      <c r="C4207" t="s">
        <v>4014</v>
      </c>
      <c r="D4207" t="s">
        <v>3420</v>
      </c>
      <c r="F4207" s="6">
        <v>60</v>
      </c>
      <c r="G4207" s="6">
        <f t="shared" si="212"/>
        <v>60</v>
      </c>
      <c r="H4207" s="6">
        <v>60</v>
      </c>
      <c r="I4207" s="26">
        <f t="shared" si="213"/>
        <v>0</v>
      </c>
      <c r="J4207" s="7" t="str">
        <f t="shared" si="214"/>
        <v>PAGADO</v>
      </c>
      <c r="K4207" s="33" t="s">
        <v>2639</v>
      </c>
    </row>
    <row r="4208" spans="1:12" x14ac:dyDescent="0.25">
      <c r="A4208">
        <v>2025</v>
      </c>
      <c r="C4208" t="s">
        <v>4015</v>
      </c>
      <c r="D4208" t="s">
        <v>3420</v>
      </c>
      <c r="F4208" s="6">
        <v>55</v>
      </c>
      <c r="G4208" s="6">
        <f t="shared" si="212"/>
        <v>55</v>
      </c>
      <c r="H4208" s="6">
        <v>55</v>
      </c>
      <c r="I4208" s="26">
        <f t="shared" si="213"/>
        <v>0</v>
      </c>
      <c r="J4208" s="7" t="str">
        <f t="shared" si="214"/>
        <v>PAGADO</v>
      </c>
      <c r="K4208" s="33" t="s">
        <v>2639</v>
      </c>
    </row>
    <row r="4209" spans="1:12" x14ac:dyDescent="0.25">
      <c r="A4209">
        <v>2025</v>
      </c>
      <c r="C4209" s="9" t="s">
        <v>3332</v>
      </c>
      <c r="D4209" s="9" t="s">
        <v>3728</v>
      </c>
      <c r="F4209" s="6">
        <v>240</v>
      </c>
      <c r="G4209" s="6">
        <f t="shared" si="212"/>
        <v>240</v>
      </c>
      <c r="H4209" s="6">
        <f>50+100+90</f>
        <v>240</v>
      </c>
      <c r="I4209" s="26">
        <f t="shared" si="213"/>
        <v>0</v>
      </c>
      <c r="J4209" s="7" t="str">
        <f t="shared" si="214"/>
        <v>PAGADO</v>
      </c>
      <c r="K4209" s="9"/>
    </row>
    <row r="4210" spans="1:12" x14ac:dyDescent="0.25">
      <c r="A4210">
        <v>2025</v>
      </c>
      <c r="C4210" s="9" t="s">
        <v>4016</v>
      </c>
      <c r="D4210" s="9" t="s">
        <v>1399</v>
      </c>
      <c r="F4210" s="6">
        <v>120</v>
      </c>
      <c r="G4210" s="6">
        <f t="shared" si="212"/>
        <v>120</v>
      </c>
      <c r="H4210" s="6">
        <v>120</v>
      </c>
      <c r="I4210" s="26">
        <f t="shared" si="213"/>
        <v>0</v>
      </c>
      <c r="J4210" s="7" t="str">
        <f t="shared" si="214"/>
        <v>PAGADO</v>
      </c>
      <c r="K4210" s="33" t="s">
        <v>2639</v>
      </c>
    </row>
    <row r="4211" spans="1:12" x14ac:dyDescent="0.25">
      <c r="A4211">
        <v>2025</v>
      </c>
      <c r="C4211" s="9" t="s">
        <v>4017</v>
      </c>
      <c r="D4211" s="9" t="s">
        <v>1399</v>
      </c>
      <c r="F4211" s="6">
        <v>100</v>
      </c>
      <c r="G4211" s="6">
        <f t="shared" si="212"/>
        <v>100</v>
      </c>
      <c r="H4211" s="6">
        <v>100</v>
      </c>
      <c r="I4211" s="26">
        <f t="shared" si="213"/>
        <v>0</v>
      </c>
      <c r="J4211" s="7" t="str">
        <f t="shared" si="214"/>
        <v>PAGADO</v>
      </c>
      <c r="K4211" s="33" t="s">
        <v>2639</v>
      </c>
    </row>
    <row r="4212" spans="1:12" x14ac:dyDescent="0.25">
      <c r="A4212">
        <v>2025</v>
      </c>
      <c r="C4212" s="9" t="s">
        <v>805</v>
      </c>
      <c r="D4212" t="s">
        <v>3592</v>
      </c>
      <c r="F4212" s="6">
        <v>70</v>
      </c>
      <c r="G4212" s="6">
        <f t="shared" si="212"/>
        <v>70</v>
      </c>
      <c r="H4212" s="6">
        <v>70</v>
      </c>
      <c r="I4212" s="26">
        <f t="shared" si="213"/>
        <v>0</v>
      </c>
      <c r="J4212" s="7" t="str">
        <f t="shared" si="214"/>
        <v>PAGADO</v>
      </c>
    </row>
    <row r="4213" spans="1:12" x14ac:dyDescent="0.25">
      <c r="A4213">
        <v>2025</v>
      </c>
      <c r="C4213" s="9" t="s">
        <v>4018</v>
      </c>
      <c r="D4213" s="9" t="s">
        <v>2804</v>
      </c>
      <c r="F4213" s="6">
        <v>5</v>
      </c>
      <c r="G4213" s="6">
        <f t="shared" si="212"/>
        <v>5</v>
      </c>
      <c r="H4213" s="6">
        <v>5</v>
      </c>
      <c r="I4213" s="26">
        <f t="shared" si="213"/>
        <v>0</v>
      </c>
      <c r="J4213" s="7" t="str">
        <f t="shared" si="214"/>
        <v>PAGADO</v>
      </c>
      <c r="K4213" s="33" t="s">
        <v>2640</v>
      </c>
    </row>
    <row r="4214" spans="1:12" x14ac:dyDescent="0.25">
      <c r="A4214">
        <v>2025</v>
      </c>
      <c r="C4214" t="s">
        <v>4019</v>
      </c>
      <c r="D4214" s="9" t="s">
        <v>2804</v>
      </c>
      <c r="F4214" s="6">
        <v>30</v>
      </c>
      <c r="G4214" s="6">
        <f t="shared" si="212"/>
        <v>30</v>
      </c>
      <c r="H4214" s="6">
        <v>30</v>
      </c>
      <c r="I4214" s="26">
        <f t="shared" si="213"/>
        <v>0</v>
      </c>
      <c r="J4214" s="7" t="str">
        <f t="shared" si="214"/>
        <v>PAGADO</v>
      </c>
      <c r="K4214" s="33" t="s">
        <v>2640</v>
      </c>
    </row>
    <row r="4215" spans="1:12" x14ac:dyDescent="0.25">
      <c r="A4215">
        <v>2025</v>
      </c>
      <c r="C4215" t="s">
        <v>4020</v>
      </c>
      <c r="D4215" s="9" t="s">
        <v>3213</v>
      </c>
      <c r="F4215" s="6">
        <v>500</v>
      </c>
      <c r="G4215" s="6">
        <f t="shared" si="212"/>
        <v>500</v>
      </c>
      <c r="H4215" s="6">
        <v>500</v>
      </c>
      <c r="I4215" s="26">
        <f t="shared" si="213"/>
        <v>0</v>
      </c>
      <c r="J4215" s="7" t="str">
        <f t="shared" si="214"/>
        <v>PAGADO</v>
      </c>
      <c r="K4215" s="33" t="s">
        <v>2639</v>
      </c>
      <c r="L4215" t="s">
        <v>3891</v>
      </c>
    </row>
    <row r="4216" spans="1:12" x14ac:dyDescent="0.25">
      <c r="A4216">
        <v>2025</v>
      </c>
      <c r="C4216" t="s">
        <v>3890</v>
      </c>
      <c r="D4216" t="s">
        <v>2058</v>
      </c>
      <c r="F4216" s="6">
        <v>350</v>
      </c>
      <c r="G4216" s="6">
        <f t="shared" si="212"/>
        <v>350</v>
      </c>
      <c r="H4216" s="6">
        <f>150+200</f>
        <v>350</v>
      </c>
      <c r="I4216" s="26">
        <f t="shared" si="213"/>
        <v>0</v>
      </c>
      <c r="J4216" s="7" t="str">
        <f t="shared" si="214"/>
        <v>PAGADO</v>
      </c>
      <c r="K4216" s="9" t="s">
        <v>2639</v>
      </c>
      <c r="L4216" t="s">
        <v>4010</v>
      </c>
    </row>
    <row r="4217" spans="1:12" x14ac:dyDescent="0.25">
      <c r="A4217">
        <v>2025</v>
      </c>
      <c r="C4217" t="s">
        <v>4021</v>
      </c>
      <c r="D4217" t="s">
        <v>2058</v>
      </c>
      <c r="F4217" s="6">
        <v>400</v>
      </c>
      <c r="G4217" s="6">
        <f t="shared" si="212"/>
        <v>400</v>
      </c>
      <c r="H4217" s="6">
        <f>150+250</f>
        <v>400</v>
      </c>
      <c r="I4217" s="26">
        <f t="shared" si="213"/>
        <v>0</v>
      </c>
      <c r="J4217" s="7" t="str">
        <f t="shared" si="214"/>
        <v>PAGADO</v>
      </c>
      <c r="K4217" s="9" t="s">
        <v>2639</v>
      </c>
      <c r="L4217" t="s">
        <v>4010</v>
      </c>
    </row>
    <row r="4218" spans="1:12" x14ac:dyDescent="0.25">
      <c r="A4218">
        <v>2025</v>
      </c>
      <c r="C4218" s="9" t="s">
        <v>3996</v>
      </c>
      <c r="D4218" s="14" t="s">
        <v>2548</v>
      </c>
      <c r="F4218" s="6">
        <v>80</v>
      </c>
      <c r="G4218" s="6">
        <f t="shared" si="212"/>
        <v>80</v>
      </c>
      <c r="H4218" s="6">
        <v>80</v>
      </c>
      <c r="I4218" s="26">
        <f t="shared" si="213"/>
        <v>0</v>
      </c>
      <c r="J4218" s="7" t="str">
        <f t="shared" si="214"/>
        <v>PAGADO</v>
      </c>
      <c r="K4218" s="33" t="s">
        <v>2639</v>
      </c>
      <c r="L4218" t="s">
        <v>4010</v>
      </c>
    </row>
    <row r="4219" spans="1:12" x14ac:dyDescent="0.25">
      <c r="A4219">
        <v>2025</v>
      </c>
      <c r="C4219" s="9" t="s">
        <v>4022</v>
      </c>
      <c r="D4219" s="9" t="s">
        <v>3198</v>
      </c>
      <c r="F4219" s="6">
        <v>70</v>
      </c>
      <c r="G4219" s="6">
        <f t="shared" si="212"/>
        <v>70</v>
      </c>
      <c r="H4219" s="6">
        <v>70</v>
      </c>
      <c r="I4219" s="26">
        <f t="shared" si="213"/>
        <v>0</v>
      </c>
      <c r="J4219" s="7" t="str">
        <f t="shared" si="214"/>
        <v>PAGADO</v>
      </c>
      <c r="K4219" s="33" t="s">
        <v>2639</v>
      </c>
    </row>
    <row r="4220" spans="1:12" x14ac:dyDescent="0.25">
      <c r="A4220">
        <v>2025</v>
      </c>
      <c r="C4220" t="s">
        <v>4023</v>
      </c>
      <c r="D4220" s="9" t="s">
        <v>3433</v>
      </c>
      <c r="F4220" s="6">
        <v>90</v>
      </c>
      <c r="G4220" s="6">
        <f t="shared" si="212"/>
        <v>90</v>
      </c>
      <c r="H4220" s="6">
        <v>90</v>
      </c>
      <c r="I4220" s="26">
        <f t="shared" si="213"/>
        <v>0</v>
      </c>
      <c r="J4220" s="7" t="str">
        <f t="shared" si="214"/>
        <v>PAGADO</v>
      </c>
      <c r="K4220" s="33" t="s">
        <v>2639</v>
      </c>
    </row>
    <row r="4221" spans="1:12" x14ac:dyDescent="0.25">
      <c r="A4221">
        <v>2025</v>
      </c>
      <c r="C4221" s="9" t="s">
        <v>4024</v>
      </c>
      <c r="D4221" s="9" t="s">
        <v>2906</v>
      </c>
      <c r="F4221" s="6">
        <v>50</v>
      </c>
      <c r="G4221" s="6">
        <f t="shared" si="212"/>
        <v>50</v>
      </c>
      <c r="H4221" s="6">
        <v>50</v>
      </c>
      <c r="I4221" s="26">
        <f t="shared" si="213"/>
        <v>0</v>
      </c>
      <c r="J4221" s="7" t="str">
        <f t="shared" si="214"/>
        <v>PAGADO</v>
      </c>
      <c r="K4221" s="33" t="s">
        <v>2639</v>
      </c>
    </row>
    <row r="4222" spans="1:12" x14ac:dyDescent="0.25">
      <c r="A4222">
        <v>2025</v>
      </c>
      <c r="C4222" s="9" t="s">
        <v>4025</v>
      </c>
      <c r="D4222" s="9" t="s">
        <v>18</v>
      </c>
      <c r="F4222" s="6">
        <v>70</v>
      </c>
      <c r="G4222" s="6">
        <f t="shared" ref="G4222:G4285" si="215">F4222-E4222</f>
        <v>70</v>
      </c>
      <c r="H4222" s="6">
        <f>20+50</f>
        <v>70</v>
      </c>
      <c r="I4222" s="26">
        <f t="shared" si="213"/>
        <v>0</v>
      </c>
      <c r="J4222" s="7" t="str">
        <f t="shared" si="214"/>
        <v>PAGADO</v>
      </c>
      <c r="K4222" s="33" t="s">
        <v>2639</v>
      </c>
    </row>
    <row r="4223" spans="1:12" x14ac:dyDescent="0.25">
      <c r="A4223">
        <v>2025</v>
      </c>
      <c r="C4223" s="9" t="s">
        <v>4026</v>
      </c>
      <c r="D4223" s="9" t="s">
        <v>4027</v>
      </c>
      <c r="F4223" s="6">
        <v>90</v>
      </c>
      <c r="G4223" s="6">
        <f t="shared" si="215"/>
        <v>90</v>
      </c>
      <c r="H4223" s="6">
        <v>90</v>
      </c>
      <c r="I4223" s="26">
        <f t="shared" si="213"/>
        <v>0</v>
      </c>
      <c r="J4223" s="7" t="str">
        <f t="shared" si="214"/>
        <v>PAGADO</v>
      </c>
    </row>
    <row r="4224" spans="1:12" x14ac:dyDescent="0.25">
      <c r="A4224">
        <v>2025</v>
      </c>
      <c r="C4224" t="s">
        <v>4028</v>
      </c>
      <c r="D4224" s="9" t="s">
        <v>3591</v>
      </c>
      <c r="F4224" s="6">
        <v>140</v>
      </c>
      <c r="G4224" s="6">
        <f t="shared" si="215"/>
        <v>140</v>
      </c>
      <c r="H4224" s="6">
        <v>140</v>
      </c>
      <c r="I4224" s="26">
        <f t="shared" si="213"/>
        <v>0</v>
      </c>
      <c r="J4224" s="7" t="str">
        <f t="shared" si="214"/>
        <v>PAGADO</v>
      </c>
    </row>
    <row r="4225" spans="1:12" x14ac:dyDescent="0.25">
      <c r="A4225">
        <v>2025</v>
      </c>
      <c r="C4225" t="s">
        <v>2822</v>
      </c>
      <c r="D4225" s="9" t="s">
        <v>3591</v>
      </c>
      <c r="F4225" s="6">
        <v>80</v>
      </c>
      <c r="G4225" s="6">
        <f t="shared" si="215"/>
        <v>80</v>
      </c>
      <c r="H4225" s="6">
        <v>80</v>
      </c>
      <c r="I4225" s="26">
        <f t="shared" si="213"/>
        <v>0</v>
      </c>
      <c r="J4225" s="7" t="str">
        <f t="shared" si="214"/>
        <v>PAGADO</v>
      </c>
    </row>
    <row r="4226" spans="1:12" x14ac:dyDescent="0.25">
      <c r="A4226">
        <v>2025</v>
      </c>
      <c r="C4226" s="9" t="s">
        <v>4029</v>
      </c>
      <c r="D4226" s="9" t="s">
        <v>2105</v>
      </c>
      <c r="F4226" s="6">
        <v>130</v>
      </c>
      <c r="G4226" s="6">
        <f t="shared" si="215"/>
        <v>130</v>
      </c>
      <c r="H4226" s="6">
        <v>130</v>
      </c>
      <c r="I4226" s="26">
        <f t="shared" si="213"/>
        <v>0</v>
      </c>
      <c r="J4226" s="7" t="str">
        <f t="shared" si="214"/>
        <v>PAGADO</v>
      </c>
      <c r="K4226" s="33" t="s">
        <v>2639</v>
      </c>
    </row>
    <row r="4227" spans="1:12" x14ac:dyDescent="0.25">
      <c r="A4227">
        <v>2025</v>
      </c>
      <c r="C4227" s="9" t="s">
        <v>3996</v>
      </c>
      <c r="D4227" s="14" t="s">
        <v>2105</v>
      </c>
      <c r="F4227" s="6">
        <v>80</v>
      </c>
      <c r="G4227" s="6">
        <f t="shared" si="215"/>
        <v>80</v>
      </c>
      <c r="H4227" s="6">
        <v>80</v>
      </c>
      <c r="I4227" s="26">
        <f t="shared" si="213"/>
        <v>0</v>
      </c>
      <c r="J4227" s="7" t="str">
        <f t="shared" si="214"/>
        <v>PAGADO</v>
      </c>
      <c r="K4227" s="33" t="s">
        <v>2639</v>
      </c>
    </row>
    <row r="4228" spans="1:12" x14ac:dyDescent="0.25">
      <c r="A4228">
        <v>2025</v>
      </c>
      <c r="C4228" s="9" t="s">
        <v>2719</v>
      </c>
      <c r="D4228" s="9" t="s">
        <v>3662</v>
      </c>
      <c r="F4228" s="6">
        <v>140</v>
      </c>
      <c r="G4228" s="6">
        <f t="shared" si="215"/>
        <v>140</v>
      </c>
      <c r="H4228" s="6">
        <v>140</v>
      </c>
      <c r="I4228" s="26">
        <f t="shared" si="213"/>
        <v>0</v>
      </c>
      <c r="J4228" s="7" t="str">
        <f t="shared" si="214"/>
        <v>PAGADO</v>
      </c>
      <c r="K4228" s="33" t="s">
        <v>2639</v>
      </c>
    </row>
    <row r="4229" spans="1:12" x14ac:dyDescent="0.25">
      <c r="A4229">
        <v>2025</v>
      </c>
      <c r="C4229" s="9" t="s">
        <v>1639</v>
      </c>
      <c r="D4229" s="9" t="s">
        <v>3662</v>
      </c>
      <c r="F4229" s="6">
        <v>70</v>
      </c>
      <c r="G4229" s="6">
        <f t="shared" si="215"/>
        <v>70</v>
      </c>
      <c r="H4229" s="6">
        <v>70</v>
      </c>
      <c r="I4229" s="26">
        <f t="shared" si="213"/>
        <v>0</v>
      </c>
      <c r="J4229" s="7" t="str">
        <f t="shared" si="214"/>
        <v>PAGADO</v>
      </c>
      <c r="K4229" s="33" t="s">
        <v>2639</v>
      </c>
    </row>
    <row r="4230" spans="1:12" x14ac:dyDescent="0.25">
      <c r="A4230">
        <v>2025</v>
      </c>
      <c r="C4230" s="9" t="s">
        <v>3159</v>
      </c>
      <c r="D4230" s="9" t="s">
        <v>3662</v>
      </c>
      <c r="F4230" s="6">
        <v>80</v>
      </c>
      <c r="G4230" s="6">
        <f t="shared" si="215"/>
        <v>80</v>
      </c>
      <c r="H4230" s="6">
        <v>80</v>
      </c>
      <c r="I4230" s="26">
        <f t="shared" si="213"/>
        <v>0</v>
      </c>
      <c r="J4230" s="7" t="str">
        <f t="shared" si="214"/>
        <v>PAGADO</v>
      </c>
      <c r="K4230" s="33" t="s">
        <v>2639</v>
      </c>
    </row>
    <row r="4231" spans="1:12" x14ac:dyDescent="0.25">
      <c r="A4231">
        <v>2025</v>
      </c>
      <c r="C4231" s="9" t="s">
        <v>3894</v>
      </c>
      <c r="D4231" s="9" t="s">
        <v>3662</v>
      </c>
      <c r="F4231" s="6">
        <v>240</v>
      </c>
      <c r="G4231" s="6">
        <f t="shared" si="215"/>
        <v>240</v>
      </c>
      <c r="H4231" s="6">
        <v>240</v>
      </c>
      <c r="I4231" s="26">
        <f t="shared" si="213"/>
        <v>0</v>
      </c>
      <c r="J4231" s="7" t="str">
        <f t="shared" si="214"/>
        <v>PAGADO</v>
      </c>
      <c r="K4231" s="33" t="s">
        <v>2639</v>
      </c>
    </row>
    <row r="4232" spans="1:12" x14ac:dyDescent="0.25">
      <c r="A4232"/>
      <c r="C4232" s="9" t="s">
        <v>3851</v>
      </c>
      <c r="D4232" t="s">
        <v>4030</v>
      </c>
      <c r="F4232" s="6">
        <v>60</v>
      </c>
      <c r="G4232" s="6">
        <f t="shared" si="215"/>
        <v>60</v>
      </c>
      <c r="H4232" s="6">
        <v>60</v>
      </c>
      <c r="I4232" s="26">
        <f t="shared" si="213"/>
        <v>0</v>
      </c>
      <c r="J4232" s="7" t="str">
        <f t="shared" si="214"/>
        <v>PAGADO</v>
      </c>
    </row>
    <row r="4233" spans="1:12" x14ac:dyDescent="0.25">
      <c r="A4233"/>
      <c r="C4233" s="9" t="s">
        <v>4031</v>
      </c>
      <c r="D4233" t="s">
        <v>2979</v>
      </c>
      <c r="F4233" s="6">
        <v>50</v>
      </c>
      <c r="G4233" s="6">
        <f t="shared" si="215"/>
        <v>50</v>
      </c>
      <c r="H4233" s="6">
        <f>25+25</f>
        <v>50</v>
      </c>
      <c r="I4233" s="26">
        <f t="shared" si="213"/>
        <v>0</v>
      </c>
      <c r="J4233" s="7" t="str">
        <f t="shared" si="214"/>
        <v>PAGADO</v>
      </c>
      <c r="K4233" s="33" t="s">
        <v>2639</v>
      </c>
    </row>
    <row r="4234" spans="1:12" x14ac:dyDescent="0.25">
      <c r="A4234"/>
      <c r="C4234" s="9" t="s">
        <v>4032</v>
      </c>
      <c r="D4234" t="s">
        <v>4033</v>
      </c>
      <c r="F4234" s="6">
        <v>80</v>
      </c>
      <c r="G4234" s="6">
        <f t="shared" si="215"/>
        <v>80</v>
      </c>
      <c r="H4234" s="6">
        <v>80</v>
      </c>
      <c r="I4234" s="26">
        <f t="shared" si="213"/>
        <v>0</v>
      </c>
      <c r="J4234" s="7" t="str">
        <f t="shared" si="214"/>
        <v>PAGADO</v>
      </c>
      <c r="K4234" t="s">
        <v>1056</v>
      </c>
    </row>
    <row r="4235" spans="1:12" x14ac:dyDescent="0.25">
      <c r="A4235"/>
      <c r="C4235" t="s">
        <v>4034</v>
      </c>
      <c r="D4235" s="9" t="s">
        <v>3836</v>
      </c>
      <c r="F4235" s="6">
        <v>75</v>
      </c>
      <c r="G4235" s="6">
        <f t="shared" si="215"/>
        <v>75</v>
      </c>
      <c r="H4235" s="6">
        <v>75</v>
      </c>
      <c r="I4235" s="26">
        <f t="shared" si="213"/>
        <v>0</v>
      </c>
      <c r="J4235" s="7" t="str">
        <f t="shared" si="214"/>
        <v>PAGADO</v>
      </c>
    </row>
    <row r="4236" spans="1:12" x14ac:dyDescent="0.25">
      <c r="A4236"/>
      <c r="C4236" t="s">
        <v>4035</v>
      </c>
      <c r="D4236" s="9" t="s">
        <v>4036</v>
      </c>
      <c r="F4236" s="6">
        <v>30</v>
      </c>
      <c r="G4236" s="6">
        <f t="shared" si="215"/>
        <v>30</v>
      </c>
      <c r="H4236" s="6">
        <f>10+20</f>
        <v>30</v>
      </c>
      <c r="I4236" s="26">
        <f t="shared" si="213"/>
        <v>0</v>
      </c>
      <c r="J4236" s="7" t="str">
        <f t="shared" si="214"/>
        <v>PAGADO</v>
      </c>
    </row>
    <row r="4237" spans="1:12" x14ac:dyDescent="0.25">
      <c r="A4237"/>
      <c r="C4237" t="s">
        <v>4037</v>
      </c>
      <c r="D4237" s="9" t="s">
        <v>4038</v>
      </c>
      <c r="F4237" s="6">
        <v>270</v>
      </c>
      <c r="G4237" s="6">
        <f t="shared" si="215"/>
        <v>270</v>
      </c>
      <c r="H4237" s="6">
        <v>270</v>
      </c>
      <c r="I4237" s="26">
        <f t="shared" si="213"/>
        <v>0</v>
      </c>
      <c r="J4237" s="7" t="str">
        <f t="shared" si="214"/>
        <v>PAGADO</v>
      </c>
    </row>
    <row r="4238" spans="1:12" x14ac:dyDescent="0.25">
      <c r="A4238"/>
      <c r="C4238" t="s">
        <v>340</v>
      </c>
      <c r="D4238" s="9" t="s">
        <v>4039</v>
      </c>
      <c r="F4238" s="6">
        <v>40</v>
      </c>
      <c r="G4238" s="6">
        <f t="shared" si="215"/>
        <v>40</v>
      </c>
      <c r="H4238" s="6">
        <v>40</v>
      </c>
      <c r="I4238" s="26">
        <f t="shared" si="213"/>
        <v>0</v>
      </c>
      <c r="J4238" s="7" t="str">
        <f t="shared" si="214"/>
        <v>PAGADO</v>
      </c>
    </row>
    <row r="4239" spans="1:12" x14ac:dyDescent="0.25">
      <c r="A4239"/>
      <c r="C4239" s="9" t="s">
        <v>4040</v>
      </c>
      <c r="D4239" s="9" t="s">
        <v>3679</v>
      </c>
      <c r="F4239" s="6">
        <v>90</v>
      </c>
      <c r="G4239" s="6">
        <f t="shared" si="215"/>
        <v>90</v>
      </c>
      <c r="H4239" s="6">
        <v>90</v>
      </c>
      <c r="I4239" s="26">
        <f t="shared" si="213"/>
        <v>0</v>
      </c>
      <c r="J4239" s="7" t="str">
        <f t="shared" si="214"/>
        <v>PAGADO</v>
      </c>
      <c r="K4239" s="9" t="s">
        <v>2639</v>
      </c>
    </row>
    <row r="4240" spans="1:12" x14ac:dyDescent="0.25">
      <c r="A4240"/>
      <c r="C4240" t="s">
        <v>4041</v>
      </c>
      <c r="D4240" s="9" t="s">
        <v>2548</v>
      </c>
      <c r="F4240" s="6">
        <v>180</v>
      </c>
      <c r="G4240" s="6">
        <f t="shared" si="215"/>
        <v>180</v>
      </c>
      <c r="H4240" s="6">
        <v>180</v>
      </c>
      <c r="I4240" s="26">
        <f t="shared" si="213"/>
        <v>0</v>
      </c>
      <c r="J4240" s="7" t="str">
        <f t="shared" si="214"/>
        <v>PAGADO</v>
      </c>
      <c r="K4240" s="33" t="s">
        <v>2639</v>
      </c>
      <c r="L4240" s="9" t="s">
        <v>3794</v>
      </c>
    </row>
    <row r="4241" spans="1:12" x14ac:dyDescent="0.25">
      <c r="A4241"/>
      <c r="C4241" t="s">
        <v>4042</v>
      </c>
      <c r="D4241" s="9" t="s">
        <v>2548</v>
      </c>
      <c r="F4241" s="6">
        <v>90</v>
      </c>
      <c r="G4241" s="6">
        <f t="shared" si="215"/>
        <v>90</v>
      </c>
      <c r="H4241" s="6">
        <v>90</v>
      </c>
      <c r="I4241" s="26">
        <f t="shared" si="213"/>
        <v>0</v>
      </c>
      <c r="J4241" s="7" t="str">
        <f t="shared" si="214"/>
        <v>PAGADO</v>
      </c>
    </row>
    <row r="4242" spans="1:12" x14ac:dyDescent="0.25">
      <c r="A4242"/>
      <c r="C4242" t="s">
        <v>4043</v>
      </c>
      <c r="D4242" s="9" t="s">
        <v>2360</v>
      </c>
      <c r="F4242" s="6">
        <v>60</v>
      </c>
      <c r="G4242" s="6">
        <f t="shared" si="215"/>
        <v>60</v>
      </c>
      <c r="H4242" s="6">
        <v>60</v>
      </c>
      <c r="I4242" s="26">
        <f t="shared" ref="I4242:I4297" si="216">F4242-H4242</f>
        <v>0</v>
      </c>
      <c r="J4242" s="7" t="str">
        <f t="shared" si="214"/>
        <v>PAGADO</v>
      </c>
    </row>
    <row r="4243" spans="1:12" x14ac:dyDescent="0.25">
      <c r="A4243"/>
      <c r="C4243" t="s">
        <v>4044</v>
      </c>
      <c r="D4243" s="9" t="s">
        <v>488</v>
      </c>
      <c r="F4243" s="6">
        <v>250</v>
      </c>
      <c r="G4243" s="6">
        <f t="shared" si="215"/>
        <v>250</v>
      </c>
      <c r="H4243" s="6">
        <v>250</v>
      </c>
      <c r="I4243" s="16">
        <f t="shared" si="216"/>
        <v>0</v>
      </c>
      <c r="J4243" s="7" t="str">
        <f t="shared" si="214"/>
        <v>PAGADO</v>
      </c>
      <c r="K4243" s="33" t="s">
        <v>1056</v>
      </c>
    </row>
    <row r="4244" spans="1:12" x14ac:dyDescent="0.25">
      <c r="A4244"/>
      <c r="C4244" t="s">
        <v>4045</v>
      </c>
      <c r="D4244" s="9" t="s">
        <v>2278</v>
      </c>
      <c r="F4244" s="6">
        <v>250</v>
      </c>
      <c r="G4244" s="6">
        <f t="shared" si="215"/>
        <v>250</v>
      </c>
      <c r="H4244" s="6">
        <v>250</v>
      </c>
      <c r="I4244" s="26">
        <f t="shared" si="216"/>
        <v>0</v>
      </c>
      <c r="J4244" s="7" t="str">
        <f t="shared" si="214"/>
        <v>PAGADO</v>
      </c>
    </row>
    <row r="4245" spans="1:12" x14ac:dyDescent="0.25">
      <c r="A4245"/>
      <c r="C4245" t="s">
        <v>4046</v>
      </c>
      <c r="D4245" s="9" t="s">
        <v>2278</v>
      </c>
      <c r="F4245" s="6">
        <v>160</v>
      </c>
      <c r="G4245" s="6">
        <f t="shared" si="215"/>
        <v>160</v>
      </c>
      <c r="H4245" s="6">
        <v>160</v>
      </c>
      <c r="I4245" s="26">
        <f t="shared" si="216"/>
        <v>0</v>
      </c>
      <c r="J4245" s="7" t="str">
        <f t="shared" si="214"/>
        <v>PAGADO</v>
      </c>
    </row>
    <row r="4246" spans="1:12" x14ac:dyDescent="0.25">
      <c r="A4246"/>
      <c r="C4246" t="s">
        <v>4047</v>
      </c>
      <c r="D4246" s="9" t="s">
        <v>2278</v>
      </c>
      <c r="F4246" s="6">
        <v>100</v>
      </c>
      <c r="G4246" s="6">
        <f t="shared" si="215"/>
        <v>100</v>
      </c>
      <c r="H4246" s="6">
        <v>100</v>
      </c>
      <c r="I4246" s="26">
        <f t="shared" si="216"/>
        <v>0</v>
      </c>
      <c r="J4246" s="7" t="str">
        <f t="shared" si="214"/>
        <v>PAGADO</v>
      </c>
    </row>
    <row r="4247" spans="1:12" x14ac:dyDescent="0.25">
      <c r="A4247"/>
      <c r="C4247" t="s">
        <v>4048</v>
      </c>
      <c r="D4247" s="9" t="s">
        <v>2278</v>
      </c>
      <c r="F4247" s="6">
        <v>120</v>
      </c>
      <c r="G4247" s="6">
        <f t="shared" si="215"/>
        <v>120</v>
      </c>
      <c r="H4247" s="6">
        <v>120</v>
      </c>
      <c r="I4247" s="26">
        <f t="shared" si="216"/>
        <v>0</v>
      </c>
      <c r="J4247" s="7" t="str">
        <f t="shared" si="214"/>
        <v>PAGADO</v>
      </c>
    </row>
    <row r="4248" spans="1:12" x14ac:dyDescent="0.25">
      <c r="A4248"/>
      <c r="C4248" s="9" t="s">
        <v>4049</v>
      </c>
      <c r="D4248" s="9" t="s">
        <v>4050</v>
      </c>
      <c r="F4248" s="6">
        <v>50</v>
      </c>
      <c r="G4248" s="6">
        <f t="shared" si="215"/>
        <v>50</v>
      </c>
      <c r="H4248" s="6">
        <f>20+30</f>
        <v>50</v>
      </c>
      <c r="I4248" s="26">
        <f t="shared" si="216"/>
        <v>0</v>
      </c>
      <c r="J4248" s="7" t="str">
        <f t="shared" si="214"/>
        <v>PAGADO</v>
      </c>
    </row>
    <row r="4249" spans="1:12" x14ac:dyDescent="0.25">
      <c r="A4249" s="73">
        <f ca="1">IF(F4249&lt;&gt;"",TODAY(),"")</f>
        <v>46139</v>
      </c>
      <c r="C4249" s="9" t="s">
        <v>433</v>
      </c>
      <c r="D4249" t="s">
        <v>3592</v>
      </c>
      <c r="F4249" s="6">
        <v>65</v>
      </c>
      <c r="G4249" s="6">
        <f t="shared" si="215"/>
        <v>65</v>
      </c>
      <c r="H4249" s="6">
        <v>65</v>
      </c>
      <c r="I4249" s="26">
        <f t="shared" si="216"/>
        <v>0</v>
      </c>
      <c r="J4249" s="7" t="str">
        <f t="shared" si="214"/>
        <v>PAGADO</v>
      </c>
      <c r="K4249" s="33" t="s">
        <v>1815</v>
      </c>
    </row>
    <row r="4250" spans="1:12" x14ac:dyDescent="0.25">
      <c r="A4250" s="73">
        <f ca="1">IF(F4250&lt;&gt;"",TODAY(),"")</f>
        <v>46139</v>
      </c>
      <c r="C4250" s="9" t="s">
        <v>4051</v>
      </c>
      <c r="D4250" t="s">
        <v>3592</v>
      </c>
      <c r="F4250" s="6">
        <v>70</v>
      </c>
      <c r="G4250" s="6">
        <f t="shared" si="215"/>
        <v>70</v>
      </c>
      <c r="H4250" s="6">
        <v>70</v>
      </c>
      <c r="I4250" s="26">
        <f t="shared" si="216"/>
        <v>0</v>
      </c>
      <c r="J4250" s="7" t="str">
        <f t="shared" si="214"/>
        <v>PAGADO</v>
      </c>
      <c r="K4250" s="33" t="s">
        <v>1815</v>
      </c>
    </row>
    <row r="4251" spans="1:12" x14ac:dyDescent="0.25">
      <c r="A4251" s="73">
        <f ca="1">IF(F4251&lt;&gt;"",TODAY(),"")</f>
        <v>46139</v>
      </c>
      <c r="C4251" s="9" t="s">
        <v>4052</v>
      </c>
      <c r="D4251" s="9" t="s">
        <v>2018</v>
      </c>
      <c r="F4251" s="6">
        <v>75</v>
      </c>
      <c r="G4251" s="6">
        <f t="shared" si="215"/>
        <v>75</v>
      </c>
      <c r="H4251" s="6">
        <v>75</v>
      </c>
      <c r="I4251" s="26">
        <f t="shared" si="216"/>
        <v>0</v>
      </c>
      <c r="J4251" s="7" t="str">
        <f t="shared" si="214"/>
        <v>PAGADO</v>
      </c>
      <c r="K4251" s="33" t="s">
        <v>2640</v>
      </c>
    </row>
    <row r="4252" spans="1:12" x14ac:dyDescent="0.25">
      <c r="C4252" s="9" t="s">
        <v>4053</v>
      </c>
      <c r="D4252" s="9" t="s">
        <v>4054</v>
      </c>
      <c r="F4252" s="6">
        <v>60</v>
      </c>
      <c r="G4252" s="6">
        <f t="shared" si="215"/>
        <v>60</v>
      </c>
      <c r="H4252" s="6">
        <v>60</v>
      </c>
      <c r="I4252" s="26">
        <f t="shared" si="216"/>
        <v>0</v>
      </c>
      <c r="J4252" s="7" t="str">
        <f t="shared" si="214"/>
        <v>PAGADO</v>
      </c>
    </row>
    <row r="4253" spans="1:12" x14ac:dyDescent="0.25">
      <c r="C4253" s="9" t="s">
        <v>4055</v>
      </c>
      <c r="D4253" s="9" t="s">
        <v>2278</v>
      </c>
      <c r="F4253" s="6">
        <v>450</v>
      </c>
      <c r="G4253" s="6">
        <f t="shared" si="215"/>
        <v>450</v>
      </c>
      <c r="H4253" s="24">
        <v>450</v>
      </c>
      <c r="I4253" s="26">
        <f t="shared" si="216"/>
        <v>0</v>
      </c>
      <c r="J4253" s="7" t="str">
        <f t="shared" si="214"/>
        <v>PAGADO</v>
      </c>
      <c r="K4253" s="33" t="s">
        <v>2639</v>
      </c>
    </row>
    <row r="4254" spans="1:12" x14ac:dyDescent="0.25">
      <c r="C4254" s="9" t="s">
        <v>4056</v>
      </c>
      <c r="D4254" s="9" t="s">
        <v>2278</v>
      </c>
      <c r="F4254" s="6">
        <v>250</v>
      </c>
      <c r="G4254" s="6">
        <f t="shared" si="215"/>
        <v>250</v>
      </c>
      <c r="H4254" s="6">
        <v>250</v>
      </c>
      <c r="I4254" s="26">
        <f t="shared" si="216"/>
        <v>0</v>
      </c>
      <c r="J4254" s="7" t="str">
        <f t="shared" si="214"/>
        <v>PAGADO</v>
      </c>
    </row>
    <row r="4255" spans="1:12" x14ac:dyDescent="0.25">
      <c r="C4255" s="9" t="s">
        <v>4057</v>
      </c>
      <c r="D4255" s="9" t="s">
        <v>3213</v>
      </c>
      <c r="F4255" s="6">
        <v>330</v>
      </c>
      <c r="G4255" s="6">
        <f t="shared" si="215"/>
        <v>330</v>
      </c>
      <c r="H4255" s="6">
        <v>330</v>
      </c>
      <c r="I4255" s="26">
        <f t="shared" si="216"/>
        <v>0</v>
      </c>
      <c r="J4255" s="7" t="str">
        <f t="shared" si="214"/>
        <v>PAGADO</v>
      </c>
      <c r="K4255" s="33" t="s">
        <v>2640</v>
      </c>
    </row>
    <row r="4256" spans="1:12" x14ac:dyDescent="0.25">
      <c r="C4256" s="9" t="s">
        <v>3792</v>
      </c>
      <c r="D4256" s="9" t="s">
        <v>3213</v>
      </c>
      <c r="F4256" s="6">
        <v>70</v>
      </c>
      <c r="G4256" s="6">
        <f t="shared" si="215"/>
        <v>70</v>
      </c>
      <c r="H4256" s="6">
        <v>70</v>
      </c>
      <c r="I4256" s="26">
        <f t="shared" si="216"/>
        <v>0</v>
      </c>
      <c r="J4256" s="7" t="str">
        <f t="shared" si="214"/>
        <v>PAGADO</v>
      </c>
      <c r="K4256" s="33" t="s">
        <v>2639</v>
      </c>
      <c r="L4256" t="s">
        <v>3891</v>
      </c>
    </row>
    <row r="4257" spans="3:12" x14ac:dyDescent="0.25">
      <c r="C4257" s="9" t="s">
        <v>4058</v>
      </c>
      <c r="D4257" s="9" t="s">
        <v>3213</v>
      </c>
      <c r="F4257" s="6">
        <v>80</v>
      </c>
      <c r="G4257" s="6">
        <f t="shared" si="215"/>
        <v>80</v>
      </c>
      <c r="H4257" s="6">
        <v>80</v>
      </c>
      <c r="I4257" s="26">
        <f t="shared" si="216"/>
        <v>0</v>
      </c>
      <c r="J4257" s="7" t="str">
        <f t="shared" si="214"/>
        <v>PAGADO</v>
      </c>
      <c r="K4257" s="33" t="s">
        <v>2639</v>
      </c>
      <c r="L4257" t="s">
        <v>3891</v>
      </c>
    </row>
    <row r="4258" spans="3:12" x14ac:dyDescent="0.25">
      <c r="C4258" s="9" t="s">
        <v>4059</v>
      </c>
      <c r="D4258" s="9" t="s">
        <v>3213</v>
      </c>
      <c r="F4258" s="6">
        <v>100</v>
      </c>
      <c r="G4258" s="6">
        <f t="shared" si="215"/>
        <v>100</v>
      </c>
      <c r="H4258" s="6">
        <v>100</v>
      </c>
      <c r="I4258" s="26">
        <f t="shared" si="216"/>
        <v>0</v>
      </c>
      <c r="J4258" s="7" t="str">
        <f t="shared" si="214"/>
        <v>PAGADO</v>
      </c>
      <c r="K4258" s="33" t="s">
        <v>2640</v>
      </c>
    </row>
    <row r="4259" spans="3:12" x14ac:dyDescent="0.25">
      <c r="C4259" s="9" t="s">
        <v>4060</v>
      </c>
      <c r="D4259" s="9" t="s">
        <v>4061</v>
      </c>
      <c r="F4259" s="6">
        <v>75</v>
      </c>
      <c r="G4259" s="6">
        <f t="shared" si="215"/>
        <v>75</v>
      </c>
      <c r="H4259" s="6">
        <v>75</v>
      </c>
      <c r="I4259" s="26">
        <f t="shared" si="216"/>
        <v>0</v>
      </c>
      <c r="J4259" s="7" t="str">
        <f t="shared" ref="J4259:J4322" si="217">IF(I4259&gt;0,"DEBE","PAGADO")</f>
        <v>PAGADO</v>
      </c>
    </row>
    <row r="4260" spans="3:12" x14ac:dyDescent="0.25">
      <c r="C4260" s="9" t="s">
        <v>4062</v>
      </c>
      <c r="D4260" s="9" t="s">
        <v>4061</v>
      </c>
      <c r="F4260" s="6">
        <v>80</v>
      </c>
      <c r="G4260" s="6">
        <f t="shared" si="215"/>
        <v>80</v>
      </c>
      <c r="H4260" s="6">
        <v>80</v>
      </c>
      <c r="I4260" s="26">
        <f t="shared" si="216"/>
        <v>0</v>
      </c>
      <c r="J4260" s="7" t="str">
        <f t="shared" si="217"/>
        <v>PAGADO</v>
      </c>
    </row>
    <row r="4261" spans="3:12" x14ac:dyDescent="0.25">
      <c r="C4261" s="9" t="s">
        <v>2013</v>
      </c>
      <c r="D4261" s="9" t="s">
        <v>3333</v>
      </c>
      <c r="F4261" s="6">
        <v>80</v>
      </c>
      <c r="G4261" s="6">
        <f t="shared" si="215"/>
        <v>80</v>
      </c>
      <c r="H4261" s="6">
        <v>80</v>
      </c>
      <c r="I4261" s="26">
        <f t="shared" si="216"/>
        <v>0</v>
      </c>
      <c r="J4261" s="7" t="str">
        <f t="shared" si="217"/>
        <v>PAGADO</v>
      </c>
    </row>
    <row r="4262" spans="3:12" x14ac:dyDescent="0.25">
      <c r="C4262" s="9" t="s">
        <v>4063</v>
      </c>
      <c r="D4262" s="9" t="s">
        <v>523</v>
      </c>
      <c r="F4262" s="6">
        <v>45</v>
      </c>
      <c r="G4262" s="6">
        <f t="shared" si="215"/>
        <v>45</v>
      </c>
      <c r="H4262" s="6">
        <v>45</v>
      </c>
      <c r="I4262" s="26">
        <f t="shared" si="216"/>
        <v>0</v>
      </c>
      <c r="J4262" s="7" t="str">
        <f t="shared" si="217"/>
        <v>PAGADO</v>
      </c>
    </row>
    <row r="4263" spans="3:12" x14ac:dyDescent="0.25">
      <c r="C4263" s="9" t="s">
        <v>3996</v>
      </c>
      <c r="D4263" s="22" t="s">
        <v>3833</v>
      </c>
      <c r="F4263" s="6">
        <v>80</v>
      </c>
      <c r="G4263" s="6">
        <f t="shared" si="215"/>
        <v>80</v>
      </c>
      <c r="H4263" s="6">
        <v>80</v>
      </c>
      <c r="I4263" s="26">
        <f t="shared" si="216"/>
        <v>0</v>
      </c>
      <c r="J4263" s="7" t="str">
        <f t="shared" si="217"/>
        <v>PAGADO</v>
      </c>
      <c r="K4263" s="33" t="s">
        <v>2639</v>
      </c>
    </row>
    <row r="4264" spans="3:12" x14ac:dyDescent="0.25">
      <c r="C4264" s="9" t="s">
        <v>3459</v>
      </c>
      <c r="D4264" t="s">
        <v>3833</v>
      </c>
      <c r="F4264" s="6">
        <v>75</v>
      </c>
      <c r="G4264" s="6">
        <f t="shared" si="215"/>
        <v>75</v>
      </c>
      <c r="H4264" s="6">
        <v>75</v>
      </c>
      <c r="I4264" s="26">
        <f t="shared" si="216"/>
        <v>0</v>
      </c>
      <c r="J4264" s="7" t="str">
        <f t="shared" si="217"/>
        <v>PAGADO</v>
      </c>
      <c r="K4264" s="33" t="s">
        <v>2639</v>
      </c>
    </row>
    <row r="4265" spans="3:12" x14ac:dyDescent="0.25">
      <c r="C4265" s="9" t="s">
        <v>3533</v>
      </c>
      <c r="D4265" s="9" t="s">
        <v>3463</v>
      </c>
      <c r="F4265" s="6">
        <v>90</v>
      </c>
      <c r="G4265" s="6">
        <f t="shared" si="215"/>
        <v>90</v>
      </c>
      <c r="H4265" s="6">
        <f>45+45</f>
        <v>90</v>
      </c>
      <c r="I4265" s="26">
        <f t="shared" si="216"/>
        <v>0</v>
      </c>
      <c r="J4265" s="7" t="str">
        <f t="shared" si="217"/>
        <v>PAGADO</v>
      </c>
      <c r="K4265" s="33" t="s">
        <v>1815</v>
      </c>
    </row>
    <row r="4266" spans="3:12" x14ac:dyDescent="0.25">
      <c r="C4266" s="9" t="s">
        <v>4064</v>
      </c>
      <c r="D4266" s="9" t="s">
        <v>2920</v>
      </c>
      <c r="F4266" s="6">
        <v>65</v>
      </c>
      <c r="G4266" s="6">
        <f t="shared" si="215"/>
        <v>65</v>
      </c>
      <c r="H4266" s="6">
        <v>65</v>
      </c>
      <c r="I4266" s="26">
        <f t="shared" si="216"/>
        <v>0</v>
      </c>
      <c r="J4266" s="7" t="str">
        <f t="shared" si="217"/>
        <v>PAGADO</v>
      </c>
    </row>
    <row r="4267" spans="3:12" x14ac:dyDescent="0.25">
      <c r="C4267" s="9" t="s">
        <v>2980</v>
      </c>
      <c r="D4267" s="9" t="s">
        <v>2920</v>
      </c>
      <c r="F4267" s="6">
        <v>50</v>
      </c>
      <c r="G4267" s="6">
        <f t="shared" si="215"/>
        <v>50</v>
      </c>
      <c r="H4267" s="6">
        <v>50</v>
      </c>
      <c r="I4267" s="26">
        <f t="shared" si="216"/>
        <v>0</v>
      </c>
      <c r="J4267" s="7" t="str">
        <f t="shared" si="217"/>
        <v>PAGADO</v>
      </c>
    </row>
    <row r="4268" spans="3:12" x14ac:dyDescent="0.25">
      <c r="C4268" s="9" t="s">
        <v>4065</v>
      </c>
      <c r="D4268" s="9" t="s">
        <v>2018</v>
      </c>
      <c r="F4268" s="6">
        <v>12</v>
      </c>
      <c r="G4268" s="6">
        <f t="shared" si="215"/>
        <v>12</v>
      </c>
      <c r="H4268" s="6">
        <v>12</v>
      </c>
      <c r="I4268" s="26">
        <f t="shared" si="216"/>
        <v>0</v>
      </c>
      <c r="J4268" s="7" t="str">
        <f t="shared" si="217"/>
        <v>PAGADO</v>
      </c>
      <c r="K4268" s="9" t="s">
        <v>3363</v>
      </c>
    </row>
    <row r="4269" spans="3:12" x14ac:dyDescent="0.25">
      <c r="C4269" s="9" t="s">
        <v>4066</v>
      </c>
      <c r="D4269" s="9" t="s">
        <v>4050</v>
      </c>
      <c r="F4269" s="6">
        <v>60</v>
      </c>
      <c r="G4269" s="6">
        <f t="shared" si="215"/>
        <v>60</v>
      </c>
      <c r="H4269" s="6">
        <v>60</v>
      </c>
      <c r="I4269" s="26">
        <f t="shared" si="216"/>
        <v>0</v>
      </c>
      <c r="J4269" s="7" t="str">
        <f t="shared" si="217"/>
        <v>PAGADO</v>
      </c>
    </row>
    <row r="4270" spans="3:12" x14ac:dyDescent="0.25">
      <c r="C4270" s="9" t="s">
        <v>2822</v>
      </c>
      <c r="D4270" s="9" t="s">
        <v>4050</v>
      </c>
      <c r="F4270" s="6">
        <v>80</v>
      </c>
      <c r="G4270" s="6">
        <f t="shared" si="215"/>
        <v>80</v>
      </c>
      <c r="H4270" s="6">
        <v>80</v>
      </c>
      <c r="I4270" s="26">
        <f t="shared" si="216"/>
        <v>0</v>
      </c>
      <c r="J4270" s="7" t="str">
        <f t="shared" si="217"/>
        <v>PAGADO</v>
      </c>
    </row>
    <row r="4271" spans="3:12" x14ac:dyDescent="0.25">
      <c r="C4271" s="9" t="s">
        <v>4067</v>
      </c>
      <c r="D4271" s="9" t="s">
        <v>3679</v>
      </c>
      <c r="F4271" s="6">
        <v>8</v>
      </c>
      <c r="G4271" s="6">
        <f t="shared" si="215"/>
        <v>8</v>
      </c>
      <c r="H4271" s="6">
        <v>8</v>
      </c>
      <c r="I4271" s="26">
        <f t="shared" si="216"/>
        <v>0</v>
      </c>
      <c r="J4271" s="7" t="str">
        <f t="shared" si="217"/>
        <v>PAGADO</v>
      </c>
    </row>
    <row r="4272" spans="3:12" x14ac:dyDescent="0.25">
      <c r="C4272" s="9" t="s">
        <v>4068</v>
      </c>
      <c r="D4272" t="s">
        <v>3592</v>
      </c>
      <c r="F4272" s="6">
        <v>70</v>
      </c>
      <c r="G4272" s="6">
        <f t="shared" si="215"/>
        <v>70</v>
      </c>
      <c r="H4272" s="6">
        <f>50+20</f>
        <v>70</v>
      </c>
      <c r="I4272" s="26">
        <f t="shared" si="216"/>
        <v>0</v>
      </c>
      <c r="J4272" s="7" t="str">
        <f t="shared" si="217"/>
        <v>PAGADO</v>
      </c>
      <c r="K4272" s="33" t="s">
        <v>2640</v>
      </c>
    </row>
    <row r="4273" spans="3:11" x14ac:dyDescent="0.25">
      <c r="C4273" s="9" t="s">
        <v>4069</v>
      </c>
      <c r="D4273" t="s">
        <v>3592</v>
      </c>
      <c r="F4273" s="6">
        <v>12</v>
      </c>
      <c r="G4273" s="6">
        <f t="shared" si="215"/>
        <v>12</v>
      </c>
      <c r="H4273" s="6">
        <v>12</v>
      </c>
      <c r="I4273" s="26">
        <f t="shared" si="216"/>
        <v>0</v>
      </c>
      <c r="J4273" s="7" t="str">
        <f t="shared" si="217"/>
        <v>PAGADO</v>
      </c>
    </row>
    <row r="4274" spans="3:11" x14ac:dyDescent="0.25">
      <c r="C4274" s="9" t="s">
        <v>1693</v>
      </c>
      <c r="D4274" s="9" t="s">
        <v>4070</v>
      </c>
      <c r="F4274" s="6">
        <v>70</v>
      </c>
      <c r="G4274" s="6">
        <f t="shared" si="215"/>
        <v>70</v>
      </c>
      <c r="H4274" s="6">
        <v>70</v>
      </c>
      <c r="I4274" s="26">
        <f t="shared" si="216"/>
        <v>0</v>
      </c>
      <c r="J4274" s="7" t="str">
        <f t="shared" si="217"/>
        <v>PAGADO</v>
      </c>
    </row>
    <row r="4275" spans="3:11" x14ac:dyDescent="0.25">
      <c r="C4275" s="9" t="s">
        <v>4071</v>
      </c>
      <c r="D4275" s="9" t="s">
        <v>4070</v>
      </c>
      <c r="F4275" s="6">
        <v>50</v>
      </c>
      <c r="G4275" s="6">
        <f t="shared" si="215"/>
        <v>50</v>
      </c>
      <c r="H4275" s="6">
        <v>50</v>
      </c>
      <c r="I4275" s="26">
        <f t="shared" si="216"/>
        <v>0</v>
      </c>
      <c r="J4275" s="7" t="str">
        <f t="shared" si="217"/>
        <v>PAGADO</v>
      </c>
    </row>
    <row r="4276" spans="3:11" x14ac:dyDescent="0.25">
      <c r="C4276" s="9" t="s">
        <v>4072</v>
      </c>
      <c r="D4276" s="9" t="s">
        <v>3202</v>
      </c>
      <c r="F4276" s="6">
        <v>40</v>
      </c>
      <c r="G4276" s="6">
        <f t="shared" si="215"/>
        <v>40</v>
      </c>
      <c r="H4276" s="6">
        <v>40</v>
      </c>
      <c r="I4276" s="26">
        <f t="shared" si="216"/>
        <v>0</v>
      </c>
      <c r="J4276" s="7" t="str">
        <f t="shared" si="217"/>
        <v>PAGADO</v>
      </c>
    </row>
    <row r="4277" spans="3:11" x14ac:dyDescent="0.25">
      <c r="C4277" s="9" t="s">
        <v>4073</v>
      </c>
      <c r="D4277" s="9" t="s">
        <v>3202</v>
      </c>
      <c r="F4277" s="6">
        <v>110</v>
      </c>
      <c r="G4277" s="6">
        <f t="shared" si="215"/>
        <v>110</v>
      </c>
      <c r="H4277" s="6">
        <v>110</v>
      </c>
      <c r="I4277" s="26">
        <f t="shared" si="216"/>
        <v>0</v>
      </c>
      <c r="J4277" s="7" t="str">
        <f t="shared" si="217"/>
        <v>PAGADO</v>
      </c>
    </row>
    <row r="4278" spans="3:11" x14ac:dyDescent="0.25">
      <c r="C4278" s="9" t="s">
        <v>4074</v>
      </c>
      <c r="D4278" s="9" t="s">
        <v>3202</v>
      </c>
      <c r="F4278" s="6">
        <v>110</v>
      </c>
      <c r="G4278" s="6">
        <f t="shared" si="215"/>
        <v>110</v>
      </c>
      <c r="H4278" s="6">
        <v>110</v>
      </c>
      <c r="I4278" s="26">
        <f t="shared" si="216"/>
        <v>0</v>
      </c>
      <c r="J4278" s="7" t="str">
        <f t="shared" si="217"/>
        <v>PAGADO</v>
      </c>
    </row>
    <row r="4279" spans="3:11" x14ac:dyDescent="0.25">
      <c r="C4279" s="9" t="s">
        <v>2823</v>
      </c>
      <c r="D4279" s="9" t="s">
        <v>3591</v>
      </c>
      <c r="F4279" s="6">
        <v>70</v>
      </c>
      <c r="G4279" s="6">
        <f t="shared" si="215"/>
        <v>70</v>
      </c>
      <c r="H4279" s="6">
        <v>70</v>
      </c>
      <c r="I4279" s="26">
        <f t="shared" si="216"/>
        <v>0</v>
      </c>
      <c r="J4279" s="7" t="str">
        <f t="shared" si="217"/>
        <v>PAGADO</v>
      </c>
    </row>
    <row r="4280" spans="3:11" x14ac:dyDescent="0.25">
      <c r="C4280" s="9" t="s">
        <v>4075</v>
      </c>
      <c r="D4280" s="9" t="s">
        <v>1380</v>
      </c>
      <c r="F4280" s="6">
        <v>5</v>
      </c>
      <c r="G4280" s="6">
        <f t="shared" si="215"/>
        <v>5</v>
      </c>
      <c r="H4280" s="6">
        <v>5</v>
      </c>
      <c r="I4280" s="26">
        <f t="shared" si="216"/>
        <v>0</v>
      </c>
      <c r="J4280" s="7" t="str">
        <f t="shared" si="217"/>
        <v>PAGADO</v>
      </c>
    </row>
    <row r="4281" spans="3:11" x14ac:dyDescent="0.25">
      <c r="C4281" s="9" t="s">
        <v>4076</v>
      </c>
      <c r="D4281" s="9" t="s">
        <v>3479</v>
      </c>
      <c r="F4281" s="6">
        <v>20</v>
      </c>
      <c r="G4281" s="6">
        <f t="shared" si="215"/>
        <v>20</v>
      </c>
      <c r="H4281" s="6">
        <v>20</v>
      </c>
      <c r="I4281" s="26">
        <f t="shared" si="216"/>
        <v>0</v>
      </c>
      <c r="J4281" s="7" t="str">
        <f t="shared" si="217"/>
        <v>PAGADO</v>
      </c>
    </row>
    <row r="4282" spans="3:11" x14ac:dyDescent="0.25">
      <c r="C4282" s="9" t="s">
        <v>4077</v>
      </c>
      <c r="D4282" s="9" t="s">
        <v>4078</v>
      </c>
      <c r="F4282" s="6">
        <v>55</v>
      </c>
      <c r="G4282" s="6">
        <f t="shared" si="215"/>
        <v>55</v>
      </c>
      <c r="H4282" s="6">
        <v>55</v>
      </c>
      <c r="I4282" s="26">
        <f t="shared" si="216"/>
        <v>0</v>
      </c>
      <c r="J4282" s="7" t="str">
        <f t="shared" si="217"/>
        <v>PAGADO</v>
      </c>
    </row>
    <row r="4283" spans="3:11" x14ac:dyDescent="0.25">
      <c r="C4283" s="9" t="s">
        <v>4079</v>
      </c>
      <c r="D4283" s="9" t="s">
        <v>4078</v>
      </c>
      <c r="F4283" s="6">
        <v>50</v>
      </c>
      <c r="G4283" s="6">
        <f t="shared" si="215"/>
        <v>50</v>
      </c>
      <c r="H4283" s="6">
        <v>50</v>
      </c>
      <c r="I4283" s="26">
        <f t="shared" si="216"/>
        <v>0</v>
      </c>
      <c r="J4283" s="7" t="str">
        <f t="shared" si="217"/>
        <v>PAGADO</v>
      </c>
    </row>
    <row r="4284" spans="3:11" x14ac:dyDescent="0.25">
      <c r="C4284" s="9" t="s">
        <v>3746</v>
      </c>
      <c r="D4284" s="9" t="s">
        <v>4078</v>
      </c>
      <c r="F4284" s="6">
        <v>55</v>
      </c>
      <c r="G4284" s="6">
        <f t="shared" si="215"/>
        <v>55</v>
      </c>
      <c r="H4284" s="6">
        <v>55</v>
      </c>
      <c r="I4284" s="26">
        <f t="shared" si="216"/>
        <v>0</v>
      </c>
      <c r="J4284" s="7" t="str">
        <f t="shared" si="217"/>
        <v>PAGADO</v>
      </c>
    </row>
    <row r="4285" spans="3:11" x14ac:dyDescent="0.25">
      <c r="C4285" s="9" t="s">
        <v>3084</v>
      </c>
      <c r="D4285" s="9" t="s">
        <v>4078</v>
      </c>
      <c r="F4285" s="6">
        <v>100</v>
      </c>
      <c r="G4285" s="6">
        <f t="shared" si="215"/>
        <v>100</v>
      </c>
      <c r="H4285" s="6">
        <v>100</v>
      </c>
      <c r="I4285" s="26">
        <f t="shared" si="216"/>
        <v>0</v>
      </c>
      <c r="J4285" s="7" t="str">
        <f t="shared" si="217"/>
        <v>PAGADO</v>
      </c>
    </row>
    <row r="4286" spans="3:11" x14ac:dyDescent="0.25">
      <c r="C4286" s="9" t="s">
        <v>4080</v>
      </c>
      <c r="D4286" s="9" t="s">
        <v>3599</v>
      </c>
      <c r="F4286" s="6">
        <v>60</v>
      </c>
      <c r="G4286" s="6">
        <f t="shared" ref="G4286:G4349" si="218">F4286-E4286</f>
        <v>60</v>
      </c>
      <c r="H4286" s="6">
        <v>60</v>
      </c>
      <c r="I4286" s="26">
        <f t="shared" si="216"/>
        <v>0</v>
      </c>
      <c r="J4286" s="7" t="str">
        <f t="shared" si="217"/>
        <v>PAGADO</v>
      </c>
    </row>
    <row r="4287" spans="3:11" x14ac:dyDescent="0.25">
      <c r="C4287" s="9" t="s">
        <v>4081</v>
      </c>
      <c r="D4287" s="9" t="s">
        <v>4082</v>
      </c>
      <c r="F4287" s="6">
        <v>100</v>
      </c>
      <c r="G4287" s="6">
        <f t="shared" si="218"/>
        <v>100</v>
      </c>
      <c r="H4287" s="6">
        <v>100</v>
      </c>
      <c r="I4287" s="26">
        <f t="shared" si="216"/>
        <v>0</v>
      </c>
      <c r="J4287" s="7" t="str">
        <f t="shared" si="217"/>
        <v>PAGADO</v>
      </c>
    </row>
    <row r="4288" spans="3:11" x14ac:dyDescent="0.25">
      <c r="C4288" s="9" t="s">
        <v>4083</v>
      </c>
      <c r="D4288" s="9" t="s">
        <v>2018</v>
      </c>
      <c r="F4288" s="6">
        <v>180</v>
      </c>
      <c r="G4288" s="6">
        <f t="shared" si="218"/>
        <v>180</v>
      </c>
      <c r="H4288" s="6">
        <v>180</v>
      </c>
      <c r="I4288" s="26">
        <f t="shared" si="216"/>
        <v>0</v>
      </c>
      <c r="J4288" s="7" t="str">
        <f t="shared" si="217"/>
        <v>PAGADO</v>
      </c>
      <c r="K4288" s="33" t="s">
        <v>2640</v>
      </c>
    </row>
    <row r="4289" spans="3:12" x14ac:dyDescent="0.25">
      <c r="C4289" s="9" t="s">
        <v>4084</v>
      </c>
      <c r="D4289" s="9" t="s">
        <v>4085</v>
      </c>
      <c r="F4289" s="6">
        <v>65</v>
      </c>
      <c r="G4289" s="6">
        <f t="shared" si="218"/>
        <v>65</v>
      </c>
      <c r="H4289" s="6">
        <f>30+35</f>
        <v>65</v>
      </c>
      <c r="I4289" s="26">
        <f t="shared" si="216"/>
        <v>0</v>
      </c>
      <c r="J4289" s="7" t="str">
        <f t="shared" si="217"/>
        <v>PAGADO</v>
      </c>
      <c r="K4289" s="9" t="s">
        <v>3363</v>
      </c>
    </row>
    <row r="4290" spans="3:12" x14ac:dyDescent="0.25">
      <c r="C4290" s="9" t="s">
        <v>4086</v>
      </c>
      <c r="D4290" s="9" t="s">
        <v>3331</v>
      </c>
      <c r="F4290" s="6">
        <v>55</v>
      </c>
      <c r="G4290" s="6">
        <f t="shared" si="218"/>
        <v>55</v>
      </c>
      <c r="H4290" s="6">
        <f>50+5</f>
        <v>55</v>
      </c>
      <c r="I4290" s="26">
        <f t="shared" si="216"/>
        <v>0</v>
      </c>
      <c r="J4290" s="7" t="str">
        <f t="shared" si="217"/>
        <v>PAGADO</v>
      </c>
      <c r="K4290" s="33" t="s">
        <v>2714</v>
      </c>
    </row>
    <row r="4291" spans="3:12" x14ac:dyDescent="0.25">
      <c r="C4291" s="9" t="s">
        <v>4087</v>
      </c>
      <c r="D4291" s="9" t="s">
        <v>3989</v>
      </c>
      <c r="F4291" s="6">
        <v>65</v>
      </c>
      <c r="G4291" s="6">
        <f t="shared" si="218"/>
        <v>65</v>
      </c>
      <c r="H4291" s="6">
        <v>65</v>
      </c>
      <c r="I4291" s="26">
        <f t="shared" si="216"/>
        <v>0</v>
      </c>
      <c r="J4291" s="7" t="str">
        <f t="shared" si="217"/>
        <v>PAGADO</v>
      </c>
    </row>
    <row r="4292" spans="3:12" x14ac:dyDescent="0.25">
      <c r="C4292" s="9" t="s">
        <v>4088</v>
      </c>
      <c r="D4292" s="9" t="s">
        <v>3989</v>
      </c>
      <c r="F4292" s="6">
        <v>15</v>
      </c>
      <c r="G4292" s="6">
        <f t="shared" si="218"/>
        <v>15</v>
      </c>
      <c r="H4292" s="6">
        <v>15</v>
      </c>
      <c r="I4292" s="26">
        <f t="shared" si="216"/>
        <v>0</v>
      </c>
      <c r="J4292" s="7" t="str">
        <f t="shared" si="217"/>
        <v>PAGADO</v>
      </c>
    </row>
    <row r="4293" spans="3:12" x14ac:dyDescent="0.25">
      <c r="C4293" s="9" t="s">
        <v>1814</v>
      </c>
      <c r="D4293" t="s">
        <v>3831</v>
      </c>
      <c r="F4293" s="6">
        <v>80</v>
      </c>
      <c r="G4293" s="6">
        <f t="shared" si="218"/>
        <v>80</v>
      </c>
      <c r="H4293" s="6">
        <f>40+40</f>
        <v>80</v>
      </c>
      <c r="I4293" s="26">
        <f t="shared" si="216"/>
        <v>0</v>
      </c>
      <c r="J4293" s="7" t="str">
        <f t="shared" si="217"/>
        <v>PAGADO</v>
      </c>
      <c r="K4293" s="33" t="s">
        <v>2640</v>
      </c>
    </row>
    <row r="4294" spans="3:12" x14ac:dyDescent="0.25">
      <c r="C4294" s="9" t="s">
        <v>4089</v>
      </c>
      <c r="D4294" t="s">
        <v>3831</v>
      </c>
      <c r="F4294" s="6">
        <v>60</v>
      </c>
      <c r="G4294" s="6">
        <f t="shared" si="218"/>
        <v>60</v>
      </c>
      <c r="H4294" s="6">
        <v>60</v>
      </c>
      <c r="I4294" s="26">
        <f t="shared" si="216"/>
        <v>0</v>
      </c>
      <c r="J4294" s="7" t="str">
        <f t="shared" si="217"/>
        <v>PAGADO</v>
      </c>
      <c r="K4294" s="9" t="s">
        <v>2714</v>
      </c>
    </row>
    <row r="4295" spans="3:12" x14ac:dyDescent="0.25">
      <c r="C4295" s="9" t="s">
        <v>3661</v>
      </c>
      <c r="D4295" s="9" t="s">
        <v>4090</v>
      </c>
      <c r="F4295" s="6">
        <v>80</v>
      </c>
      <c r="G4295" s="6">
        <f t="shared" si="218"/>
        <v>80</v>
      </c>
      <c r="H4295" s="6">
        <v>80</v>
      </c>
      <c r="I4295" s="26">
        <f t="shared" si="216"/>
        <v>0</v>
      </c>
      <c r="J4295" s="7" t="str">
        <f t="shared" si="217"/>
        <v>PAGADO</v>
      </c>
    </row>
    <row r="4296" spans="3:12" x14ac:dyDescent="0.25">
      <c r="C4296" s="9" t="s">
        <v>1798</v>
      </c>
      <c r="D4296" s="9" t="s">
        <v>4090</v>
      </c>
      <c r="F4296" s="6">
        <v>70</v>
      </c>
      <c r="G4296" s="6">
        <f t="shared" si="218"/>
        <v>70</v>
      </c>
      <c r="H4296" s="6">
        <v>70</v>
      </c>
      <c r="I4296" s="26">
        <f t="shared" si="216"/>
        <v>0</v>
      </c>
      <c r="J4296" s="7" t="str">
        <f t="shared" si="217"/>
        <v>PAGADO</v>
      </c>
    </row>
    <row r="4297" spans="3:12" x14ac:dyDescent="0.25">
      <c r="C4297" s="9" t="s">
        <v>3622</v>
      </c>
      <c r="D4297" s="9" t="s">
        <v>2360</v>
      </c>
      <c r="F4297" s="6">
        <v>40</v>
      </c>
      <c r="G4297" s="6">
        <f t="shared" si="218"/>
        <v>40</v>
      </c>
      <c r="H4297" s="6">
        <v>40</v>
      </c>
      <c r="I4297" s="26">
        <f t="shared" si="216"/>
        <v>0</v>
      </c>
      <c r="J4297" s="7" t="str">
        <f t="shared" si="217"/>
        <v>PAGADO</v>
      </c>
    </row>
    <row r="4298" spans="3:12" x14ac:dyDescent="0.25">
      <c r="C4298" s="28" t="s">
        <v>4091</v>
      </c>
      <c r="D4298" s="28" t="s">
        <v>1309</v>
      </c>
      <c r="E4298" s="29"/>
      <c r="F4298" s="30">
        <v>-55</v>
      </c>
      <c r="G4298" s="30">
        <f t="shared" si="218"/>
        <v>-55</v>
      </c>
      <c r="H4298" s="30">
        <v>-55</v>
      </c>
      <c r="I4298" s="31">
        <v>0</v>
      </c>
      <c r="J4298" s="32" t="str">
        <f t="shared" si="217"/>
        <v>PAGADO</v>
      </c>
      <c r="K4298" s="28" t="s">
        <v>4092</v>
      </c>
    </row>
    <row r="4299" spans="3:12" x14ac:dyDescent="0.25">
      <c r="C4299" s="9" t="s">
        <v>4093</v>
      </c>
      <c r="D4299" s="9" t="s">
        <v>31</v>
      </c>
      <c r="F4299" s="6">
        <v>12</v>
      </c>
      <c r="G4299" s="6">
        <f t="shared" si="218"/>
        <v>12</v>
      </c>
      <c r="H4299" s="6">
        <v>12</v>
      </c>
      <c r="I4299" s="26">
        <f t="shared" ref="I4299:I4362" si="219">F4299-H4299</f>
        <v>0</v>
      </c>
      <c r="J4299" s="7" t="str">
        <f t="shared" si="217"/>
        <v>PAGADO</v>
      </c>
      <c r="K4299" t="s">
        <v>4094</v>
      </c>
    </row>
    <row r="4300" spans="3:12" x14ac:dyDescent="0.25">
      <c r="C4300" s="9" t="s">
        <v>4095</v>
      </c>
      <c r="D4300" s="9" t="s">
        <v>31</v>
      </c>
      <c r="F4300" s="6">
        <v>12</v>
      </c>
      <c r="G4300" s="6">
        <f t="shared" si="218"/>
        <v>12</v>
      </c>
      <c r="H4300" s="6">
        <v>12</v>
      </c>
      <c r="I4300" s="26">
        <f t="shared" si="219"/>
        <v>0</v>
      </c>
      <c r="J4300" s="7" t="str">
        <f t="shared" si="217"/>
        <v>PAGADO</v>
      </c>
      <c r="K4300" t="s">
        <v>4094</v>
      </c>
    </row>
    <row r="4301" spans="3:12" x14ac:dyDescent="0.25">
      <c r="C4301" s="9" t="s">
        <v>4096</v>
      </c>
      <c r="D4301" s="9" t="s">
        <v>1425</v>
      </c>
      <c r="F4301" s="6">
        <v>15</v>
      </c>
      <c r="G4301" s="6">
        <f t="shared" si="218"/>
        <v>15</v>
      </c>
      <c r="H4301" s="6">
        <v>15</v>
      </c>
      <c r="I4301" s="26">
        <f t="shared" si="219"/>
        <v>0</v>
      </c>
      <c r="J4301" s="7" t="str">
        <f t="shared" si="217"/>
        <v>PAGADO</v>
      </c>
      <c r="K4301" s="9"/>
    </row>
    <row r="4302" spans="3:12" x14ac:dyDescent="0.25">
      <c r="C4302" s="9" t="s">
        <v>4097</v>
      </c>
      <c r="D4302" s="9" t="s">
        <v>1425</v>
      </c>
      <c r="F4302" s="6">
        <v>5</v>
      </c>
      <c r="G4302" s="6">
        <f t="shared" si="218"/>
        <v>5</v>
      </c>
      <c r="H4302" s="6">
        <v>5</v>
      </c>
      <c r="I4302" s="26">
        <f t="shared" si="219"/>
        <v>0</v>
      </c>
      <c r="J4302" s="7" t="str">
        <f t="shared" si="217"/>
        <v>PAGADO</v>
      </c>
      <c r="K4302" s="9"/>
    </row>
    <row r="4303" spans="3:12" x14ac:dyDescent="0.25">
      <c r="C4303" s="9" t="s">
        <v>4098</v>
      </c>
      <c r="D4303" s="9" t="s">
        <v>1425</v>
      </c>
      <c r="F4303" s="6">
        <v>12</v>
      </c>
      <c r="G4303" s="6">
        <f t="shared" si="218"/>
        <v>12</v>
      </c>
      <c r="H4303" s="6">
        <v>12</v>
      </c>
      <c r="I4303" s="26">
        <f t="shared" si="219"/>
        <v>0</v>
      </c>
      <c r="J4303" s="7" t="str">
        <f t="shared" si="217"/>
        <v>PAGADO</v>
      </c>
      <c r="K4303" s="9"/>
    </row>
    <row r="4304" spans="3:12" x14ac:dyDescent="0.25">
      <c r="C4304" s="9" t="s">
        <v>4099</v>
      </c>
      <c r="D4304" s="9" t="s">
        <v>1145</v>
      </c>
      <c r="F4304" s="6">
        <v>12</v>
      </c>
      <c r="G4304" s="6">
        <f t="shared" si="218"/>
        <v>12</v>
      </c>
      <c r="H4304" s="6">
        <v>12</v>
      </c>
      <c r="I4304" s="26">
        <f t="shared" si="219"/>
        <v>0</v>
      </c>
      <c r="J4304" s="7" t="str">
        <f t="shared" si="217"/>
        <v>PAGADO</v>
      </c>
      <c r="K4304" t="s">
        <v>3363</v>
      </c>
      <c r="L4304" s="9" t="s">
        <v>4100</v>
      </c>
    </row>
    <row r="4305" spans="3:11" x14ac:dyDescent="0.25">
      <c r="C4305" s="9" t="s">
        <v>1120</v>
      </c>
      <c r="D4305" s="9" t="s">
        <v>3198</v>
      </c>
      <c r="F4305" s="6">
        <v>70</v>
      </c>
      <c r="G4305" s="6">
        <f t="shared" si="218"/>
        <v>70</v>
      </c>
      <c r="H4305" s="6">
        <v>70</v>
      </c>
      <c r="I4305" s="26">
        <f t="shared" si="219"/>
        <v>0</v>
      </c>
      <c r="J4305" s="7" t="str">
        <f t="shared" si="217"/>
        <v>PAGADO</v>
      </c>
    </row>
    <row r="4306" spans="3:11" x14ac:dyDescent="0.25">
      <c r="C4306" s="9" t="s">
        <v>2546</v>
      </c>
      <c r="D4306" s="9" t="s">
        <v>3444</v>
      </c>
      <c r="F4306" s="26">
        <v>60</v>
      </c>
      <c r="G4306" s="26">
        <f t="shared" si="218"/>
        <v>60</v>
      </c>
      <c r="H4306" s="26">
        <v>60</v>
      </c>
      <c r="I4306" s="26">
        <f t="shared" si="219"/>
        <v>0</v>
      </c>
      <c r="J4306" s="7" t="str">
        <f t="shared" si="217"/>
        <v>PAGADO</v>
      </c>
      <c r="K4306" s="33" t="s">
        <v>2639</v>
      </c>
    </row>
    <row r="4307" spans="3:11" x14ac:dyDescent="0.25">
      <c r="C4307" s="9" t="s">
        <v>4101</v>
      </c>
      <c r="D4307" s="9" t="s">
        <v>3370</v>
      </c>
      <c r="F4307" s="6">
        <v>70</v>
      </c>
      <c r="G4307" s="6">
        <f t="shared" si="218"/>
        <v>70</v>
      </c>
      <c r="H4307" s="6">
        <f>35+35</f>
        <v>70</v>
      </c>
      <c r="I4307" s="26">
        <f t="shared" si="219"/>
        <v>0</v>
      </c>
      <c r="J4307" s="7" t="str">
        <f t="shared" si="217"/>
        <v>PAGADO</v>
      </c>
      <c r="K4307" s="33" t="s">
        <v>2640</v>
      </c>
    </row>
    <row r="4308" spans="3:11" x14ac:dyDescent="0.25">
      <c r="C4308" s="9" t="s">
        <v>3159</v>
      </c>
      <c r="D4308" s="9" t="s">
        <v>4050</v>
      </c>
      <c r="F4308" s="6">
        <v>70</v>
      </c>
      <c r="G4308" s="6">
        <f t="shared" si="218"/>
        <v>70</v>
      </c>
      <c r="H4308" s="6">
        <v>70</v>
      </c>
      <c r="I4308" s="26">
        <f t="shared" si="219"/>
        <v>0</v>
      </c>
      <c r="J4308" s="7" t="str">
        <f t="shared" si="217"/>
        <v>PAGADO</v>
      </c>
      <c r="K4308" s="33" t="s">
        <v>2640</v>
      </c>
    </row>
    <row r="4309" spans="3:11" x14ac:dyDescent="0.25">
      <c r="C4309" s="9" t="s">
        <v>1262</v>
      </c>
      <c r="D4309" s="9" t="s">
        <v>4050</v>
      </c>
      <c r="F4309" s="6">
        <v>80</v>
      </c>
      <c r="G4309" s="6">
        <f t="shared" si="218"/>
        <v>80</v>
      </c>
      <c r="H4309" s="6">
        <v>80</v>
      </c>
      <c r="I4309" s="26">
        <f t="shared" si="219"/>
        <v>0</v>
      </c>
      <c r="J4309" s="7" t="str">
        <f t="shared" si="217"/>
        <v>PAGADO</v>
      </c>
      <c r="K4309" s="33" t="s">
        <v>2640</v>
      </c>
    </row>
    <row r="4310" spans="3:11" x14ac:dyDescent="0.25">
      <c r="C4310" s="9" t="s">
        <v>3025</v>
      </c>
      <c r="D4310" s="9" t="s">
        <v>3612</v>
      </c>
      <c r="F4310" s="6">
        <v>55</v>
      </c>
      <c r="G4310" s="6">
        <f t="shared" si="218"/>
        <v>55</v>
      </c>
      <c r="H4310" s="6">
        <v>55</v>
      </c>
      <c r="I4310" s="26">
        <f t="shared" si="219"/>
        <v>0</v>
      </c>
      <c r="J4310" s="7" t="str">
        <f t="shared" si="217"/>
        <v>PAGADO</v>
      </c>
    </row>
    <row r="4311" spans="3:11" x14ac:dyDescent="0.25">
      <c r="C4311" t="s">
        <v>4102</v>
      </c>
      <c r="D4311" s="9" t="s">
        <v>3587</v>
      </c>
      <c r="F4311" s="6">
        <v>80</v>
      </c>
      <c r="G4311" s="6">
        <f t="shared" si="218"/>
        <v>80</v>
      </c>
      <c r="H4311" s="6">
        <f>40+40</f>
        <v>80</v>
      </c>
      <c r="I4311" s="26">
        <f t="shared" si="219"/>
        <v>0</v>
      </c>
      <c r="J4311" s="7" t="str">
        <f t="shared" si="217"/>
        <v>PAGADO</v>
      </c>
      <c r="K4311" s="33" t="s">
        <v>2640</v>
      </c>
    </row>
    <row r="4312" spans="3:11" x14ac:dyDescent="0.25">
      <c r="C4312" t="s">
        <v>4103</v>
      </c>
      <c r="D4312" t="s">
        <v>2920</v>
      </c>
      <c r="F4312" s="6">
        <v>60</v>
      </c>
      <c r="G4312" s="6">
        <f t="shared" si="218"/>
        <v>60</v>
      </c>
      <c r="H4312" s="6">
        <v>60</v>
      </c>
      <c r="I4312" s="26">
        <f t="shared" si="219"/>
        <v>0</v>
      </c>
      <c r="J4312" s="7" t="str">
        <f t="shared" si="217"/>
        <v>PAGADO</v>
      </c>
    </row>
    <row r="4313" spans="3:11" x14ac:dyDescent="0.25">
      <c r="C4313" s="9" t="s">
        <v>4104</v>
      </c>
      <c r="D4313" s="9" t="s">
        <v>496</v>
      </c>
      <c r="F4313" s="6">
        <v>50</v>
      </c>
      <c r="G4313" s="6">
        <f t="shared" si="218"/>
        <v>50</v>
      </c>
      <c r="H4313" s="6">
        <v>50</v>
      </c>
      <c r="I4313" s="26">
        <f t="shared" si="219"/>
        <v>0</v>
      </c>
      <c r="J4313" s="7" t="str">
        <f t="shared" si="217"/>
        <v>PAGADO</v>
      </c>
    </row>
    <row r="4314" spans="3:11" x14ac:dyDescent="0.25">
      <c r="C4314" s="9" t="s">
        <v>4105</v>
      </c>
      <c r="D4314" s="9" t="s">
        <v>496</v>
      </c>
      <c r="F4314" s="6">
        <v>75</v>
      </c>
      <c r="G4314" s="6">
        <f t="shared" si="218"/>
        <v>75</v>
      </c>
      <c r="H4314" s="6">
        <v>75</v>
      </c>
      <c r="I4314" s="26">
        <f t="shared" si="219"/>
        <v>0</v>
      </c>
      <c r="J4314" s="7" t="str">
        <f t="shared" si="217"/>
        <v>PAGADO</v>
      </c>
    </row>
    <row r="4315" spans="3:11" x14ac:dyDescent="0.25">
      <c r="C4315" s="9" t="s">
        <v>4106</v>
      </c>
      <c r="D4315" s="9" t="s">
        <v>496</v>
      </c>
      <c r="F4315" s="6">
        <v>20</v>
      </c>
      <c r="G4315" s="6">
        <f t="shared" si="218"/>
        <v>20</v>
      </c>
      <c r="H4315" s="6">
        <v>20</v>
      </c>
      <c r="I4315" s="26">
        <f t="shared" si="219"/>
        <v>0</v>
      </c>
      <c r="J4315" s="7" t="str">
        <f t="shared" si="217"/>
        <v>PAGADO</v>
      </c>
    </row>
    <row r="4316" spans="3:11" x14ac:dyDescent="0.25">
      <c r="C4316" s="9" t="s">
        <v>2539</v>
      </c>
      <c r="D4316" s="9" t="s">
        <v>4107</v>
      </c>
      <c r="F4316" s="6">
        <v>100</v>
      </c>
      <c r="G4316" s="6">
        <f t="shared" si="218"/>
        <v>100</v>
      </c>
      <c r="H4316" s="6">
        <v>100</v>
      </c>
      <c r="I4316" s="26">
        <f t="shared" si="219"/>
        <v>0</v>
      </c>
      <c r="J4316" s="7" t="str">
        <f t="shared" si="217"/>
        <v>PAGADO</v>
      </c>
      <c r="K4316" t="s">
        <v>4108</v>
      </c>
    </row>
    <row r="4317" spans="3:11" x14ac:dyDescent="0.25">
      <c r="C4317" t="s">
        <v>4109</v>
      </c>
      <c r="D4317" s="9" t="s">
        <v>3558</v>
      </c>
      <c r="F4317" s="6">
        <v>60</v>
      </c>
      <c r="G4317" s="6">
        <f t="shared" si="218"/>
        <v>60</v>
      </c>
      <c r="H4317" s="6">
        <v>60</v>
      </c>
      <c r="I4317" s="26">
        <f t="shared" si="219"/>
        <v>0</v>
      </c>
      <c r="J4317" s="7" t="str">
        <f t="shared" si="217"/>
        <v>PAGADO</v>
      </c>
    </row>
    <row r="4318" spans="3:11" x14ac:dyDescent="0.25">
      <c r="C4318" t="s">
        <v>4110</v>
      </c>
      <c r="D4318" s="9" t="s">
        <v>3865</v>
      </c>
      <c r="F4318" s="6">
        <v>75</v>
      </c>
      <c r="G4318" s="6">
        <f t="shared" si="218"/>
        <v>75</v>
      </c>
      <c r="H4318" s="6">
        <v>75</v>
      </c>
      <c r="I4318" s="26">
        <f t="shared" si="219"/>
        <v>0</v>
      </c>
      <c r="J4318" s="7" t="str">
        <f t="shared" si="217"/>
        <v>PAGADO</v>
      </c>
    </row>
    <row r="4319" spans="3:11" x14ac:dyDescent="0.25">
      <c r="C4319" t="s">
        <v>2077</v>
      </c>
      <c r="D4319" s="9" t="s">
        <v>4111</v>
      </c>
      <c r="F4319" s="6">
        <v>90</v>
      </c>
      <c r="G4319" s="6">
        <f t="shared" si="218"/>
        <v>90</v>
      </c>
      <c r="H4319" s="6">
        <v>90</v>
      </c>
      <c r="I4319" s="26">
        <f t="shared" si="219"/>
        <v>0</v>
      </c>
      <c r="J4319" s="7" t="str">
        <f t="shared" si="217"/>
        <v>PAGADO</v>
      </c>
    </row>
    <row r="4320" spans="3:11" x14ac:dyDescent="0.25">
      <c r="C4320" t="s">
        <v>4112</v>
      </c>
      <c r="D4320" s="9" t="s">
        <v>4111</v>
      </c>
      <c r="F4320" s="6">
        <v>90</v>
      </c>
      <c r="G4320" s="6">
        <f t="shared" si="218"/>
        <v>90</v>
      </c>
      <c r="H4320" s="6">
        <v>90</v>
      </c>
      <c r="I4320" s="26">
        <f t="shared" si="219"/>
        <v>0</v>
      </c>
      <c r="J4320" s="7" t="str">
        <f t="shared" si="217"/>
        <v>PAGADO</v>
      </c>
    </row>
    <row r="4321" spans="3:11" x14ac:dyDescent="0.25">
      <c r="C4321" s="9" t="s">
        <v>4113</v>
      </c>
      <c r="D4321" s="9" t="s">
        <v>2278</v>
      </c>
      <c r="F4321" s="6">
        <v>60</v>
      </c>
      <c r="G4321" s="6">
        <f t="shared" si="218"/>
        <v>60</v>
      </c>
      <c r="H4321" s="6">
        <v>60</v>
      </c>
      <c r="I4321" s="26">
        <f t="shared" si="219"/>
        <v>0</v>
      </c>
      <c r="J4321" s="7" t="str">
        <f t="shared" si="217"/>
        <v>PAGADO</v>
      </c>
      <c r="K4321" s="33" t="s">
        <v>2640</v>
      </c>
    </row>
    <row r="4322" spans="3:11" x14ac:dyDescent="0.25">
      <c r="C4322" s="9" t="s">
        <v>4114</v>
      </c>
      <c r="D4322" s="9" t="s">
        <v>2278</v>
      </c>
      <c r="F4322" s="6">
        <v>60</v>
      </c>
      <c r="G4322" s="6">
        <f t="shared" si="218"/>
        <v>60</v>
      </c>
      <c r="H4322" s="6">
        <v>60</v>
      </c>
      <c r="I4322" s="26">
        <f t="shared" si="219"/>
        <v>0</v>
      </c>
      <c r="J4322" s="7" t="str">
        <f t="shared" si="217"/>
        <v>PAGADO</v>
      </c>
      <c r="K4322" s="33" t="s">
        <v>2640</v>
      </c>
    </row>
    <row r="4323" spans="3:11" x14ac:dyDescent="0.25">
      <c r="C4323" s="9" t="s">
        <v>4115</v>
      </c>
      <c r="D4323" s="9" t="s">
        <v>2278</v>
      </c>
      <c r="F4323" s="6">
        <v>60</v>
      </c>
      <c r="G4323" s="6">
        <f t="shared" si="218"/>
        <v>60</v>
      </c>
      <c r="H4323" s="6">
        <v>60</v>
      </c>
      <c r="I4323" s="26">
        <f t="shared" si="219"/>
        <v>0</v>
      </c>
      <c r="J4323" s="7" t="str">
        <f t="shared" ref="J4323:J4386" si="220">IF(I4323&gt;0,"DEBE","PAGADO")</f>
        <v>PAGADO</v>
      </c>
      <c r="K4323" s="33" t="s">
        <v>2640</v>
      </c>
    </row>
    <row r="4324" spans="3:11" x14ac:dyDescent="0.25">
      <c r="C4324" s="9" t="s">
        <v>4116</v>
      </c>
      <c r="D4324" s="9" t="s">
        <v>4117</v>
      </c>
      <c r="F4324" s="6">
        <v>250</v>
      </c>
      <c r="G4324" s="6">
        <f t="shared" si="218"/>
        <v>250</v>
      </c>
      <c r="H4324" s="6">
        <v>250</v>
      </c>
      <c r="I4324" s="26">
        <f t="shared" si="219"/>
        <v>0</v>
      </c>
      <c r="J4324" s="7" t="str">
        <f t="shared" si="220"/>
        <v>PAGADO</v>
      </c>
    </row>
    <row r="4325" spans="3:11" x14ac:dyDescent="0.25">
      <c r="C4325" s="9" t="s">
        <v>2726</v>
      </c>
      <c r="D4325" s="9" t="s">
        <v>4118</v>
      </c>
      <c r="F4325" s="6">
        <v>70</v>
      </c>
      <c r="G4325" s="6">
        <f t="shared" si="218"/>
        <v>70</v>
      </c>
      <c r="H4325" s="6">
        <v>70</v>
      </c>
      <c r="I4325" s="26">
        <f t="shared" si="219"/>
        <v>0</v>
      </c>
      <c r="J4325" s="7" t="str">
        <f t="shared" si="220"/>
        <v>PAGADO</v>
      </c>
    </row>
    <row r="4326" spans="3:11" x14ac:dyDescent="0.25">
      <c r="C4326" s="9" t="s">
        <v>4119</v>
      </c>
      <c r="D4326" s="9" t="s">
        <v>3989</v>
      </c>
      <c r="F4326" s="6">
        <v>60</v>
      </c>
      <c r="G4326" s="6">
        <f t="shared" si="218"/>
        <v>60</v>
      </c>
      <c r="H4326" s="6">
        <f>30+30</f>
        <v>60</v>
      </c>
      <c r="I4326" s="26">
        <f t="shared" si="219"/>
        <v>0</v>
      </c>
      <c r="J4326" s="7" t="str">
        <f t="shared" si="220"/>
        <v>PAGADO</v>
      </c>
      <c r="K4326" s="33" t="s">
        <v>2639</v>
      </c>
    </row>
    <row r="4327" spans="3:11" x14ac:dyDescent="0.25">
      <c r="C4327" s="9" t="s">
        <v>414</v>
      </c>
      <c r="D4327" s="9" t="s">
        <v>3989</v>
      </c>
      <c r="F4327" s="6">
        <v>25</v>
      </c>
      <c r="G4327" s="6">
        <f t="shared" si="218"/>
        <v>25</v>
      </c>
      <c r="H4327" s="6">
        <f>12.5+12.5</f>
        <v>25</v>
      </c>
      <c r="I4327" s="26">
        <f t="shared" si="219"/>
        <v>0</v>
      </c>
      <c r="J4327" s="7" t="str">
        <f t="shared" si="220"/>
        <v>PAGADO</v>
      </c>
      <c r="K4327" s="33" t="s">
        <v>2639</v>
      </c>
    </row>
    <row r="4328" spans="3:11" x14ac:dyDescent="0.25">
      <c r="C4328" s="9" t="s">
        <v>2301</v>
      </c>
      <c r="D4328" s="9" t="s">
        <v>4120</v>
      </c>
      <c r="F4328" s="6">
        <v>50</v>
      </c>
      <c r="G4328" s="6">
        <f t="shared" si="218"/>
        <v>50</v>
      </c>
      <c r="H4328" s="6">
        <v>50</v>
      </c>
      <c r="I4328" s="26">
        <f t="shared" si="219"/>
        <v>0</v>
      </c>
      <c r="J4328" s="7" t="str">
        <f t="shared" si="220"/>
        <v>PAGADO</v>
      </c>
    </row>
    <row r="4329" spans="3:11" x14ac:dyDescent="0.25">
      <c r="C4329" t="s">
        <v>4121</v>
      </c>
      <c r="D4329" s="9" t="s">
        <v>3836</v>
      </c>
      <c r="F4329" s="6">
        <v>90</v>
      </c>
      <c r="G4329" s="6">
        <f t="shared" si="218"/>
        <v>90</v>
      </c>
      <c r="H4329" s="6">
        <v>90</v>
      </c>
      <c r="I4329" s="26">
        <f t="shared" si="219"/>
        <v>0</v>
      </c>
      <c r="J4329" s="7" t="str">
        <f t="shared" si="220"/>
        <v>PAGADO</v>
      </c>
    </row>
    <row r="4330" spans="3:11" x14ac:dyDescent="0.25">
      <c r="C4330" t="s">
        <v>4122</v>
      </c>
      <c r="D4330" s="9" t="s">
        <v>2548</v>
      </c>
      <c r="F4330" s="6">
        <v>250</v>
      </c>
      <c r="G4330" s="6">
        <f t="shared" si="218"/>
        <v>250</v>
      </c>
      <c r="H4330" s="6">
        <v>250</v>
      </c>
      <c r="I4330" s="26">
        <f t="shared" si="219"/>
        <v>0</v>
      </c>
      <c r="J4330" s="7" t="str">
        <f t="shared" si="220"/>
        <v>PAGADO</v>
      </c>
      <c r="K4330" t="s">
        <v>570</v>
      </c>
    </row>
    <row r="4331" spans="3:11" x14ac:dyDescent="0.25">
      <c r="C4331" s="9" t="s">
        <v>4123</v>
      </c>
      <c r="D4331" s="9" t="s">
        <v>3444</v>
      </c>
      <c r="F4331" s="6">
        <v>70</v>
      </c>
      <c r="G4331" s="6">
        <f t="shared" si="218"/>
        <v>70</v>
      </c>
      <c r="H4331" s="6">
        <f>35+35</f>
        <v>70</v>
      </c>
      <c r="I4331" s="26">
        <f t="shared" si="219"/>
        <v>0</v>
      </c>
      <c r="J4331" s="7" t="str">
        <f t="shared" si="220"/>
        <v>PAGADO</v>
      </c>
    </row>
    <row r="4332" spans="3:11" x14ac:dyDescent="0.25">
      <c r="C4332" s="9" t="s">
        <v>4124</v>
      </c>
      <c r="D4332" s="9" t="s">
        <v>3989</v>
      </c>
      <c r="F4332" s="6">
        <v>65</v>
      </c>
      <c r="G4332" s="6">
        <f t="shared" si="218"/>
        <v>65</v>
      </c>
      <c r="H4332" s="6">
        <v>65</v>
      </c>
      <c r="I4332" s="26">
        <f t="shared" si="219"/>
        <v>0</v>
      </c>
      <c r="J4332" s="7" t="str">
        <f t="shared" si="220"/>
        <v>PAGADO</v>
      </c>
      <c r="K4332" s="33" t="s">
        <v>2640</v>
      </c>
    </row>
    <row r="4333" spans="3:11" x14ac:dyDescent="0.25">
      <c r="C4333" s="9" t="s">
        <v>745</v>
      </c>
      <c r="D4333" s="9" t="s">
        <v>3989</v>
      </c>
      <c r="F4333" s="6">
        <v>70</v>
      </c>
      <c r="G4333" s="6">
        <f t="shared" si="218"/>
        <v>70</v>
      </c>
      <c r="H4333" s="6">
        <v>70</v>
      </c>
      <c r="I4333" s="26">
        <f t="shared" si="219"/>
        <v>0</v>
      </c>
      <c r="J4333" s="7" t="str">
        <f t="shared" si="220"/>
        <v>PAGADO</v>
      </c>
      <c r="K4333" s="33" t="s">
        <v>2640</v>
      </c>
    </row>
    <row r="4334" spans="3:11" x14ac:dyDescent="0.25">
      <c r="C4334" t="s">
        <v>4125</v>
      </c>
      <c r="D4334" t="s">
        <v>4030</v>
      </c>
      <c r="F4334" s="6">
        <v>60</v>
      </c>
      <c r="G4334" s="6">
        <f t="shared" si="218"/>
        <v>60</v>
      </c>
      <c r="H4334" s="6">
        <f>30+30</f>
        <v>60</v>
      </c>
      <c r="I4334" s="26">
        <f t="shared" si="219"/>
        <v>0</v>
      </c>
      <c r="J4334" s="7" t="str">
        <f t="shared" si="220"/>
        <v>PAGADO</v>
      </c>
      <c r="K4334" s="33" t="s">
        <v>2640</v>
      </c>
    </row>
    <row r="4335" spans="3:11" x14ac:dyDescent="0.25">
      <c r="C4335" t="s">
        <v>2378</v>
      </c>
      <c r="D4335" t="s">
        <v>4126</v>
      </c>
      <c r="F4335" s="6">
        <v>60</v>
      </c>
      <c r="G4335" s="6">
        <f t="shared" si="218"/>
        <v>60</v>
      </c>
      <c r="H4335" s="6">
        <v>60</v>
      </c>
      <c r="I4335" s="26">
        <f t="shared" si="219"/>
        <v>0</v>
      </c>
      <c r="J4335" s="7" t="str">
        <f t="shared" si="220"/>
        <v>PAGADO</v>
      </c>
    </row>
    <row r="4336" spans="3:11" x14ac:dyDescent="0.25">
      <c r="C4336" s="9" t="s">
        <v>4127</v>
      </c>
      <c r="D4336" s="9" t="s">
        <v>2906</v>
      </c>
      <c r="F4336" s="6">
        <v>70</v>
      </c>
      <c r="G4336" s="6">
        <f t="shared" si="218"/>
        <v>70</v>
      </c>
      <c r="H4336" s="6">
        <v>70</v>
      </c>
      <c r="I4336" s="26">
        <f t="shared" si="219"/>
        <v>0</v>
      </c>
      <c r="J4336" s="7" t="str">
        <f t="shared" si="220"/>
        <v>PAGADO</v>
      </c>
      <c r="K4336" s="33" t="s">
        <v>1815</v>
      </c>
    </row>
    <row r="4337" spans="3:11" x14ac:dyDescent="0.25">
      <c r="C4337" s="9" t="s">
        <v>4128</v>
      </c>
      <c r="D4337" s="9" t="s">
        <v>3989</v>
      </c>
      <c r="F4337" s="6">
        <v>150</v>
      </c>
      <c r="G4337" s="6">
        <f t="shared" si="218"/>
        <v>150</v>
      </c>
      <c r="H4337" s="6">
        <v>150</v>
      </c>
      <c r="I4337" s="26">
        <f t="shared" si="219"/>
        <v>0</v>
      </c>
      <c r="J4337" s="7" t="str">
        <f t="shared" si="220"/>
        <v>PAGADO</v>
      </c>
    </row>
    <row r="4338" spans="3:11" x14ac:dyDescent="0.25">
      <c r="C4338" s="9" t="s">
        <v>4129</v>
      </c>
      <c r="D4338" s="9" t="s">
        <v>3331</v>
      </c>
      <c r="F4338" s="6">
        <v>80</v>
      </c>
      <c r="G4338" s="6">
        <f t="shared" si="218"/>
        <v>80</v>
      </c>
      <c r="H4338" s="6">
        <f>40+40</f>
        <v>80</v>
      </c>
      <c r="I4338" s="26">
        <f t="shared" si="219"/>
        <v>0</v>
      </c>
      <c r="J4338" s="7" t="str">
        <f t="shared" si="220"/>
        <v>PAGADO</v>
      </c>
      <c r="K4338" s="33" t="s">
        <v>1815</v>
      </c>
    </row>
    <row r="4339" spans="3:11" x14ac:dyDescent="0.25">
      <c r="C4339" s="9" t="s">
        <v>4130</v>
      </c>
      <c r="D4339" s="9" t="s">
        <v>2548</v>
      </c>
      <c r="F4339" s="6">
        <v>80</v>
      </c>
      <c r="G4339" s="6">
        <f t="shared" si="218"/>
        <v>80</v>
      </c>
      <c r="H4339" s="6">
        <f>50+30</f>
        <v>80</v>
      </c>
      <c r="I4339" s="26">
        <f t="shared" si="219"/>
        <v>0</v>
      </c>
      <c r="J4339" s="7" t="str">
        <f t="shared" si="220"/>
        <v>PAGADO</v>
      </c>
    </row>
    <row r="4340" spans="3:11" x14ac:dyDescent="0.25">
      <c r="C4340" s="9" t="s">
        <v>2822</v>
      </c>
      <c r="D4340" s="9" t="s">
        <v>3076</v>
      </c>
      <c r="F4340" s="6">
        <v>75</v>
      </c>
      <c r="G4340" s="6">
        <f t="shared" si="218"/>
        <v>75</v>
      </c>
      <c r="H4340" s="6">
        <v>75</v>
      </c>
      <c r="I4340" s="26">
        <f t="shared" si="219"/>
        <v>0</v>
      </c>
      <c r="J4340" s="7" t="str">
        <f t="shared" si="220"/>
        <v>PAGADO</v>
      </c>
    </row>
    <row r="4341" spans="3:11" x14ac:dyDescent="0.25">
      <c r="C4341" s="9" t="s">
        <v>3361</v>
      </c>
      <c r="D4341" s="9" t="s">
        <v>3076</v>
      </c>
      <c r="F4341" s="6">
        <v>75</v>
      </c>
      <c r="G4341" s="6">
        <f t="shared" si="218"/>
        <v>75</v>
      </c>
      <c r="H4341" s="6">
        <v>75</v>
      </c>
      <c r="I4341" s="26">
        <f t="shared" si="219"/>
        <v>0</v>
      </c>
      <c r="J4341" s="7" t="str">
        <f t="shared" si="220"/>
        <v>PAGADO</v>
      </c>
    </row>
    <row r="4342" spans="3:11" x14ac:dyDescent="0.25">
      <c r="C4342" s="9" t="s">
        <v>4131</v>
      </c>
      <c r="D4342" s="9" t="s">
        <v>3599</v>
      </c>
      <c r="F4342" s="6">
        <v>65</v>
      </c>
      <c r="G4342" s="6">
        <f t="shared" si="218"/>
        <v>65</v>
      </c>
      <c r="H4342" s="6">
        <v>65</v>
      </c>
      <c r="I4342" s="26">
        <f t="shared" si="219"/>
        <v>0</v>
      </c>
      <c r="J4342" s="7" t="str">
        <f t="shared" si="220"/>
        <v>PAGADO</v>
      </c>
    </row>
    <row r="4343" spans="3:11" x14ac:dyDescent="0.25">
      <c r="C4343" s="9" t="s">
        <v>2617</v>
      </c>
      <c r="D4343" s="9" t="s">
        <v>3599</v>
      </c>
      <c r="F4343" s="6">
        <v>65</v>
      </c>
      <c r="G4343" s="6">
        <f t="shared" si="218"/>
        <v>65</v>
      </c>
      <c r="H4343" s="6">
        <v>65</v>
      </c>
      <c r="I4343" s="26">
        <f t="shared" si="219"/>
        <v>0</v>
      </c>
      <c r="J4343" s="7" t="str">
        <f t="shared" si="220"/>
        <v>PAGADO</v>
      </c>
    </row>
    <row r="4344" spans="3:11" x14ac:dyDescent="0.25">
      <c r="C4344" s="9" t="s">
        <v>3635</v>
      </c>
      <c r="D4344" s="9" t="s">
        <v>3591</v>
      </c>
      <c r="F4344" s="6">
        <v>60</v>
      </c>
      <c r="G4344" s="6">
        <f t="shared" si="218"/>
        <v>60</v>
      </c>
      <c r="H4344" s="6">
        <v>60</v>
      </c>
      <c r="I4344" s="26">
        <f t="shared" si="219"/>
        <v>0</v>
      </c>
      <c r="J4344" s="7" t="str">
        <f t="shared" si="220"/>
        <v>PAGADO</v>
      </c>
    </row>
    <row r="4345" spans="3:11" x14ac:dyDescent="0.25">
      <c r="C4345" s="9" t="s">
        <v>4132</v>
      </c>
      <c r="D4345" s="9" t="s">
        <v>3591</v>
      </c>
      <c r="F4345" s="6">
        <v>60</v>
      </c>
      <c r="G4345" s="6">
        <f t="shared" si="218"/>
        <v>60</v>
      </c>
      <c r="H4345" s="6">
        <v>60</v>
      </c>
      <c r="I4345" s="26">
        <f t="shared" si="219"/>
        <v>0</v>
      </c>
      <c r="J4345" s="7" t="str">
        <f t="shared" si="220"/>
        <v>PAGADO</v>
      </c>
    </row>
    <row r="4346" spans="3:11" x14ac:dyDescent="0.25">
      <c r="C4346" s="9" t="s">
        <v>4112</v>
      </c>
      <c r="D4346" s="9" t="s">
        <v>4133</v>
      </c>
      <c r="F4346" s="6">
        <v>90</v>
      </c>
      <c r="G4346" s="6">
        <f t="shared" si="218"/>
        <v>90</v>
      </c>
      <c r="H4346" s="6">
        <v>90</v>
      </c>
      <c r="I4346" s="26">
        <f t="shared" si="219"/>
        <v>0</v>
      </c>
      <c r="J4346" s="7" t="str">
        <f t="shared" si="220"/>
        <v>PAGADO</v>
      </c>
    </row>
    <row r="4347" spans="3:11" x14ac:dyDescent="0.25">
      <c r="C4347" s="9" t="s">
        <v>4134</v>
      </c>
      <c r="D4347" s="9" t="s">
        <v>2018</v>
      </c>
      <c r="F4347" s="6">
        <v>55</v>
      </c>
      <c r="G4347" s="6">
        <f t="shared" si="218"/>
        <v>55</v>
      </c>
      <c r="H4347" s="6">
        <v>55</v>
      </c>
      <c r="I4347" s="26">
        <f t="shared" si="219"/>
        <v>0</v>
      </c>
      <c r="J4347" s="7" t="str">
        <f t="shared" si="220"/>
        <v>PAGADO</v>
      </c>
    </row>
    <row r="4348" spans="3:11" x14ac:dyDescent="0.25">
      <c r="C4348" s="9" t="s">
        <v>4135</v>
      </c>
      <c r="D4348" s="9" t="s">
        <v>2018</v>
      </c>
      <c r="F4348" s="6">
        <v>55</v>
      </c>
      <c r="G4348" s="6">
        <f t="shared" si="218"/>
        <v>55</v>
      </c>
      <c r="H4348" s="6">
        <v>55</v>
      </c>
      <c r="I4348" s="26">
        <f t="shared" si="219"/>
        <v>0</v>
      </c>
      <c r="J4348" s="7" t="str">
        <f t="shared" si="220"/>
        <v>PAGADO</v>
      </c>
    </row>
    <row r="4349" spans="3:11" x14ac:dyDescent="0.25">
      <c r="C4349" s="9" t="s">
        <v>4136</v>
      </c>
      <c r="D4349" s="9" t="s">
        <v>18</v>
      </c>
      <c r="F4349" s="6">
        <v>85</v>
      </c>
      <c r="G4349" s="6">
        <f t="shared" si="218"/>
        <v>85</v>
      </c>
      <c r="H4349" s="6">
        <f>50+35</f>
        <v>85</v>
      </c>
      <c r="I4349" s="26">
        <f t="shared" si="219"/>
        <v>0</v>
      </c>
      <c r="J4349" s="7" t="str">
        <f t="shared" si="220"/>
        <v>PAGADO</v>
      </c>
    </row>
    <row r="4350" spans="3:11" x14ac:dyDescent="0.25">
      <c r="C4350" s="9" t="s">
        <v>4137</v>
      </c>
      <c r="D4350" s="9" t="s">
        <v>2969</v>
      </c>
      <c r="F4350" s="6">
        <v>60</v>
      </c>
      <c r="G4350" s="6">
        <f t="shared" ref="G4350:G4413" si="221">F4350-E4350</f>
        <v>60</v>
      </c>
      <c r="H4350" s="6">
        <v>60</v>
      </c>
      <c r="I4350" s="26">
        <f t="shared" si="219"/>
        <v>0</v>
      </c>
      <c r="J4350" s="7" t="str">
        <f t="shared" si="220"/>
        <v>PAGADO</v>
      </c>
    </row>
    <row r="4351" spans="3:11" x14ac:dyDescent="0.25">
      <c r="C4351" s="9" t="s">
        <v>4138</v>
      </c>
      <c r="D4351" s="9" t="s">
        <v>3831</v>
      </c>
      <c r="F4351" s="6">
        <v>85</v>
      </c>
      <c r="G4351" s="6">
        <f t="shared" si="221"/>
        <v>85</v>
      </c>
      <c r="H4351" s="6">
        <v>85</v>
      </c>
      <c r="I4351" s="26">
        <f t="shared" si="219"/>
        <v>0</v>
      </c>
      <c r="J4351" s="7" t="str">
        <f t="shared" si="220"/>
        <v>PAGADO</v>
      </c>
    </row>
    <row r="4352" spans="3:11" x14ac:dyDescent="0.25">
      <c r="C4352" s="9" t="s">
        <v>4139</v>
      </c>
      <c r="D4352" s="9" t="s">
        <v>3331</v>
      </c>
      <c r="F4352" s="6">
        <v>55</v>
      </c>
      <c r="G4352" s="6">
        <f t="shared" si="221"/>
        <v>55</v>
      </c>
      <c r="H4352" s="6">
        <v>55</v>
      </c>
      <c r="I4352" s="26">
        <f t="shared" si="219"/>
        <v>0</v>
      </c>
      <c r="J4352" s="7" t="str">
        <f t="shared" si="220"/>
        <v>PAGADO</v>
      </c>
    </row>
    <row r="4353" spans="3:11" x14ac:dyDescent="0.25">
      <c r="C4353" s="9" t="s">
        <v>4140</v>
      </c>
      <c r="D4353" s="9" t="s">
        <v>4141</v>
      </c>
      <c r="F4353" s="6">
        <v>130</v>
      </c>
      <c r="G4353" s="6">
        <f t="shared" si="221"/>
        <v>130</v>
      </c>
      <c r="H4353" s="6">
        <v>130</v>
      </c>
      <c r="I4353" s="26">
        <f t="shared" si="219"/>
        <v>0</v>
      </c>
      <c r="J4353" s="7" t="str">
        <f t="shared" si="220"/>
        <v>PAGADO</v>
      </c>
    </row>
    <row r="4354" spans="3:11" x14ac:dyDescent="0.25">
      <c r="C4354" s="9" t="s">
        <v>805</v>
      </c>
      <c r="D4354" s="9" t="s">
        <v>4142</v>
      </c>
      <c r="F4354" s="6">
        <v>70</v>
      </c>
      <c r="G4354" s="6">
        <f t="shared" si="221"/>
        <v>70</v>
      </c>
      <c r="H4354" s="6">
        <v>70</v>
      </c>
      <c r="I4354" s="26">
        <f t="shared" si="219"/>
        <v>0</v>
      </c>
      <c r="J4354" s="7" t="str">
        <f t="shared" si="220"/>
        <v>PAGADO</v>
      </c>
    </row>
    <row r="4355" spans="3:11" x14ac:dyDescent="0.25">
      <c r="C4355" s="9" t="s">
        <v>4143</v>
      </c>
      <c r="D4355" s="9" t="s">
        <v>3736</v>
      </c>
      <c r="F4355" s="6">
        <v>150</v>
      </c>
      <c r="G4355" s="6">
        <f t="shared" si="221"/>
        <v>150</v>
      </c>
      <c r="H4355" s="6">
        <f>50+50+50</f>
        <v>150</v>
      </c>
      <c r="I4355" s="26">
        <f t="shared" si="219"/>
        <v>0</v>
      </c>
      <c r="J4355" s="7" t="str">
        <f t="shared" si="220"/>
        <v>PAGADO</v>
      </c>
      <c r="K4355" s="9"/>
    </row>
    <row r="4356" spans="3:11" x14ac:dyDescent="0.25">
      <c r="C4356" s="9" t="s">
        <v>4144</v>
      </c>
      <c r="D4356" t="s">
        <v>80</v>
      </c>
      <c r="F4356" s="6">
        <v>55</v>
      </c>
      <c r="G4356" s="6">
        <f t="shared" si="221"/>
        <v>55</v>
      </c>
      <c r="H4356" s="6">
        <v>55</v>
      </c>
      <c r="I4356" s="26">
        <f t="shared" si="219"/>
        <v>0</v>
      </c>
      <c r="J4356" s="7" t="str">
        <f t="shared" si="220"/>
        <v>PAGADO</v>
      </c>
    </row>
    <row r="4357" spans="3:11" x14ac:dyDescent="0.25">
      <c r="C4357" s="9" t="s">
        <v>4145</v>
      </c>
      <c r="D4357" s="9" t="s">
        <v>2363</v>
      </c>
      <c r="F4357" s="6">
        <v>55</v>
      </c>
      <c r="G4357" s="6">
        <f t="shared" si="221"/>
        <v>55</v>
      </c>
      <c r="H4357" s="6">
        <v>55</v>
      </c>
      <c r="I4357" s="26">
        <f t="shared" si="219"/>
        <v>0</v>
      </c>
      <c r="J4357" s="7" t="str">
        <f t="shared" si="220"/>
        <v>PAGADO</v>
      </c>
      <c r="K4357" s="33" t="s">
        <v>693</v>
      </c>
    </row>
    <row r="4358" spans="3:11" x14ac:dyDescent="0.25">
      <c r="C4358" s="9" t="s">
        <v>4146</v>
      </c>
      <c r="D4358" s="9" t="s">
        <v>3591</v>
      </c>
      <c r="F4358" s="6">
        <v>85</v>
      </c>
      <c r="G4358" s="6">
        <f t="shared" si="221"/>
        <v>85</v>
      </c>
      <c r="H4358" s="6">
        <v>85</v>
      </c>
      <c r="I4358" s="26">
        <f t="shared" si="219"/>
        <v>0</v>
      </c>
      <c r="J4358" s="7" t="str">
        <f t="shared" si="220"/>
        <v>PAGADO</v>
      </c>
    </row>
    <row r="4359" spans="3:11" x14ac:dyDescent="0.25">
      <c r="C4359" s="9" t="s">
        <v>4147</v>
      </c>
      <c r="D4359" s="9" t="s">
        <v>4148</v>
      </c>
      <c r="F4359" s="6">
        <v>65</v>
      </c>
      <c r="G4359" s="6">
        <f t="shared" si="221"/>
        <v>65</v>
      </c>
      <c r="H4359" s="6">
        <v>65</v>
      </c>
      <c r="I4359" s="26">
        <f t="shared" si="219"/>
        <v>0</v>
      </c>
      <c r="J4359" s="7" t="str">
        <f t="shared" si="220"/>
        <v>PAGADO</v>
      </c>
      <c r="K4359" s="33" t="s">
        <v>2640</v>
      </c>
    </row>
    <row r="4360" spans="3:11" x14ac:dyDescent="0.25">
      <c r="C4360" s="9" t="s">
        <v>4149</v>
      </c>
      <c r="D4360" s="9" t="s">
        <v>3444</v>
      </c>
      <c r="F4360" s="6">
        <v>60</v>
      </c>
      <c r="G4360" s="6">
        <f t="shared" si="221"/>
        <v>60</v>
      </c>
      <c r="H4360" s="6">
        <v>60</v>
      </c>
      <c r="I4360" s="26">
        <f t="shared" si="219"/>
        <v>0</v>
      </c>
      <c r="J4360" s="7" t="str">
        <f t="shared" si="220"/>
        <v>PAGADO</v>
      </c>
    </row>
    <row r="4361" spans="3:11" x14ac:dyDescent="0.25">
      <c r="C4361" s="9" t="s">
        <v>2522</v>
      </c>
      <c r="D4361" s="9" t="s">
        <v>4150</v>
      </c>
      <c r="F4361" s="6">
        <v>80</v>
      </c>
      <c r="G4361" s="6">
        <f t="shared" si="221"/>
        <v>80</v>
      </c>
      <c r="H4361" s="6">
        <v>80</v>
      </c>
      <c r="I4361" s="26">
        <f t="shared" si="219"/>
        <v>0</v>
      </c>
      <c r="J4361" s="7" t="str">
        <f t="shared" si="220"/>
        <v>PAGADO</v>
      </c>
    </row>
    <row r="4362" spans="3:11" x14ac:dyDescent="0.25">
      <c r="C4362" s="9" t="s">
        <v>3832</v>
      </c>
      <c r="D4362" s="9" t="s">
        <v>4150</v>
      </c>
      <c r="F4362" s="6">
        <v>75</v>
      </c>
      <c r="G4362" s="6">
        <f t="shared" si="221"/>
        <v>75</v>
      </c>
      <c r="H4362" s="6">
        <v>75</v>
      </c>
      <c r="I4362" s="26">
        <f t="shared" si="219"/>
        <v>0</v>
      </c>
      <c r="J4362" s="7" t="str">
        <f t="shared" si="220"/>
        <v>PAGADO</v>
      </c>
    </row>
    <row r="4363" spans="3:11" x14ac:dyDescent="0.25">
      <c r="C4363" s="9" t="s">
        <v>4151</v>
      </c>
      <c r="D4363" s="9" t="s">
        <v>2105</v>
      </c>
      <c r="F4363" s="6">
        <v>170</v>
      </c>
      <c r="G4363" s="6">
        <f t="shared" si="221"/>
        <v>170</v>
      </c>
      <c r="H4363" s="6">
        <v>170</v>
      </c>
      <c r="I4363" s="26">
        <f t="shared" ref="I4363:I4426" si="222">F4363-H4363</f>
        <v>0</v>
      </c>
      <c r="J4363" s="7" t="str">
        <f t="shared" si="220"/>
        <v>PAGADO</v>
      </c>
    </row>
    <row r="4364" spans="3:11" x14ac:dyDescent="0.25">
      <c r="C4364" s="9" t="s">
        <v>2522</v>
      </c>
      <c r="D4364" s="9" t="s">
        <v>2878</v>
      </c>
      <c r="F4364" s="6">
        <v>75</v>
      </c>
      <c r="G4364" s="6">
        <f t="shared" si="221"/>
        <v>75</v>
      </c>
      <c r="H4364" s="6">
        <v>75</v>
      </c>
      <c r="I4364" s="26">
        <f t="shared" si="222"/>
        <v>0</v>
      </c>
      <c r="J4364" s="7" t="str">
        <f t="shared" si="220"/>
        <v>PAGADO</v>
      </c>
    </row>
    <row r="4365" spans="3:11" x14ac:dyDescent="0.25">
      <c r="C4365" s="9" t="s">
        <v>4152</v>
      </c>
      <c r="D4365" s="9" t="s">
        <v>2878</v>
      </c>
      <c r="F4365" s="6">
        <v>70</v>
      </c>
      <c r="G4365" s="6">
        <f t="shared" si="221"/>
        <v>70</v>
      </c>
      <c r="H4365" s="6">
        <v>70</v>
      </c>
      <c r="I4365" s="26">
        <f t="shared" si="222"/>
        <v>0</v>
      </c>
      <c r="J4365" s="7" t="str">
        <f t="shared" si="220"/>
        <v>PAGADO</v>
      </c>
    </row>
    <row r="4366" spans="3:11" x14ac:dyDescent="0.25">
      <c r="C4366" s="9" t="s">
        <v>4153</v>
      </c>
      <c r="D4366" s="9" t="s">
        <v>2878</v>
      </c>
      <c r="F4366" s="6">
        <v>60</v>
      </c>
      <c r="G4366" s="6">
        <f t="shared" si="221"/>
        <v>60</v>
      </c>
      <c r="H4366" s="6">
        <v>60</v>
      </c>
      <c r="I4366" s="26">
        <f t="shared" si="222"/>
        <v>0</v>
      </c>
      <c r="J4366" s="7" t="str">
        <f t="shared" si="220"/>
        <v>PAGADO</v>
      </c>
    </row>
    <row r="4367" spans="3:11" x14ac:dyDescent="0.25">
      <c r="C4367" s="9" t="s">
        <v>4154</v>
      </c>
      <c r="D4367" s="9" t="s">
        <v>2878</v>
      </c>
      <c r="F4367" s="6">
        <v>60</v>
      </c>
      <c r="G4367" s="6">
        <f t="shared" si="221"/>
        <v>60</v>
      </c>
      <c r="H4367" s="6">
        <v>60</v>
      </c>
      <c r="I4367" s="26">
        <f t="shared" si="222"/>
        <v>0</v>
      </c>
      <c r="J4367" s="7" t="str">
        <f t="shared" si="220"/>
        <v>PAGADO</v>
      </c>
      <c r="K4367" s="33" t="s">
        <v>2640</v>
      </c>
    </row>
    <row r="4368" spans="3:11" x14ac:dyDescent="0.25">
      <c r="C4368" s="9" t="s">
        <v>4155</v>
      </c>
      <c r="D4368" s="9" t="s">
        <v>3352</v>
      </c>
      <c r="F4368" s="6">
        <v>65</v>
      </c>
      <c r="G4368" s="6">
        <f t="shared" si="221"/>
        <v>65</v>
      </c>
      <c r="H4368" s="6">
        <v>65</v>
      </c>
      <c r="I4368" s="26">
        <f t="shared" si="222"/>
        <v>0</v>
      </c>
      <c r="J4368" s="7" t="str">
        <f t="shared" si="220"/>
        <v>PAGADO</v>
      </c>
    </row>
    <row r="4369" spans="3:11" x14ac:dyDescent="0.25">
      <c r="C4369" s="9" t="s">
        <v>4129</v>
      </c>
      <c r="D4369" s="9" t="s">
        <v>3026</v>
      </c>
      <c r="F4369" s="6">
        <v>80</v>
      </c>
      <c r="G4369" s="6">
        <f t="shared" si="221"/>
        <v>80</v>
      </c>
      <c r="H4369" s="6">
        <v>80</v>
      </c>
      <c r="I4369" s="26">
        <f t="shared" si="222"/>
        <v>0</v>
      </c>
      <c r="J4369" s="7" t="str">
        <f t="shared" si="220"/>
        <v>PAGADO</v>
      </c>
    </row>
    <row r="4370" spans="3:11" x14ac:dyDescent="0.25">
      <c r="C4370" s="14" t="s">
        <v>4156</v>
      </c>
      <c r="D4370" s="9" t="s">
        <v>1736</v>
      </c>
      <c r="F4370" s="6">
        <v>14</v>
      </c>
      <c r="G4370" s="6">
        <f t="shared" si="221"/>
        <v>14</v>
      </c>
      <c r="H4370" s="6">
        <v>14</v>
      </c>
      <c r="I4370" s="26">
        <f t="shared" si="222"/>
        <v>0</v>
      </c>
      <c r="J4370" s="7" t="str">
        <f t="shared" si="220"/>
        <v>PAGADO</v>
      </c>
    </row>
    <row r="4371" spans="3:11" x14ac:dyDescent="0.25">
      <c r="C4371" s="9" t="s">
        <v>4157</v>
      </c>
      <c r="D4371" s="9" t="s">
        <v>4158</v>
      </c>
      <c r="F4371" s="6">
        <v>50</v>
      </c>
      <c r="G4371" s="6">
        <f t="shared" si="221"/>
        <v>50</v>
      </c>
      <c r="H4371" s="6">
        <v>50</v>
      </c>
      <c r="I4371" s="26">
        <f t="shared" si="222"/>
        <v>0</v>
      </c>
      <c r="J4371" s="7" t="str">
        <f t="shared" si="220"/>
        <v>PAGADO</v>
      </c>
    </row>
    <row r="4372" spans="3:11" x14ac:dyDescent="0.25">
      <c r="C4372" s="9" t="s">
        <v>535</v>
      </c>
      <c r="D4372" s="9" t="s">
        <v>3980</v>
      </c>
      <c r="F4372" s="6">
        <v>70</v>
      </c>
      <c r="G4372" s="6">
        <f t="shared" si="221"/>
        <v>70</v>
      </c>
      <c r="H4372" s="6">
        <f>35+35</f>
        <v>70</v>
      </c>
      <c r="I4372" s="26">
        <f t="shared" si="222"/>
        <v>0</v>
      </c>
      <c r="J4372" s="7" t="str">
        <f t="shared" si="220"/>
        <v>PAGADO</v>
      </c>
      <c r="K4372" s="33" t="s">
        <v>2714</v>
      </c>
    </row>
    <row r="4373" spans="3:11" x14ac:dyDescent="0.25">
      <c r="C4373" s="9" t="s">
        <v>4159</v>
      </c>
      <c r="D4373" s="9" t="s">
        <v>3612</v>
      </c>
      <c r="F4373" s="6">
        <v>60</v>
      </c>
      <c r="G4373" s="6">
        <f t="shared" si="221"/>
        <v>60</v>
      </c>
      <c r="H4373" s="6">
        <v>60</v>
      </c>
      <c r="I4373" s="26">
        <f t="shared" si="222"/>
        <v>0</v>
      </c>
      <c r="J4373" s="7" t="str">
        <f t="shared" si="220"/>
        <v>PAGADO</v>
      </c>
    </row>
    <row r="4374" spans="3:11" x14ac:dyDescent="0.25">
      <c r="C4374" s="9" t="s">
        <v>4160</v>
      </c>
      <c r="D4374" s="9" t="s">
        <v>3612</v>
      </c>
      <c r="F4374" s="6">
        <v>50</v>
      </c>
      <c r="G4374" s="6">
        <f t="shared" si="221"/>
        <v>50</v>
      </c>
      <c r="H4374" s="6">
        <v>50</v>
      </c>
      <c r="I4374" s="26">
        <f t="shared" si="222"/>
        <v>0</v>
      </c>
      <c r="J4374" s="7" t="str">
        <f t="shared" si="220"/>
        <v>PAGADO</v>
      </c>
    </row>
    <row r="4375" spans="3:11" x14ac:dyDescent="0.25">
      <c r="C4375" t="s">
        <v>4161</v>
      </c>
      <c r="D4375" s="9" t="s">
        <v>1078</v>
      </c>
      <c r="F4375" s="6">
        <v>90</v>
      </c>
      <c r="G4375" s="6">
        <f t="shared" si="221"/>
        <v>90</v>
      </c>
      <c r="H4375" s="6">
        <v>90</v>
      </c>
      <c r="I4375" s="26">
        <f t="shared" si="222"/>
        <v>0</v>
      </c>
      <c r="J4375" s="7" t="str">
        <f t="shared" si="220"/>
        <v>PAGADO</v>
      </c>
      <c r="K4375" s="33" t="s">
        <v>2640</v>
      </c>
    </row>
    <row r="4376" spans="3:11" x14ac:dyDescent="0.25">
      <c r="C4376" s="9" t="s">
        <v>4162</v>
      </c>
      <c r="D4376" s="9" t="s">
        <v>70</v>
      </c>
      <c r="F4376" s="6">
        <v>50</v>
      </c>
      <c r="G4376" s="6">
        <f t="shared" si="221"/>
        <v>50</v>
      </c>
      <c r="H4376" s="6">
        <v>50</v>
      </c>
      <c r="I4376" s="26">
        <f t="shared" si="222"/>
        <v>0</v>
      </c>
      <c r="J4376" s="7" t="str">
        <f t="shared" si="220"/>
        <v>PAGADO</v>
      </c>
    </row>
    <row r="4377" spans="3:11" x14ac:dyDescent="0.25">
      <c r="C4377" s="9" t="s">
        <v>4129</v>
      </c>
      <c r="D4377" s="9" t="s">
        <v>4163</v>
      </c>
      <c r="F4377" s="6">
        <v>80</v>
      </c>
      <c r="G4377" s="6">
        <f t="shared" si="221"/>
        <v>80</v>
      </c>
      <c r="H4377" s="6">
        <v>80</v>
      </c>
      <c r="I4377" s="26">
        <f t="shared" si="222"/>
        <v>0</v>
      </c>
      <c r="J4377" s="7" t="str">
        <f t="shared" si="220"/>
        <v>PAGADO</v>
      </c>
    </row>
    <row r="4378" spans="3:11" x14ac:dyDescent="0.25">
      <c r="C4378" s="9" t="s">
        <v>4164</v>
      </c>
      <c r="D4378" s="9" t="s">
        <v>4163</v>
      </c>
      <c r="F4378" s="6">
        <v>80</v>
      </c>
      <c r="G4378" s="6">
        <f t="shared" si="221"/>
        <v>80</v>
      </c>
      <c r="H4378" s="6">
        <v>80</v>
      </c>
      <c r="I4378" s="26">
        <f t="shared" si="222"/>
        <v>0</v>
      </c>
      <c r="J4378" s="7" t="str">
        <f t="shared" si="220"/>
        <v>PAGADO</v>
      </c>
    </row>
    <row r="4379" spans="3:11" x14ac:dyDescent="0.25">
      <c r="C4379" s="9" t="s">
        <v>4165</v>
      </c>
      <c r="D4379" t="s">
        <v>3592</v>
      </c>
      <c r="F4379" s="6">
        <v>70</v>
      </c>
      <c r="G4379" s="6">
        <f t="shared" si="221"/>
        <v>70</v>
      </c>
      <c r="H4379" s="6">
        <f>50+20</f>
        <v>70</v>
      </c>
      <c r="I4379" s="26">
        <f t="shared" si="222"/>
        <v>0</v>
      </c>
      <c r="J4379" s="7" t="str">
        <f t="shared" si="220"/>
        <v>PAGADO</v>
      </c>
    </row>
    <row r="4380" spans="3:11" x14ac:dyDescent="0.25">
      <c r="C4380" s="9" t="s">
        <v>4166</v>
      </c>
      <c r="D4380" t="s">
        <v>2969</v>
      </c>
      <c r="F4380" s="6">
        <v>920</v>
      </c>
      <c r="G4380" s="6">
        <f t="shared" si="221"/>
        <v>920</v>
      </c>
      <c r="H4380" s="6">
        <v>920</v>
      </c>
      <c r="I4380" s="26">
        <f t="shared" si="222"/>
        <v>0</v>
      </c>
      <c r="J4380" s="7" t="str">
        <f t="shared" si="220"/>
        <v>PAGADO</v>
      </c>
      <c r="K4380" s="33" t="s">
        <v>3506</v>
      </c>
    </row>
    <row r="4381" spans="3:11" x14ac:dyDescent="0.25">
      <c r="C4381" s="9" t="s">
        <v>4167</v>
      </c>
      <c r="D4381" s="9" t="s">
        <v>2363</v>
      </c>
      <c r="F4381" s="6">
        <v>290</v>
      </c>
      <c r="G4381" s="6">
        <f t="shared" si="221"/>
        <v>290</v>
      </c>
      <c r="H4381" s="6">
        <v>290</v>
      </c>
      <c r="I4381" s="26">
        <f t="shared" si="222"/>
        <v>0</v>
      </c>
      <c r="J4381" s="7" t="str">
        <f t="shared" si="220"/>
        <v>PAGADO</v>
      </c>
      <c r="K4381" s="33" t="s">
        <v>693</v>
      </c>
    </row>
    <row r="4382" spans="3:11" x14ac:dyDescent="0.25">
      <c r="C4382" s="9" t="s">
        <v>4168</v>
      </c>
      <c r="D4382" s="9" t="s">
        <v>4141</v>
      </c>
      <c r="F4382" s="6">
        <v>150</v>
      </c>
      <c r="G4382" s="6">
        <f t="shared" si="221"/>
        <v>150</v>
      </c>
      <c r="H4382" s="6">
        <v>150</v>
      </c>
      <c r="I4382" s="26">
        <f t="shared" si="222"/>
        <v>0</v>
      </c>
      <c r="J4382" s="7" t="str">
        <f t="shared" si="220"/>
        <v>PAGADO</v>
      </c>
      <c r="K4382" s="33" t="s">
        <v>2640</v>
      </c>
    </row>
    <row r="4383" spans="3:11" x14ac:dyDescent="0.25">
      <c r="C4383" s="9" t="s">
        <v>4169</v>
      </c>
      <c r="D4383" s="9" t="s">
        <v>3612</v>
      </c>
      <c r="F4383" s="6">
        <v>60</v>
      </c>
      <c r="G4383" s="6">
        <f t="shared" si="221"/>
        <v>60</v>
      </c>
      <c r="H4383" s="6">
        <v>60</v>
      </c>
      <c r="I4383" s="26">
        <f t="shared" si="222"/>
        <v>0</v>
      </c>
      <c r="J4383" s="7" t="str">
        <f t="shared" si="220"/>
        <v>PAGADO</v>
      </c>
      <c r="K4383" s="33" t="s">
        <v>2639</v>
      </c>
    </row>
    <row r="4384" spans="3:11" x14ac:dyDescent="0.25">
      <c r="C4384" s="9" t="s">
        <v>3758</v>
      </c>
      <c r="D4384" s="9" t="s">
        <v>3836</v>
      </c>
      <c r="F4384" s="6">
        <v>70</v>
      </c>
      <c r="G4384" s="6">
        <f t="shared" si="221"/>
        <v>70</v>
      </c>
      <c r="H4384" s="6">
        <v>70</v>
      </c>
      <c r="I4384" s="26">
        <f t="shared" si="222"/>
        <v>0</v>
      </c>
      <c r="J4384" s="7" t="str">
        <f t="shared" si="220"/>
        <v>PAGADO</v>
      </c>
    </row>
    <row r="4385" spans="3:12" x14ac:dyDescent="0.25">
      <c r="C4385" s="9" t="s">
        <v>4170</v>
      </c>
      <c r="D4385" s="9" t="s">
        <v>488</v>
      </c>
      <c r="F4385" s="6">
        <v>50</v>
      </c>
      <c r="G4385" s="6">
        <f t="shared" si="221"/>
        <v>50</v>
      </c>
      <c r="H4385" s="6">
        <v>50</v>
      </c>
      <c r="I4385" s="26">
        <f t="shared" si="222"/>
        <v>0</v>
      </c>
      <c r="J4385" s="7" t="str">
        <f t="shared" si="220"/>
        <v>PAGADO</v>
      </c>
    </row>
    <row r="4386" spans="3:12" x14ac:dyDescent="0.25">
      <c r="C4386" s="9" t="s">
        <v>4171</v>
      </c>
      <c r="D4386" s="9" t="s">
        <v>4158</v>
      </c>
      <c r="F4386" s="6">
        <v>60</v>
      </c>
      <c r="G4386" s="6">
        <f t="shared" si="221"/>
        <v>60</v>
      </c>
      <c r="H4386" s="6">
        <v>60</v>
      </c>
      <c r="I4386" s="26">
        <f t="shared" si="222"/>
        <v>0</v>
      </c>
      <c r="J4386" s="7" t="str">
        <f t="shared" si="220"/>
        <v>PAGADO</v>
      </c>
    </row>
    <row r="4387" spans="3:12" x14ac:dyDescent="0.25">
      <c r="C4387" s="9" t="s">
        <v>2879</v>
      </c>
      <c r="D4387" s="9" t="s">
        <v>4172</v>
      </c>
      <c r="F4387" s="6">
        <v>70</v>
      </c>
      <c r="G4387" s="6">
        <f t="shared" si="221"/>
        <v>70</v>
      </c>
      <c r="H4387" s="6">
        <v>70</v>
      </c>
      <c r="I4387" s="26">
        <f t="shared" si="222"/>
        <v>0</v>
      </c>
      <c r="J4387" s="7" t="str">
        <f t="shared" ref="J4387:J4450" si="223">IF(I4387&gt;0,"DEBE","PAGADO")</f>
        <v>PAGADO</v>
      </c>
      <c r="K4387" s="33" t="s">
        <v>1056</v>
      </c>
    </row>
    <row r="4388" spans="3:12" x14ac:dyDescent="0.25">
      <c r="C4388" s="9" t="s">
        <v>4173</v>
      </c>
      <c r="D4388" s="9" t="s">
        <v>2906</v>
      </c>
      <c r="F4388" s="6">
        <v>70</v>
      </c>
      <c r="G4388" s="6">
        <f t="shared" si="221"/>
        <v>70</v>
      </c>
      <c r="H4388" s="6">
        <v>70</v>
      </c>
      <c r="I4388" s="26">
        <f t="shared" si="222"/>
        <v>0</v>
      </c>
      <c r="J4388" s="7" t="str">
        <f t="shared" si="223"/>
        <v>PAGADO</v>
      </c>
    </row>
    <row r="4389" spans="3:12" x14ac:dyDescent="0.25">
      <c r="C4389" s="9" t="s">
        <v>4174</v>
      </c>
      <c r="D4389" s="9" t="s">
        <v>2906</v>
      </c>
      <c r="F4389" s="6">
        <f>15*7</f>
        <v>105</v>
      </c>
      <c r="G4389" s="6">
        <f t="shared" si="221"/>
        <v>105</v>
      </c>
      <c r="H4389" s="6">
        <v>105</v>
      </c>
      <c r="I4389" s="26">
        <f t="shared" si="222"/>
        <v>0</v>
      </c>
      <c r="J4389" s="7" t="str">
        <f t="shared" si="223"/>
        <v>PAGADO</v>
      </c>
      <c r="K4389" s="33" t="s">
        <v>2639</v>
      </c>
    </row>
    <row r="4390" spans="3:12" x14ac:dyDescent="0.25">
      <c r="C4390" s="9" t="s">
        <v>4175</v>
      </c>
      <c r="D4390" s="9" t="s">
        <v>4148</v>
      </c>
      <c r="F4390" s="6">
        <v>65</v>
      </c>
      <c r="G4390" s="6">
        <f t="shared" si="221"/>
        <v>65</v>
      </c>
      <c r="H4390" s="6">
        <v>65</v>
      </c>
      <c r="I4390" s="26">
        <f t="shared" si="222"/>
        <v>0</v>
      </c>
      <c r="J4390" s="7" t="str">
        <f t="shared" si="223"/>
        <v>PAGADO</v>
      </c>
      <c r="K4390" s="33" t="s">
        <v>2640</v>
      </c>
    </row>
    <row r="4391" spans="3:12" x14ac:dyDescent="0.25">
      <c r="C4391" s="9" t="s">
        <v>4176</v>
      </c>
      <c r="D4391" s="9" t="s">
        <v>2360</v>
      </c>
      <c r="F4391" s="6">
        <v>60</v>
      </c>
      <c r="G4391" s="6">
        <f t="shared" si="221"/>
        <v>60</v>
      </c>
      <c r="H4391" s="6">
        <v>60</v>
      </c>
      <c r="I4391" s="26">
        <f t="shared" si="222"/>
        <v>0</v>
      </c>
      <c r="J4391" s="7" t="str">
        <f t="shared" si="223"/>
        <v>PAGADO</v>
      </c>
    </row>
    <row r="4392" spans="3:12" x14ac:dyDescent="0.25">
      <c r="C4392" s="9" t="s">
        <v>4177</v>
      </c>
      <c r="D4392" s="9" t="s">
        <v>3989</v>
      </c>
      <c r="F4392" s="6">
        <v>45</v>
      </c>
      <c r="G4392" s="6">
        <f t="shared" si="221"/>
        <v>45</v>
      </c>
      <c r="H4392" s="6">
        <v>45</v>
      </c>
      <c r="I4392" s="26">
        <f t="shared" si="222"/>
        <v>0</v>
      </c>
      <c r="J4392" s="7" t="str">
        <f t="shared" si="223"/>
        <v>PAGADO</v>
      </c>
      <c r="K4392" s="33" t="s">
        <v>2640</v>
      </c>
    </row>
    <row r="4393" spans="3:12" x14ac:dyDescent="0.25">
      <c r="C4393" s="9" t="s">
        <v>4178</v>
      </c>
      <c r="D4393" s="9" t="s">
        <v>3989</v>
      </c>
      <c r="F4393" s="6">
        <v>30</v>
      </c>
      <c r="G4393" s="6">
        <f t="shared" si="221"/>
        <v>30</v>
      </c>
      <c r="H4393" s="6">
        <v>30</v>
      </c>
      <c r="I4393" s="26">
        <f t="shared" si="222"/>
        <v>0</v>
      </c>
      <c r="J4393" s="7" t="str">
        <f t="shared" si="223"/>
        <v>PAGADO</v>
      </c>
      <c r="K4393" s="33" t="s">
        <v>2640</v>
      </c>
    </row>
    <row r="4394" spans="3:12" x14ac:dyDescent="0.25">
      <c r="C4394" s="9" t="s">
        <v>1398</v>
      </c>
      <c r="D4394" s="9" t="s">
        <v>3989</v>
      </c>
      <c r="F4394" s="6">
        <v>5</v>
      </c>
      <c r="G4394" s="6">
        <f t="shared" si="221"/>
        <v>5</v>
      </c>
      <c r="H4394" s="6">
        <v>5</v>
      </c>
      <c r="I4394" s="26">
        <f t="shared" si="222"/>
        <v>0</v>
      </c>
      <c r="J4394" s="7" t="str">
        <f t="shared" si="223"/>
        <v>PAGADO</v>
      </c>
      <c r="K4394" s="33" t="s">
        <v>2640</v>
      </c>
    </row>
    <row r="4395" spans="3:12" x14ac:dyDescent="0.25">
      <c r="C4395" s="9" t="s">
        <v>4179</v>
      </c>
      <c r="D4395" s="9" t="s">
        <v>2360</v>
      </c>
      <c r="F4395" s="6">
        <v>70</v>
      </c>
      <c r="G4395" s="6">
        <f t="shared" si="221"/>
        <v>70</v>
      </c>
      <c r="H4395" s="6">
        <f>40+30</f>
        <v>70</v>
      </c>
      <c r="I4395" s="26">
        <f t="shared" si="222"/>
        <v>0</v>
      </c>
      <c r="J4395" s="7" t="str">
        <f t="shared" si="223"/>
        <v>PAGADO</v>
      </c>
      <c r="K4395" s="33" t="s">
        <v>2639</v>
      </c>
    </row>
    <row r="4396" spans="3:12" x14ac:dyDescent="0.25">
      <c r="C4396" s="9" t="s">
        <v>4180</v>
      </c>
      <c r="D4396" s="9" t="s">
        <v>3198</v>
      </c>
      <c r="F4396" s="6">
        <v>330</v>
      </c>
      <c r="G4396" s="6">
        <f t="shared" si="221"/>
        <v>330</v>
      </c>
      <c r="H4396" s="6">
        <v>330</v>
      </c>
      <c r="I4396" s="26">
        <f t="shared" si="222"/>
        <v>0</v>
      </c>
      <c r="J4396" s="7" t="str">
        <f t="shared" si="223"/>
        <v>PAGADO</v>
      </c>
      <c r="K4396" t="s">
        <v>3506</v>
      </c>
      <c r="L4396" s="28"/>
    </row>
    <row r="4397" spans="3:12" x14ac:dyDescent="0.25">
      <c r="C4397" s="9" t="s">
        <v>353</v>
      </c>
      <c r="D4397" s="9" t="s">
        <v>4181</v>
      </c>
      <c r="F4397" s="6">
        <v>80</v>
      </c>
      <c r="G4397" s="6">
        <f t="shared" si="221"/>
        <v>80</v>
      </c>
      <c r="H4397" s="6">
        <v>80</v>
      </c>
      <c r="I4397" s="26">
        <f t="shared" si="222"/>
        <v>0</v>
      </c>
      <c r="J4397" s="7" t="str">
        <f t="shared" si="223"/>
        <v>PAGADO</v>
      </c>
      <c r="K4397" s="33" t="s">
        <v>2640</v>
      </c>
    </row>
    <row r="4398" spans="3:12" x14ac:dyDescent="0.25">
      <c r="C4398" s="9" t="s">
        <v>4182</v>
      </c>
      <c r="D4398" s="9" t="s">
        <v>3331</v>
      </c>
      <c r="F4398" s="6">
        <v>35</v>
      </c>
      <c r="G4398" s="6">
        <f t="shared" si="221"/>
        <v>35</v>
      </c>
      <c r="H4398" s="6">
        <v>35</v>
      </c>
      <c r="I4398" s="26">
        <f t="shared" si="222"/>
        <v>0</v>
      </c>
      <c r="J4398" s="7" t="str">
        <f t="shared" si="223"/>
        <v>PAGADO</v>
      </c>
    </row>
    <row r="4399" spans="3:12" x14ac:dyDescent="0.25">
      <c r="C4399" s="9" t="s">
        <v>4183</v>
      </c>
      <c r="D4399" s="9" t="s">
        <v>3331</v>
      </c>
      <c r="F4399" s="6">
        <v>70</v>
      </c>
      <c r="G4399" s="6">
        <f t="shared" si="221"/>
        <v>70</v>
      </c>
      <c r="H4399" s="6">
        <v>70</v>
      </c>
      <c r="I4399" s="26">
        <f t="shared" si="222"/>
        <v>0</v>
      </c>
      <c r="J4399" s="7" t="str">
        <f t="shared" si="223"/>
        <v>PAGADO</v>
      </c>
    </row>
    <row r="4400" spans="3:12" x14ac:dyDescent="0.25">
      <c r="C4400" s="9" t="s">
        <v>1150</v>
      </c>
      <c r="D4400" t="s">
        <v>3026</v>
      </c>
      <c r="F4400" s="6">
        <v>40</v>
      </c>
      <c r="G4400" s="6">
        <f t="shared" si="221"/>
        <v>40</v>
      </c>
      <c r="H4400" s="6">
        <v>40</v>
      </c>
      <c r="I4400" s="26">
        <f t="shared" si="222"/>
        <v>0</v>
      </c>
      <c r="J4400" s="7" t="str">
        <f t="shared" si="223"/>
        <v>PAGADO</v>
      </c>
    </row>
    <row r="4401" spans="1:12" x14ac:dyDescent="0.25">
      <c r="C4401" s="9" t="s">
        <v>4184</v>
      </c>
      <c r="D4401" t="s">
        <v>80</v>
      </c>
      <c r="F4401" s="6">
        <v>40</v>
      </c>
      <c r="G4401" s="6">
        <f t="shared" si="221"/>
        <v>40</v>
      </c>
      <c r="H4401" s="6">
        <v>40</v>
      </c>
      <c r="I4401" s="26">
        <f t="shared" si="222"/>
        <v>0</v>
      </c>
      <c r="J4401" s="7" t="str">
        <f t="shared" si="223"/>
        <v>PAGADO</v>
      </c>
    </row>
    <row r="4402" spans="1:12" x14ac:dyDescent="0.25">
      <c r="C4402" s="9" t="s">
        <v>4185</v>
      </c>
      <c r="D4402" t="s">
        <v>3658</v>
      </c>
      <c r="F4402" s="6">
        <v>20</v>
      </c>
      <c r="G4402" s="6">
        <f t="shared" si="221"/>
        <v>20</v>
      </c>
      <c r="H4402" s="6">
        <v>20</v>
      </c>
      <c r="I4402" s="26">
        <f t="shared" si="222"/>
        <v>0</v>
      </c>
      <c r="J4402" s="7" t="str">
        <f t="shared" si="223"/>
        <v>PAGADO</v>
      </c>
    </row>
    <row r="4403" spans="1:12" x14ac:dyDescent="0.25">
      <c r="C4403" t="s">
        <v>4186</v>
      </c>
      <c r="D4403" s="9" t="s">
        <v>3376</v>
      </c>
      <c r="F4403" s="6">
        <v>280</v>
      </c>
      <c r="G4403" s="6">
        <f t="shared" si="221"/>
        <v>280</v>
      </c>
      <c r="H4403" s="6">
        <f>140+100+40</f>
        <v>280</v>
      </c>
      <c r="I4403" s="26">
        <f t="shared" si="222"/>
        <v>0</v>
      </c>
      <c r="J4403" s="7" t="str">
        <f t="shared" si="223"/>
        <v>PAGADO</v>
      </c>
      <c r="K4403" s="33" t="s">
        <v>3506</v>
      </c>
    </row>
    <row r="4404" spans="1:12" x14ac:dyDescent="0.25">
      <c r="C4404" s="9" t="s">
        <v>4187</v>
      </c>
      <c r="D4404" s="9" t="s">
        <v>18</v>
      </c>
      <c r="F4404" s="6">
        <v>220</v>
      </c>
      <c r="G4404" s="6">
        <f t="shared" si="221"/>
        <v>220</v>
      </c>
      <c r="H4404" s="6">
        <v>220</v>
      </c>
      <c r="I4404" s="26">
        <f t="shared" si="222"/>
        <v>0</v>
      </c>
      <c r="J4404" s="7" t="str">
        <f t="shared" si="223"/>
        <v>PAGADO</v>
      </c>
    </row>
    <row r="4405" spans="1:12" x14ac:dyDescent="0.25">
      <c r="C4405" s="9" t="s">
        <v>3417</v>
      </c>
      <c r="D4405" s="9" t="s">
        <v>3198</v>
      </c>
      <c r="F4405" s="6">
        <v>90</v>
      </c>
      <c r="G4405" s="6">
        <f t="shared" si="221"/>
        <v>90</v>
      </c>
      <c r="H4405" s="6">
        <f>80+10</f>
        <v>90</v>
      </c>
      <c r="I4405" s="26">
        <f t="shared" si="222"/>
        <v>0</v>
      </c>
      <c r="J4405" s="7" t="str">
        <f t="shared" si="223"/>
        <v>PAGADO</v>
      </c>
      <c r="K4405" s="33" t="s">
        <v>2968</v>
      </c>
      <c r="L4405" t="s">
        <v>3346</v>
      </c>
    </row>
    <row r="4406" spans="1:12" x14ac:dyDescent="0.25">
      <c r="A4406"/>
      <c r="C4406" s="9" t="s">
        <v>535</v>
      </c>
      <c r="D4406" s="9" t="s">
        <v>3247</v>
      </c>
      <c r="F4406" s="6">
        <v>80</v>
      </c>
      <c r="G4406" s="6">
        <f t="shared" si="221"/>
        <v>80</v>
      </c>
      <c r="H4406" s="6">
        <v>80</v>
      </c>
      <c r="I4406" s="26">
        <f t="shared" si="222"/>
        <v>0</v>
      </c>
      <c r="J4406" s="7" t="str">
        <f t="shared" si="223"/>
        <v>PAGADO</v>
      </c>
    </row>
    <row r="4407" spans="1:12" x14ac:dyDescent="0.25">
      <c r="A4407"/>
      <c r="C4407" s="9" t="s">
        <v>4188</v>
      </c>
      <c r="D4407" s="9" t="s">
        <v>3247</v>
      </c>
      <c r="F4407" s="6">
        <v>70</v>
      </c>
      <c r="G4407" s="6">
        <f t="shared" si="221"/>
        <v>70</v>
      </c>
      <c r="H4407" s="6">
        <v>70</v>
      </c>
      <c r="I4407" s="26">
        <f t="shared" si="222"/>
        <v>0</v>
      </c>
      <c r="J4407" s="7" t="str">
        <f t="shared" si="223"/>
        <v>PAGADO</v>
      </c>
    </row>
    <row r="4408" spans="1:12" x14ac:dyDescent="0.25">
      <c r="A4408"/>
      <c r="C4408" t="s">
        <v>2595</v>
      </c>
      <c r="D4408" s="9" t="s">
        <v>2739</v>
      </c>
      <c r="F4408" s="6">
        <v>60</v>
      </c>
      <c r="G4408" s="6">
        <f t="shared" si="221"/>
        <v>60</v>
      </c>
      <c r="H4408" s="6">
        <v>60</v>
      </c>
      <c r="I4408" s="26">
        <f t="shared" si="222"/>
        <v>0</v>
      </c>
      <c r="J4408" s="7" t="str">
        <f t="shared" si="223"/>
        <v>PAGADO</v>
      </c>
    </row>
    <row r="4409" spans="1:12" x14ac:dyDescent="0.25">
      <c r="A4409"/>
      <c r="C4409" s="9" t="s">
        <v>3306</v>
      </c>
      <c r="D4409" s="9" t="s">
        <v>2906</v>
      </c>
      <c r="F4409" s="6">
        <v>80</v>
      </c>
      <c r="G4409" s="6">
        <f t="shared" si="221"/>
        <v>80</v>
      </c>
      <c r="H4409" s="6">
        <v>80</v>
      </c>
      <c r="I4409" s="26">
        <f t="shared" si="222"/>
        <v>0</v>
      </c>
      <c r="J4409" s="7" t="str">
        <f t="shared" si="223"/>
        <v>PAGADO</v>
      </c>
      <c r="K4409" s="33" t="s">
        <v>2640</v>
      </c>
    </row>
    <row r="4410" spans="1:12" x14ac:dyDescent="0.25">
      <c r="A4410"/>
      <c r="C4410" s="9" t="s">
        <v>4189</v>
      </c>
      <c r="D4410" s="9" t="s">
        <v>2906</v>
      </c>
      <c r="F4410" s="6">
        <v>80</v>
      </c>
      <c r="G4410" s="6">
        <f t="shared" si="221"/>
        <v>80</v>
      </c>
      <c r="H4410" s="6">
        <f>40+40</f>
        <v>80</v>
      </c>
      <c r="I4410" s="26">
        <f t="shared" si="222"/>
        <v>0</v>
      </c>
      <c r="J4410" s="7" t="str">
        <f t="shared" si="223"/>
        <v>PAGADO</v>
      </c>
      <c r="K4410" s="33" t="s">
        <v>2640</v>
      </c>
    </row>
    <row r="4411" spans="1:12" x14ac:dyDescent="0.25">
      <c r="A4411"/>
      <c r="C4411" s="9" t="s">
        <v>4190</v>
      </c>
      <c r="D4411" s="9" t="s">
        <v>488</v>
      </c>
      <c r="F4411" s="6">
        <v>50</v>
      </c>
      <c r="G4411" s="6">
        <f t="shared" si="221"/>
        <v>50</v>
      </c>
      <c r="H4411" s="6">
        <v>50</v>
      </c>
      <c r="I4411" s="26">
        <f t="shared" si="222"/>
        <v>0</v>
      </c>
      <c r="J4411" s="7" t="str">
        <f t="shared" si="223"/>
        <v>PAGADO</v>
      </c>
    </row>
    <row r="4412" spans="1:12" x14ac:dyDescent="0.25">
      <c r="A4412"/>
      <c r="C4412" s="9" t="s">
        <v>4191</v>
      </c>
      <c r="D4412" s="9" t="s">
        <v>3612</v>
      </c>
      <c r="F4412" s="6">
        <v>40</v>
      </c>
      <c r="G4412" s="6">
        <f t="shared" si="221"/>
        <v>40</v>
      </c>
      <c r="H4412" s="6">
        <v>40</v>
      </c>
      <c r="I4412" s="26">
        <f t="shared" si="222"/>
        <v>0</v>
      </c>
      <c r="J4412" s="7" t="str">
        <f t="shared" si="223"/>
        <v>PAGADO</v>
      </c>
    </row>
    <row r="4413" spans="1:12" x14ac:dyDescent="0.25">
      <c r="A4413"/>
      <c r="C4413" s="9" t="s">
        <v>4192</v>
      </c>
      <c r="D4413" s="9" t="s">
        <v>3612</v>
      </c>
      <c r="F4413" s="6">
        <v>60</v>
      </c>
      <c r="G4413" s="6">
        <f t="shared" si="221"/>
        <v>60</v>
      </c>
      <c r="H4413" s="6">
        <v>60</v>
      </c>
      <c r="I4413" s="26">
        <f t="shared" si="222"/>
        <v>0</v>
      </c>
      <c r="J4413" s="7" t="str">
        <f t="shared" si="223"/>
        <v>PAGADO</v>
      </c>
    </row>
    <row r="4414" spans="1:12" x14ac:dyDescent="0.25">
      <c r="A4414"/>
      <c r="C4414" s="9" t="s">
        <v>4193</v>
      </c>
      <c r="D4414" s="9" t="s">
        <v>2018</v>
      </c>
      <c r="F4414" s="6">
        <v>70</v>
      </c>
      <c r="G4414" s="6">
        <f t="shared" ref="G4414:G4477" si="224">F4414-E4414</f>
        <v>70</v>
      </c>
      <c r="H4414" s="6">
        <v>70</v>
      </c>
      <c r="I4414" s="26">
        <f t="shared" si="222"/>
        <v>0</v>
      </c>
      <c r="J4414" s="7" t="str">
        <f t="shared" si="223"/>
        <v>PAGADO</v>
      </c>
      <c r="K4414" t="s">
        <v>4194</v>
      </c>
    </row>
    <row r="4415" spans="1:12" x14ac:dyDescent="0.25">
      <c r="A4415"/>
      <c r="C4415" s="9" t="s">
        <v>4195</v>
      </c>
      <c r="D4415" s="9" t="s">
        <v>1078</v>
      </c>
      <c r="F4415" s="6">
        <v>270</v>
      </c>
      <c r="G4415" s="6">
        <f t="shared" si="224"/>
        <v>270</v>
      </c>
      <c r="H4415" s="6">
        <v>270</v>
      </c>
      <c r="I4415" s="26">
        <f t="shared" si="222"/>
        <v>0</v>
      </c>
      <c r="J4415" s="7" t="str">
        <f t="shared" si="223"/>
        <v>PAGADO</v>
      </c>
    </row>
    <row r="4416" spans="1:12" x14ac:dyDescent="0.25">
      <c r="A4416"/>
      <c r="C4416" s="9" t="s">
        <v>4196</v>
      </c>
      <c r="D4416" s="9" t="s">
        <v>3612</v>
      </c>
      <c r="F4416" s="6">
        <v>80</v>
      </c>
      <c r="G4416" s="6">
        <f t="shared" si="224"/>
        <v>80</v>
      </c>
      <c r="H4416" s="6">
        <v>80</v>
      </c>
      <c r="I4416" s="26">
        <f t="shared" si="222"/>
        <v>0</v>
      </c>
      <c r="J4416" s="7" t="str">
        <f t="shared" si="223"/>
        <v>PAGADO</v>
      </c>
      <c r="K4416" s="33" t="s">
        <v>3819</v>
      </c>
    </row>
    <row r="4417" spans="3:13" customFormat="1" x14ac:dyDescent="0.25">
      <c r="C4417" s="9" t="s">
        <v>1858</v>
      </c>
      <c r="D4417" s="9" t="s">
        <v>3612</v>
      </c>
      <c r="E4417" s="10"/>
      <c r="F4417" s="6">
        <v>20</v>
      </c>
      <c r="G4417" s="6">
        <f t="shared" si="224"/>
        <v>20</v>
      </c>
      <c r="H4417" s="6">
        <f>10+10</f>
        <v>20</v>
      </c>
      <c r="I4417" s="26">
        <f t="shared" si="222"/>
        <v>0</v>
      </c>
      <c r="J4417" s="7" t="str">
        <f t="shared" si="223"/>
        <v>PAGADO</v>
      </c>
      <c r="K4417" s="33" t="s">
        <v>3506</v>
      </c>
      <c r="M4417" s="8"/>
    </row>
    <row r="4418" spans="3:13" customFormat="1" x14ac:dyDescent="0.25">
      <c r="C4418" s="9" t="s">
        <v>4197</v>
      </c>
      <c r="D4418" s="9" t="s">
        <v>3612</v>
      </c>
      <c r="E4418" s="10"/>
      <c r="F4418" s="6">
        <v>3</v>
      </c>
      <c r="G4418" s="6">
        <f t="shared" si="224"/>
        <v>3</v>
      </c>
      <c r="H4418" s="6">
        <v>3</v>
      </c>
      <c r="I4418" s="26">
        <f t="shared" si="222"/>
        <v>0</v>
      </c>
      <c r="J4418" s="7" t="str">
        <f t="shared" si="223"/>
        <v>PAGADO</v>
      </c>
      <c r="K4418" s="33" t="s">
        <v>3506</v>
      </c>
      <c r="M4418" s="8"/>
    </row>
    <row r="4419" spans="3:13" customFormat="1" x14ac:dyDescent="0.25">
      <c r="C4419" s="9" t="s">
        <v>4198</v>
      </c>
      <c r="D4419" s="9" t="s">
        <v>3612</v>
      </c>
      <c r="E4419" s="10"/>
      <c r="F4419" s="26">
        <v>12</v>
      </c>
      <c r="G4419" s="26">
        <f t="shared" si="224"/>
        <v>12</v>
      </c>
      <c r="H4419" s="26">
        <f>6+6</f>
        <v>12</v>
      </c>
      <c r="I4419" s="26">
        <f t="shared" si="222"/>
        <v>0</v>
      </c>
      <c r="J4419" s="7" t="str">
        <f t="shared" si="223"/>
        <v>PAGADO</v>
      </c>
      <c r="K4419" s="33" t="s">
        <v>3506</v>
      </c>
      <c r="M4419" s="8"/>
    </row>
    <row r="4420" spans="3:13" customFormat="1" x14ac:dyDescent="0.25">
      <c r="C4420" s="9" t="s">
        <v>4199</v>
      </c>
      <c r="D4420" s="9" t="s">
        <v>3612</v>
      </c>
      <c r="E4420" s="10"/>
      <c r="F4420" s="26">
        <v>80</v>
      </c>
      <c r="G4420" s="26">
        <f t="shared" si="224"/>
        <v>80</v>
      </c>
      <c r="H4420" s="26">
        <f>40+40</f>
        <v>80</v>
      </c>
      <c r="I4420" s="26">
        <f t="shared" si="222"/>
        <v>0</v>
      </c>
      <c r="J4420" s="7" t="str">
        <f t="shared" si="223"/>
        <v>PAGADO</v>
      </c>
      <c r="K4420" s="9" t="s">
        <v>3506</v>
      </c>
      <c r="M4420" s="8"/>
    </row>
    <row r="4421" spans="3:13" customFormat="1" x14ac:dyDescent="0.25">
      <c r="C4421" s="9" t="s">
        <v>4200</v>
      </c>
      <c r="D4421" s="9" t="s">
        <v>3612</v>
      </c>
      <c r="E4421" s="10"/>
      <c r="F4421" s="26">
        <f>6*12</f>
        <v>72</v>
      </c>
      <c r="G4421" s="26">
        <f t="shared" si="224"/>
        <v>72</v>
      </c>
      <c r="H4421" s="26">
        <f>46+26</f>
        <v>72</v>
      </c>
      <c r="I4421" s="26">
        <f t="shared" si="222"/>
        <v>0</v>
      </c>
      <c r="J4421" s="7" t="str">
        <f t="shared" si="223"/>
        <v>PAGADO</v>
      </c>
      <c r="K4421" s="9" t="s">
        <v>3506</v>
      </c>
      <c r="M4421" s="8"/>
    </row>
    <row r="4422" spans="3:13" customFormat="1" x14ac:dyDescent="0.25">
      <c r="C4422" s="9" t="s">
        <v>4201</v>
      </c>
      <c r="D4422" s="9" t="s">
        <v>3612</v>
      </c>
      <c r="E4422" s="10"/>
      <c r="F4422" s="26">
        <v>20</v>
      </c>
      <c r="G4422" s="26">
        <f t="shared" si="224"/>
        <v>20</v>
      </c>
      <c r="H4422" s="26">
        <v>20</v>
      </c>
      <c r="I4422" s="26">
        <f t="shared" si="222"/>
        <v>0</v>
      </c>
      <c r="J4422" s="7" t="str">
        <f t="shared" si="223"/>
        <v>PAGADO</v>
      </c>
      <c r="K4422" s="9" t="s">
        <v>3506</v>
      </c>
      <c r="M4422" s="8"/>
    </row>
    <row r="4423" spans="3:13" customFormat="1" x14ac:dyDescent="0.25">
      <c r="C4423" s="9" t="s">
        <v>4202</v>
      </c>
      <c r="D4423" s="9" t="s">
        <v>1380</v>
      </c>
      <c r="E4423" s="10"/>
      <c r="F4423" s="6">
        <v>50</v>
      </c>
      <c r="G4423" s="6">
        <f t="shared" si="224"/>
        <v>50</v>
      </c>
      <c r="H4423" s="6">
        <f>25+25</f>
        <v>50</v>
      </c>
      <c r="I4423" s="26">
        <f t="shared" si="222"/>
        <v>0</v>
      </c>
      <c r="J4423" s="7" t="str">
        <f t="shared" si="223"/>
        <v>PAGADO</v>
      </c>
      <c r="K4423" s="33" t="s">
        <v>3506</v>
      </c>
      <c r="M4423" s="8"/>
    </row>
    <row r="4424" spans="3:13" customFormat="1" x14ac:dyDescent="0.25">
      <c r="C4424" s="9" t="s">
        <v>4203</v>
      </c>
      <c r="D4424" s="9" t="s">
        <v>2935</v>
      </c>
      <c r="E4424" s="10"/>
      <c r="F4424" s="6">
        <v>50</v>
      </c>
      <c r="G4424" s="6">
        <f t="shared" si="224"/>
        <v>50</v>
      </c>
      <c r="H4424" s="6">
        <f>25+25</f>
        <v>50</v>
      </c>
      <c r="I4424" s="26">
        <f t="shared" si="222"/>
        <v>0</v>
      </c>
      <c r="J4424" s="7" t="str">
        <f t="shared" si="223"/>
        <v>PAGADO</v>
      </c>
      <c r="K4424" s="33" t="s">
        <v>3506</v>
      </c>
      <c r="M4424" s="8"/>
    </row>
    <row r="4425" spans="3:13" customFormat="1" x14ac:dyDescent="0.25">
      <c r="C4425" s="9" t="s">
        <v>4204</v>
      </c>
      <c r="D4425" s="9" t="s">
        <v>2906</v>
      </c>
      <c r="E4425" s="10"/>
      <c r="F4425" s="6">
        <v>280</v>
      </c>
      <c r="G4425" s="6">
        <f t="shared" si="224"/>
        <v>280</v>
      </c>
      <c r="H4425" s="6">
        <f>140+140</f>
        <v>280</v>
      </c>
      <c r="I4425" s="26">
        <f t="shared" si="222"/>
        <v>0</v>
      </c>
      <c r="J4425" s="7" t="str">
        <f t="shared" si="223"/>
        <v>PAGADO</v>
      </c>
      <c r="K4425" s="9" t="s">
        <v>3506</v>
      </c>
      <c r="M4425" s="8"/>
    </row>
    <row r="4426" spans="3:13" customFormat="1" x14ac:dyDescent="0.25">
      <c r="C4426" s="9" t="s">
        <v>4205</v>
      </c>
      <c r="D4426" s="9" t="s">
        <v>2360</v>
      </c>
      <c r="E4426" s="10"/>
      <c r="F4426" s="6">
        <v>120</v>
      </c>
      <c r="G4426" s="6">
        <f t="shared" si="224"/>
        <v>120</v>
      </c>
      <c r="H4426" s="6">
        <f>40+80</f>
        <v>120</v>
      </c>
      <c r="I4426" s="26">
        <f t="shared" si="222"/>
        <v>0</v>
      </c>
      <c r="J4426" s="7" t="str">
        <f t="shared" si="223"/>
        <v>PAGADO</v>
      </c>
      <c r="K4426" s="33" t="s">
        <v>3506</v>
      </c>
      <c r="M4426" s="8"/>
    </row>
    <row r="4427" spans="3:13" customFormat="1" x14ac:dyDescent="0.25">
      <c r="C4427" s="9" t="s">
        <v>4206</v>
      </c>
      <c r="D4427" s="9" t="s">
        <v>3370</v>
      </c>
      <c r="E4427" s="10"/>
      <c r="F4427" s="6">
        <v>70</v>
      </c>
      <c r="G4427" s="6">
        <f t="shared" si="224"/>
        <v>70</v>
      </c>
      <c r="H4427" s="6">
        <f>30+40</f>
        <v>70</v>
      </c>
      <c r="I4427" s="26">
        <f t="shared" ref="I4427:I4490" si="225">F4427-H4427</f>
        <v>0</v>
      </c>
      <c r="J4427" s="7" t="str">
        <f t="shared" si="223"/>
        <v>PAGADO</v>
      </c>
      <c r="K4427" s="9" t="s">
        <v>3506</v>
      </c>
      <c r="M4427" s="8"/>
    </row>
    <row r="4428" spans="3:13" customFormat="1" x14ac:dyDescent="0.25">
      <c r="C4428" s="9" t="s">
        <v>4207</v>
      </c>
      <c r="D4428" s="9" t="s">
        <v>2548</v>
      </c>
      <c r="E4428" s="10"/>
      <c r="F4428" s="6">
        <v>140</v>
      </c>
      <c r="G4428" s="6">
        <f t="shared" si="224"/>
        <v>140</v>
      </c>
      <c r="H4428" s="16">
        <v>140</v>
      </c>
      <c r="I4428" s="48">
        <f t="shared" si="225"/>
        <v>0</v>
      </c>
      <c r="J4428" s="7" t="str">
        <f t="shared" si="223"/>
        <v>PAGADO</v>
      </c>
      <c r="K4428" s="33" t="s">
        <v>3506</v>
      </c>
      <c r="M4428" s="8"/>
    </row>
    <row r="4429" spans="3:13" customFormat="1" x14ac:dyDescent="0.25">
      <c r="C4429" s="9" t="s">
        <v>4208</v>
      </c>
      <c r="D4429" s="9" t="s">
        <v>2548</v>
      </c>
      <c r="E4429" s="10"/>
      <c r="F4429" s="6">
        <v>75</v>
      </c>
      <c r="G4429" s="6">
        <f t="shared" si="224"/>
        <v>75</v>
      </c>
      <c r="H4429" s="6">
        <v>75</v>
      </c>
      <c r="I4429" s="48">
        <f t="shared" si="225"/>
        <v>0</v>
      </c>
      <c r="J4429" s="7" t="str">
        <f t="shared" si="223"/>
        <v>PAGADO</v>
      </c>
      <c r="K4429" s="33" t="s">
        <v>3506</v>
      </c>
      <c r="M4429" s="8"/>
    </row>
    <row r="4430" spans="3:13" customFormat="1" x14ac:dyDescent="0.25">
      <c r="C4430" s="9" t="s">
        <v>4209</v>
      </c>
      <c r="D4430" s="9" t="s">
        <v>2548</v>
      </c>
      <c r="E4430" s="10"/>
      <c r="F4430" s="6">
        <v>65</v>
      </c>
      <c r="G4430" s="6">
        <f t="shared" si="224"/>
        <v>65</v>
      </c>
      <c r="H4430" s="6">
        <v>65</v>
      </c>
      <c r="I4430" s="48">
        <f t="shared" si="225"/>
        <v>0</v>
      </c>
      <c r="J4430" s="7" t="str">
        <f t="shared" si="223"/>
        <v>PAGADO</v>
      </c>
      <c r="K4430" s="33" t="s">
        <v>3506</v>
      </c>
      <c r="M4430" s="8"/>
    </row>
    <row r="4431" spans="3:13" customFormat="1" x14ac:dyDescent="0.25">
      <c r="C4431" s="9" t="s">
        <v>3798</v>
      </c>
      <c r="D4431" s="9" t="s">
        <v>2548</v>
      </c>
      <c r="E4431" s="10"/>
      <c r="F4431" s="6">
        <v>65</v>
      </c>
      <c r="G4431" s="6">
        <f t="shared" si="224"/>
        <v>65</v>
      </c>
      <c r="H4431" s="6">
        <v>65</v>
      </c>
      <c r="I4431" s="48">
        <f t="shared" si="225"/>
        <v>0</v>
      </c>
      <c r="J4431" s="7" t="str">
        <f t="shared" si="223"/>
        <v>PAGADO</v>
      </c>
      <c r="K4431" s="33" t="s">
        <v>3506</v>
      </c>
      <c r="M4431" s="8"/>
    </row>
    <row r="4432" spans="3:13" customFormat="1" x14ac:dyDescent="0.25">
      <c r="C4432" s="9" t="s">
        <v>3193</v>
      </c>
      <c r="D4432" s="9" t="s">
        <v>2548</v>
      </c>
      <c r="E4432" s="10"/>
      <c r="F4432" s="6">
        <v>70</v>
      </c>
      <c r="G4432" s="6">
        <f t="shared" si="224"/>
        <v>70</v>
      </c>
      <c r="H4432" s="6">
        <v>70</v>
      </c>
      <c r="I4432" s="48">
        <f t="shared" si="225"/>
        <v>0</v>
      </c>
      <c r="J4432" s="7" t="str">
        <f t="shared" si="223"/>
        <v>PAGADO</v>
      </c>
      <c r="K4432" s="33" t="s">
        <v>3506</v>
      </c>
      <c r="M4432" s="8"/>
    </row>
    <row r="4433" spans="3:13" customFormat="1" x14ac:dyDescent="0.25">
      <c r="C4433" s="9" t="s">
        <v>4186</v>
      </c>
      <c r="D4433" s="9" t="s">
        <v>2548</v>
      </c>
      <c r="E4433" s="10"/>
      <c r="F4433" s="6">
        <v>290</v>
      </c>
      <c r="G4433" s="6">
        <f t="shared" si="224"/>
        <v>290</v>
      </c>
      <c r="H4433" s="6">
        <v>290</v>
      </c>
      <c r="I4433" s="48">
        <f t="shared" si="225"/>
        <v>0</v>
      </c>
      <c r="J4433" s="7" t="str">
        <f t="shared" si="223"/>
        <v>PAGADO</v>
      </c>
      <c r="K4433" s="33" t="s">
        <v>3506</v>
      </c>
      <c r="M4433" s="8"/>
    </row>
    <row r="4434" spans="3:13" customFormat="1" x14ac:dyDescent="0.25">
      <c r="C4434" s="9" t="s">
        <v>4210</v>
      </c>
      <c r="D4434" t="s">
        <v>2969</v>
      </c>
      <c r="E4434" s="10"/>
      <c r="F4434" s="6">
        <v>60</v>
      </c>
      <c r="G4434" s="6">
        <f t="shared" si="224"/>
        <v>60</v>
      </c>
      <c r="H4434" s="6">
        <v>60</v>
      </c>
      <c r="I4434" s="26">
        <f t="shared" si="225"/>
        <v>0</v>
      </c>
      <c r="J4434" s="7" t="str">
        <f t="shared" si="223"/>
        <v>PAGADO</v>
      </c>
      <c r="K4434" s="33" t="s">
        <v>3506</v>
      </c>
      <c r="M4434" s="8"/>
    </row>
    <row r="4435" spans="3:13" customFormat="1" x14ac:dyDescent="0.25">
      <c r="C4435" s="9" t="s">
        <v>4211</v>
      </c>
      <c r="D4435" t="s">
        <v>2969</v>
      </c>
      <c r="E4435" s="10"/>
      <c r="F4435" s="6">
        <v>60</v>
      </c>
      <c r="G4435" s="6">
        <f t="shared" si="224"/>
        <v>60</v>
      </c>
      <c r="H4435" s="6">
        <v>60</v>
      </c>
      <c r="I4435" s="26">
        <f t="shared" si="225"/>
        <v>0</v>
      </c>
      <c r="J4435" s="7" t="str">
        <f t="shared" si="223"/>
        <v>PAGADO</v>
      </c>
      <c r="K4435" s="33" t="s">
        <v>3506</v>
      </c>
      <c r="M4435" s="8"/>
    </row>
    <row r="4436" spans="3:13" customFormat="1" x14ac:dyDescent="0.25">
      <c r="C4436" s="9" t="s">
        <v>4212</v>
      </c>
      <c r="D4436" t="s">
        <v>2969</v>
      </c>
      <c r="E4436" s="10"/>
      <c r="F4436" s="6">
        <v>60</v>
      </c>
      <c r="G4436" s="6">
        <f t="shared" si="224"/>
        <v>60</v>
      </c>
      <c r="H4436" s="6">
        <v>60</v>
      </c>
      <c r="I4436" s="26">
        <f t="shared" si="225"/>
        <v>0</v>
      </c>
      <c r="J4436" s="7" t="str">
        <f t="shared" si="223"/>
        <v>PAGADO</v>
      </c>
      <c r="K4436" s="33" t="s">
        <v>2639</v>
      </c>
      <c r="M4436" s="8"/>
    </row>
    <row r="4437" spans="3:13" customFormat="1" x14ac:dyDescent="0.25">
      <c r="C4437" s="9" t="s">
        <v>4213</v>
      </c>
      <c r="D4437" t="s">
        <v>3570</v>
      </c>
      <c r="E4437" s="10"/>
      <c r="F4437" s="6">
        <v>130</v>
      </c>
      <c r="G4437" s="6">
        <f t="shared" si="224"/>
        <v>130</v>
      </c>
      <c r="H4437" s="6">
        <f>65+65</f>
        <v>130</v>
      </c>
      <c r="I4437" s="26">
        <f t="shared" si="225"/>
        <v>0</v>
      </c>
      <c r="J4437" s="7" t="str">
        <f t="shared" si="223"/>
        <v>PAGADO</v>
      </c>
      <c r="K4437" s="33" t="s">
        <v>3506</v>
      </c>
      <c r="M4437" s="8"/>
    </row>
    <row r="4438" spans="3:13" customFormat="1" x14ac:dyDescent="0.25">
      <c r="C4438" s="9" t="s">
        <v>4214</v>
      </c>
      <c r="D4438" s="9" t="s">
        <v>2363</v>
      </c>
      <c r="E4438" s="10"/>
      <c r="F4438" s="6">
        <v>60</v>
      </c>
      <c r="G4438" s="6">
        <f t="shared" si="224"/>
        <v>60</v>
      </c>
      <c r="H4438" s="6">
        <f>30+30</f>
        <v>60</v>
      </c>
      <c r="I4438" s="26">
        <f t="shared" si="225"/>
        <v>0</v>
      </c>
      <c r="J4438" s="7" t="str">
        <f t="shared" si="223"/>
        <v>PAGADO</v>
      </c>
      <c r="K4438" s="33" t="s">
        <v>693</v>
      </c>
      <c r="M4438" s="8"/>
    </row>
    <row r="4439" spans="3:13" customFormat="1" x14ac:dyDescent="0.25">
      <c r="C4439" s="9" t="s">
        <v>4215</v>
      </c>
      <c r="D4439" s="9" t="s">
        <v>4172</v>
      </c>
      <c r="E4439" s="10"/>
      <c r="F4439" s="6">
        <v>70</v>
      </c>
      <c r="G4439" s="6">
        <f t="shared" si="224"/>
        <v>70</v>
      </c>
      <c r="H4439" s="6">
        <v>70</v>
      </c>
      <c r="I4439" s="26">
        <f t="shared" si="225"/>
        <v>0</v>
      </c>
      <c r="J4439" s="7" t="str">
        <f t="shared" si="223"/>
        <v>PAGADO</v>
      </c>
      <c r="K4439" s="33" t="s">
        <v>3506</v>
      </c>
      <c r="M4439" s="8"/>
    </row>
    <row r="4440" spans="3:13" customFormat="1" x14ac:dyDescent="0.25">
      <c r="C4440" s="9" t="s">
        <v>4216</v>
      </c>
      <c r="D4440" s="9" t="s">
        <v>4172</v>
      </c>
      <c r="E4440" s="10"/>
      <c r="F4440" s="6">
        <v>70</v>
      </c>
      <c r="G4440" s="6">
        <f t="shared" si="224"/>
        <v>70</v>
      </c>
      <c r="H4440" s="6">
        <v>70</v>
      </c>
      <c r="I4440" s="26">
        <f t="shared" si="225"/>
        <v>0</v>
      </c>
      <c r="J4440" s="7" t="str">
        <f t="shared" si="223"/>
        <v>PAGADO</v>
      </c>
      <c r="K4440" s="33" t="s">
        <v>3506</v>
      </c>
      <c r="M4440" s="8"/>
    </row>
    <row r="4441" spans="3:13" customFormat="1" x14ac:dyDescent="0.25">
      <c r="C4441" s="9" t="s">
        <v>4217</v>
      </c>
      <c r="D4441" s="9" t="s">
        <v>3989</v>
      </c>
      <c r="E4441" s="10"/>
      <c r="F4441" s="6">
        <v>55</v>
      </c>
      <c r="G4441" s="6">
        <f t="shared" si="224"/>
        <v>55</v>
      </c>
      <c r="H4441" s="6">
        <v>55</v>
      </c>
      <c r="I4441" s="26">
        <f t="shared" si="225"/>
        <v>0</v>
      </c>
      <c r="J4441" s="7" t="str">
        <f t="shared" si="223"/>
        <v>PAGADO</v>
      </c>
      <c r="K4441" s="33" t="s">
        <v>3506</v>
      </c>
      <c r="M4441" s="8"/>
    </row>
    <row r="4442" spans="3:13" customFormat="1" x14ac:dyDescent="0.25">
      <c r="C4442" s="9" t="s">
        <v>4218</v>
      </c>
      <c r="D4442" s="9" t="s">
        <v>3989</v>
      </c>
      <c r="E4442" s="10"/>
      <c r="F4442" s="6">
        <v>60</v>
      </c>
      <c r="G4442" s="6">
        <f t="shared" si="224"/>
        <v>60</v>
      </c>
      <c r="H4442" s="6">
        <v>60</v>
      </c>
      <c r="I4442" s="26">
        <f t="shared" si="225"/>
        <v>0</v>
      </c>
      <c r="J4442" s="7" t="str">
        <f t="shared" si="223"/>
        <v>PAGADO</v>
      </c>
      <c r="K4442" s="33" t="s">
        <v>3506</v>
      </c>
      <c r="M4442" s="8"/>
    </row>
    <row r="4443" spans="3:13" customFormat="1" x14ac:dyDescent="0.25">
      <c r="C4443" s="9" t="s">
        <v>4199</v>
      </c>
      <c r="D4443" s="9" t="s">
        <v>3989</v>
      </c>
      <c r="E4443" s="10"/>
      <c r="F4443" s="6">
        <v>80</v>
      </c>
      <c r="G4443" s="6">
        <f t="shared" si="224"/>
        <v>80</v>
      </c>
      <c r="H4443" s="6">
        <f>40+40</f>
        <v>80</v>
      </c>
      <c r="I4443" s="23">
        <f t="shared" si="225"/>
        <v>0</v>
      </c>
      <c r="J4443" s="7" t="str">
        <f t="shared" si="223"/>
        <v>PAGADO</v>
      </c>
      <c r="K4443" s="33" t="s">
        <v>3506</v>
      </c>
      <c r="M4443" s="8"/>
    </row>
    <row r="4444" spans="3:13" customFormat="1" x14ac:dyDescent="0.25">
      <c r="C4444" s="9" t="s">
        <v>4219</v>
      </c>
      <c r="D4444" s="9" t="s">
        <v>3331</v>
      </c>
      <c r="E4444" s="10"/>
      <c r="F4444" s="6">
        <v>60</v>
      </c>
      <c r="G4444" s="6">
        <f t="shared" si="224"/>
        <v>60</v>
      </c>
      <c r="H4444" s="6">
        <f>30+20+10</f>
        <v>60</v>
      </c>
      <c r="I4444" s="26">
        <f t="shared" si="225"/>
        <v>0</v>
      </c>
      <c r="J4444" s="7" t="str">
        <f t="shared" si="223"/>
        <v>PAGADO</v>
      </c>
      <c r="K4444" s="9" t="s">
        <v>3506</v>
      </c>
      <c r="L4444" t="s">
        <v>4220</v>
      </c>
      <c r="M4444" s="8"/>
    </row>
    <row r="4445" spans="3:13" customFormat="1" x14ac:dyDescent="0.25">
      <c r="C4445" s="9" t="s">
        <v>4199</v>
      </c>
      <c r="D4445" s="9" t="s">
        <v>1309</v>
      </c>
      <c r="E4445" s="10"/>
      <c r="F4445" s="6">
        <v>80</v>
      </c>
      <c r="G4445" s="6">
        <f t="shared" si="224"/>
        <v>80</v>
      </c>
      <c r="H4445" s="6">
        <f>40+40</f>
        <v>80</v>
      </c>
      <c r="I4445" s="26">
        <f t="shared" si="225"/>
        <v>0</v>
      </c>
      <c r="J4445" s="7" t="str">
        <f t="shared" si="223"/>
        <v>PAGADO</v>
      </c>
      <c r="K4445" s="9" t="s">
        <v>3506</v>
      </c>
      <c r="M4445" s="8"/>
    </row>
    <row r="4446" spans="3:13" customFormat="1" x14ac:dyDescent="0.25">
      <c r="C4446" s="9" t="s">
        <v>4215</v>
      </c>
      <c r="D4446" s="9" t="s">
        <v>1309</v>
      </c>
      <c r="E4446" s="10"/>
      <c r="F4446" s="6">
        <v>70</v>
      </c>
      <c r="G4446" s="6">
        <f t="shared" si="224"/>
        <v>70</v>
      </c>
      <c r="H4446" s="6">
        <f>20+50</f>
        <v>70</v>
      </c>
      <c r="I4446" s="26">
        <f t="shared" si="225"/>
        <v>0</v>
      </c>
      <c r="J4446" s="7" t="str">
        <f t="shared" si="223"/>
        <v>PAGADO</v>
      </c>
      <c r="K4446" s="33" t="s">
        <v>3506</v>
      </c>
      <c r="M4446" s="8"/>
    </row>
    <row r="4447" spans="3:13" customFormat="1" x14ac:dyDescent="0.25">
      <c r="C4447" s="9" t="s">
        <v>4221</v>
      </c>
      <c r="D4447" s="9" t="s">
        <v>488</v>
      </c>
      <c r="E4447" s="10"/>
      <c r="F4447" s="6">
        <v>50</v>
      </c>
      <c r="G4447" s="6">
        <f t="shared" si="224"/>
        <v>50</v>
      </c>
      <c r="H4447" s="6">
        <v>50</v>
      </c>
      <c r="I4447" s="26">
        <f t="shared" si="225"/>
        <v>0</v>
      </c>
      <c r="J4447" s="7" t="str">
        <f t="shared" si="223"/>
        <v>PAGADO</v>
      </c>
      <c r="K4447" s="33" t="s">
        <v>3506</v>
      </c>
      <c r="M4447" s="8"/>
    </row>
    <row r="4448" spans="3:13" customFormat="1" x14ac:dyDescent="0.25">
      <c r="C4448" s="9" t="s">
        <v>4222</v>
      </c>
      <c r="D4448" s="9" t="s">
        <v>488</v>
      </c>
      <c r="E4448" s="10"/>
      <c r="F4448" s="6">
        <v>60</v>
      </c>
      <c r="G4448" s="6">
        <f t="shared" si="224"/>
        <v>60</v>
      </c>
      <c r="H4448" s="6">
        <v>60</v>
      </c>
      <c r="I4448" s="26">
        <f t="shared" si="225"/>
        <v>0</v>
      </c>
      <c r="J4448" s="7" t="str">
        <f t="shared" si="223"/>
        <v>PAGADO</v>
      </c>
      <c r="K4448" s="33" t="s">
        <v>3506</v>
      </c>
      <c r="M4448" s="8"/>
    </row>
    <row r="4449" spans="3:13" customFormat="1" x14ac:dyDescent="0.25">
      <c r="C4449" s="9" t="s">
        <v>4223</v>
      </c>
      <c r="D4449" s="9" t="s">
        <v>488</v>
      </c>
      <c r="E4449" s="10"/>
      <c r="F4449" s="6">
        <v>40</v>
      </c>
      <c r="G4449" s="6">
        <f t="shared" si="224"/>
        <v>40</v>
      </c>
      <c r="H4449" s="6">
        <v>40</v>
      </c>
      <c r="I4449" s="26">
        <f t="shared" si="225"/>
        <v>0</v>
      </c>
      <c r="J4449" s="7" t="str">
        <f t="shared" si="223"/>
        <v>PAGADO</v>
      </c>
      <c r="K4449" s="33" t="s">
        <v>3506</v>
      </c>
      <c r="M4449" s="8"/>
    </row>
    <row r="4450" spans="3:13" customFormat="1" x14ac:dyDescent="0.25">
      <c r="C4450" s="9" t="s">
        <v>4224</v>
      </c>
      <c r="D4450" s="9" t="s">
        <v>2018</v>
      </c>
      <c r="E4450" s="10"/>
      <c r="F4450" s="6">
        <v>80</v>
      </c>
      <c r="G4450" s="6">
        <f t="shared" si="224"/>
        <v>80</v>
      </c>
      <c r="H4450" s="6">
        <v>80</v>
      </c>
      <c r="I4450" s="26">
        <f t="shared" si="225"/>
        <v>0</v>
      </c>
      <c r="J4450" s="7" t="str">
        <f t="shared" si="223"/>
        <v>PAGADO</v>
      </c>
      <c r="K4450" s="33" t="s">
        <v>3506</v>
      </c>
      <c r="M4450" s="8"/>
    </row>
    <row r="4451" spans="3:13" customFormat="1" x14ac:dyDescent="0.25">
      <c r="C4451" s="9" t="s">
        <v>4225</v>
      </c>
      <c r="D4451" s="9" t="s">
        <v>3198</v>
      </c>
      <c r="E4451" s="10"/>
      <c r="F4451" s="6">
        <v>100</v>
      </c>
      <c r="G4451" s="6">
        <f t="shared" si="224"/>
        <v>100</v>
      </c>
      <c r="H4451" s="6">
        <v>100</v>
      </c>
      <c r="I4451" s="26">
        <f t="shared" si="225"/>
        <v>0</v>
      </c>
      <c r="J4451" s="7" t="str">
        <f t="shared" ref="J4451:J4514" si="226">IF(I4451&gt;0,"DEBE","PAGADO")</f>
        <v>PAGADO</v>
      </c>
      <c r="K4451" s="33" t="s">
        <v>3506</v>
      </c>
      <c r="M4451" s="8"/>
    </row>
    <row r="4452" spans="3:13" customFormat="1" x14ac:dyDescent="0.25">
      <c r="C4452" s="9" t="s">
        <v>4226</v>
      </c>
      <c r="D4452" s="9" t="s">
        <v>3208</v>
      </c>
      <c r="E4452" s="10"/>
      <c r="F4452" s="6">
        <v>20</v>
      </c>
      <c r="G4452" s="6">
        <f t="shared" si="224"/>
        <v>20</v>
      </c>
      <c r="H4452" s="6">
        <v>20</v>
      </c>
      <c r="I4452" s="26">
        <f t="shared" si="225"/>
        <v>0</v>
      </c>
      <c r="J4452" s="7" t="str">
        <f t="shared" si="226"/>
        <v>PAGADO</v>
      </c>
      <c r="K4452" s="9" t="s">
        <v>3506</v>
      </c>
      <c r="M4452" s="8"/>
    </row>
    <row r="4453" spans="3:13" customFormat="1" x14ac:dyDescent="0.25">
      <c r="C4453" s="9" t="s">
        <v>4201</v>
      </c>
      <c r="D4453" s="9" t="s">
        <v>3208</v>
      </c>
      <c r="E4453" s="10"/>
      <c r="F4453" s="6">
        <v>20</v>
      </c>
      <c r="G4453" s="6">
        <f t="shared" si="224"/>
        <v>20</v>
      </c>
      <c r="H4453" s="6">
        <v>20</v>
      </c>
      <c r="I4453" s="26">
        <f t="shared" si="225"/>
        <v>0</v>
      </c>
      <c r="J4453" s="7" t="str">
        <f t="shared" si="226"/>
        <v>PAGADO</v>
      </c>
      <c r="K4453" s="9" t="s">
        <v>3506</v>
      </c>
      <c r="M4453" s="8"/>
    </row>
    <row r="4454" spans="3:13" customFormat="1" x14ac:dyDescent="0.25">
      <c r="C4454" s="9" t="s">
        <v>4227</v>
      </c>
      <c r="D4454" s="9" t="s">
        <v>3208</v>
      </c>
      <c r="E4454" s="10"/>
      <c r="F4454" s="6">
        <v>20</v>
      </c>
      <c r="G4454" s="6">
        <f t="shared" si="224"/>
        <v>20</v>
      </c>
      <c r="H4454" s="6">
        <v>20</v>
      </c>
      <c r="I4454" s="26">
        <f t="shared" si="225"/>
        <v>0</v>
      </c>
      <c r="J4454" s="7" t="str">
        <f t="shared" si="226"/>
        <v>PAGADO</v>
      </c>
      <c r="K4454" s="9" t="s">
        <v>3506</v>
      </c>
      <c r="M4454" s="8"/>
    </row>
    <row r="4455" spans="3:13" customFormat="1" x14ac:dyDescent="0.25">
      <c r="C4455" s="9" t="s">
        <v>4228</v>
      </c>
      <c r="D4455" s="9" t="s">
        <v>3208</v>
      </c>
      <c r="E4455" s="10"/>
      <c r="F4455" s="6">
        <v>20</v>
      </c>
      <c r="G4455" s="6">
        <f t="shared" si="224"/>
        <v>20</v>
      </c>
      <c r="H4455" s="6">
        <v>20</v>
      </c>
      <c r="I4455" s="26">
        <f t="shared" si="225"/>
        <v>0</v>
      </c>
      <c r="J4455" s="7" t="str">
        <f t="shared" si="226"/>
        <v>PAGADO</v>
      </c>
      <c r="K4455" s="9" t="s">
        <v>3506</v>
      </c>
      <c r="M4455" s="8"/>
    </row>
    <row r="4456" spans="3:13" customFormat="1" x14ac:dyDescent="0.25">
      <c r="C4456" s="9" t="s">
        <v>4229</v>
      </c>
      <c r="D4456" s="9" t="s">
        <v>2906</v>
      </c>
      <c r="E4456" s="10"/>
      <c r="F4456" s="6">
        <v>65</v>
      </c>
      <c r="G4456" s="6">
        <f t="shared" si="224"/>
        <v>65</v>
      </c>
      <c r="H4456" s="6">
        <f>32.5+32.5</f>
        <v>65</v>
      </c>
      <c r="I4456" s="26">
        <f t="shared" si="225"/>
        <v>0</v>
      </c>
      <c r="J4456" s="7" t="str">
        <f t="shared" si="226"/>
        <v>PAGADO</v>
      </c>
      <c r="K4456" s="33" t="s">
        <v>3506</v>
      </c>
      <c r="M4456" s="8"/>
    </row>
    <row r="4457" spans="3:13" customFormat="1" x14ac:dyDescent="0.25">
      <c r="C4457" s="9" t="s">
        <v>4230</v>
      </c>
      <c r="D4457" s="9" t="s">
        <v>1078</v>
      </c>
      <c r="E4457" s="10"/>
      <c r="F4457" s="6">
        <v>10</v>
      </c>
      <c r="G4457" s="6">
        <f t="shared" si="224"/>
        <v>10</v>
      </c>
      <c r="H4457" s="6">
        <v>5</v>
      </c>
      <c r="I4457" s="26">
        <f t="shared" si="225"/>
        <v>5</v>
      </c>
      <c r="J4457" s="7" t="str">
        <f t="shared" si="226"/>
        <v>DEBE</v>
      </c>
      <c r="K4457" s="9" t="s">
        <v>3506</v>
      </c>
      <c r="M4457" s="8"/>
    </row>
    <row r="4458" spans="3:13" customFormat="1" x14ac:dyDescent="0.25">
      <c r="C4458" s="9" t="s">
        <v>2453</v>
      </c>
      <c r="D4458" s="9" t="s">
        <v>2278</v>
      </c>
      <c r="E4458" s="10"/>
      <c r="F4458" s="6">
        <v>40</v>
      </c>
      <c r="G4458" s="6">
        <f t="shared" si="224"/>
        <v>40</v>
      </c>
      <c r="H4458" s="24">
        <v>40</v>
      </c>
      <c r="I4458" s="26">
        <f t="shared" si="225"/>
        <v>0</v>
      </c>
      <c r="J4458" s="7" t="str">
        <f t="shared" si="226"/>
        <v>PAGADO</v>
      </c>
      <c r="K4458" s="33" t="s">
        <v>3506</v>
      </c>
      <c r="M4458" s="8"/>
    </row>
    <row r="4459" spans="3:13" customFormat="1" x14ac:dyDescent="0.25">
      <c r="C4459" s="9" t="s">
        <v>4231</v>
      </c>
      <c r="D4459" s="9" t="s">
        <v>2278</v>
      </c>
      <c r="E4459" s="10"/>
      <c r="F4459" s="6">
        <v>65</v>
      </c>
      <c r="G4459" s="6">
        <f t="shared" si="224"/>
        <v>65</v>
      </c>
      <c r="H4459" s="24">
        <v>65</v>
      </c>
      <c r="I4459" s="26">
        <f t="shared" si="225"/>
        <v>0</v>
      </c>
      <c r="J4459" s="7" t="str">
        <f t="shared" si="226"/>
        <v>PAGADO</v>
      </c>
      <c r="K4459" s="33" t="s">
        <v>3506</v>
      </c>
      <c r="M4459" s="8"/>
    </row>
    <row r="4460" spans="3:13" customFormat="1" x14ac:dyDescent="0.25">
      <c r="C4460" s="9" t="s">
        <v>4232</v>
      </c>
      <c r="D4460" s="9" t="s">
        <v>3980</v>
      </c>
      <c r="E4460" s="10"/>
      <c r="F4460" s="6">
        <v>50</v>
      </c>
      <c r="G4460" s="6">
        <f t="shared" si="224"/>
        <v>50</v>
      </c>
      <c r="H4460" s="6">
        <v>50</v>
      </c>
      <c r="I4460" s="26">
        <f t="shared" si="225"/>
        <v>0</v>
      </c>
      <c r="J4460" s="7" t="str">
        <f t="shared" si="226"/>
        <v>PAGADO</v>
      </c>
      <c r="K4460" s="33" t="s">
        <v>3506</v>
      </c>
      <c r="M4460" s="8"/>
    </row>
    <row r="4461" spans="3:13" customFormat="1" x14ac:dyDescent="0.25">
      <c r="C4461" s="9" t="s">
        <v>3417</v>
      </c>
      <c r="D4461" s="9" t="s">
        <v>80</v>
      </c>
      <c r="E4461" s="10"/>
      <c r="F4461" s="6">
        <v>80</v>
      </c>
      <c r="G4461" s="6">
        <f t="shared" si="224"/>
        <v>80</v>
      </c>
      <c r="H4461" s="6">
        <v>80</v>
      </c>
      <c r="I4461" s="26">
        <f t="shared" si="225"/>
        <v>0</v>
      </c>
      <c r="J4461" s="7" t="str">
        <f t="shared" si="226"/>
        <v>PAGADO</v>
      </c>
      <c r="K4461" s="9" t="s">
        <v>3506</v>
      </c>
      <c r="M4461" s="8"/>
    </row>
    <row r="4462" spans="3:13" customFormat="1" x14ac:dyDescent="0.25">
      <c r="C4462" s="9" t="s">
        <v>4233</v>
      </c>
      <c r="D4462" t="s">
        <v>3083</v>
      </c>
      <c r="E4462" s="10"/>
      <c r="F4462" s="6">
        <v>120</v>
      </c>
      <c r="G4462" s="6">
        <f t="shared" si="224"/>
        <v>120</v>
      </c>
      <c r="H4462" s="6">
        <f>60+60</f>
        <v>120</v>
      </c>
      <c r="I4462" s="26">
        <f t="shared" si="225"/>
        <v>0</v>
      </c>
      <c r="J4462" s="7" t="str">
        <f t="shared" si="226"/>
        <v>PAGADO</v>
      </c>
      <c r="K4462" s="9" t="s">
        <v>3506</v>
      </c>
      <c r="M4462" s="8"/>
    </row>
    <row r="4463" spans="3:13" customFormat="1" x14ac:dyDescent="0.25">
      <c r="C4463" s="9" t="s">
        <v>4234</v>
      </c>
      <c r="D4463" s="9" t="s">
        <v>2548</v>
      </c>
      <c r="E4463" s="10"/>
      <c r="F4463" s="6">
        <v>30</v>
      </c>
      <c r="G4463" s="6">
        <f t="shared" si="224"/>
        <v>30</v>
      </c>
      <c r="H4463" s="6">
        <v>30</v>
      </c>
      <c r="I4463" s="48">
        <f t="shared" si="225"/>
        <v>0</v>
      </c>
      <c r="J4463" s="7" t="str">
        <f t="shared" si="226"/>
        <v>PAGADO</v>
      </c>
      <c r="K4463" s="33" t="s">
        <v>3506</v>
      </c>
      <c r="M4463" s="8"/>
    </row>
    <row r="4464" spans="3:13" customFormat="1" x14ac:dyDescent="0.25">
      <c r="C4464" s="9" t="s">
        <v>4235</v>
      </c>
      <c r="D4464" s="9" t="s">
        <v>202</v>
      </c>
      <c r="E4464" s="10"/>
      <c r="F4464" s="6">
        <v>40</v>
      </c>
      <c r="G4464" s="6">
        <f t="shared" si="224"/>
        <v>40</v>
      </c>
      <c r="H4464" s="6">
        <v>40</v>
      </c>
      <c r="I4464" s="26">
        <f t="shared" si="225"/>
        <v>0</v>
      </c>
      <c r="J4464" s="7" t="str">
        <f t="shared" si="226"/>
        <v>PAGADO</v>
      </c>
      <c r="K4464" s="9" t="s">
        <v>3506</v>
      </c>
      <c r="M4464" s="8"/>
    </row>
    <row r="4465" spans="3:13" customFormat="1" x14ac:dyDescent="0.25">
      <c r="C4465" s="9" t="s">
        <v>4236</v>
      </c>
      <c r="D4465" s="9" t="s">
        <v>202</v>
      </c>
      <c r="E4465" s="10"/>
      <c r="F4465" s="6">
        <v>40</v>
      </c>
      <c r="G4465" s="6">
        <f t="shared" si="224"/>
        <v>40</v>
      </c>
      <c r="H4465" s="6">
        <v>40</v>
      </c>
      <c r="I4465" s="26">
        <f t="shared" si="225"/>
        <v>0</v>
      </c>
      <c r="J4465" s="7" t="str">
        <f t="shared" si="226"/>
        <v>PAGADO</v>
      </c>
      <c r="K4465" s="9" t="s">
        <v>3506</v>
      </c>
      <c r="M4465" s="8"/>
    </row>
    <row r="4466" spans="3:13" customFormat="1" x14ac:dyDescent="0.25">
      <c r="C4466" s="9" t="s">
        <v>4237</v>
      </c>
      <c r="D4466" s="9" t="s">
        <v>202</v>
      </c>
      <c r="E4466" s="10"/>
      <c r="F4466" s="6">
        <v>15</v>
      </c>
      <c r="G4466" s="6">
        <f t="shared" si="224"/>
        <v>15</v>
      </c>
      <c r="H4466" s="6">
        <v>15</v>
      </c>
      <c r="I4466" s="26">
        <f t="shared" si="225"/>
        <v>0</v>
      </c>
      <c r="J4466" s="7" t="str">
        <f t="shared" si="226"/>
        <v>PAGADO</v>
      </c>
      <c r="K4466" s="9" t="s">
        <v>3506</v>
      </c>
      <c r="M4466" s="8"/>
    </row>
    <row r="4467" spans="3:13" customFormat="1" x14ac:dyDescent="0.25">
      <c r="C4467" s="9" t="s">
        <v>4238</v>
      </c>
      <c r="D4467" s="9" t="s">
        <v>3980</v>
      </c>
      <c r="E4467" s="10"/>
      <c r="F4467" s="6">
        <v>55</v>
      </c>
      <c r="G4467" s="6">
        <f t="shared" si="224"/>
        <v>55</v>
      </c>
      <c r="H4467" s="6">
        <v>55</v>
      </c>
      <c r="I4467" s="26">
        <f t="shared" si="225"/>
        <v>0</v>
      </c>
      <c r="J4467" s="7" t="str">
        <f t="shared" si="226"/>
        <v>PAGADO</v>
      </c>
      <c r="K4467" s="33" t="s">
        <v>3506</v>
      </c>
      <c r="M4467" s="8"/>
    </row>
    <row r="4468" spans="3:13" customFormat="1" x14ac:dyDescent="0.25">
      <c r="C4468" s="9" t="s">
        <v>4239</v>
      </c>
      <c r="D4468" s="9" t="s">
        <v>3980</v>
      </c>
      <c r="E4468" s="10"/>
      <c r="F4468" s="6">
        <v>60</v>
      </c>
      <c r="G4468" s="6">
        <f t="shared" si="224"/>
        <v>60</v>
      </c>
      <c r="H4468" s="6">
        <v>60</v>
      </c>
      <c r="I4468" s="26">
        <f t="shared" si="225"/>
        <v>0</v>
      </c>
      <c r="J4468" s="7" t="str">
        <f t="shared" si="226"/>
        <v>PAGADO</v>
      </c>
      <c r="K4468" s="33" t="s">
        <v>3506</v>
      </c>
      <c r="M4468" s="8"/>
    </row>
    <row r="4469" spans="3:13" customFormat="1" x14ac:dyDescent="0.25">
      <c r="C4469" s="9" t="s">
        <v>4240</v>
      </c>
      <c r="D4469" s="9" t="s">
        <v>4148</v>
      </c>
      <c r="E4469" s="10"/>
      <c r="F4469" s="6">
        <v>50</v>
      </c>
      <c r="G4469" s="6">
        <f t="shared" si="224"/>
        <v>50</v>
      </c>
      <c r="H4469" s="6">
        <f>25+25</f>
        <v>50</v>
      </c>
      <c r="I4469" s="26">
        <f t="shared" si="225"/>
        <v>0</v>
      </c>
      <c r="J4469" s="7" t="str">
        <f t="shared" si="226"/>
        <v>PAGADO</v>
      </c>
      <c r="K4469" s="33" t="s">
        <v>3506</v>
      </c>
      <c r="M4469" s="8"/>
    </row>
    <row r="4470" spans="3:13" customFormat="1" x14ac:dyDescent="0.25">
      <c r="C4470" s="9" t="s">
        <v>2362</v>
      </c>
      <c r="D4470" s="9" t="s">
        <v>3376</v>
      </c>
      <c r="E4470" s="10"/>
      <c r="F4470" s="6">
        <v>100</v>
      </c>
      <c r="G4470" s="6">
        <f t="shared" si="224"/>
        <v>100</v>
      </c>
      <c r="H4470" s="6">
        <f>50+50</f>
        <v>100</v>
      </c>
      <c r="I4470" s="26">
        <f t="shared" si="225"/>
        <v>0</v>
      </c>
      <c r="J4470" s="7" t="str">
        <f t="shared" si="226"/>
        <v>PAGADO</v>
      </c>
      <c r="K4470" s="33" t="s">
        <v>3506</v>
      </c>
      <c r="M4470" s="8"/>
    </row>
    <row r="4471" spans="3:13" customFormat="1" x14ac:dyDescent="0.25">
      <c r="C4471" s="9" t="s">
        <v>4241</v>
      </c>
      <c r="D4471" s="9" t="s">
        <v>3540</v>
      </c>
      <c r="E4471" s="10"/>
      <c r="F4471" s="6">
        <v>20</v>
      </c>
      <c r="G4471" s="6">
        <f t="shared" si="224"/>
        <v>20</v>
      </c>
      <c r="H4471" s="6">
        <v>20</v>
      </c>
      <c r="I4471" s="26">
        <f t="shared" si="225"/>
        <v>0</v>
      </c>
      <c r="J4471" s="7" t="str">
        <f t="shared" si="226"/>
        <v>PAGADO</v>
      </c>
      <c r="K4471" s="9" t="s">
        <v>3506</v>
      </c>
      <c r="M4471" s="8"/>
    </row>
    <row r="4472" spans="3:13" customFormat="1" x14ac:dyDescent="0.25">
      <c r="C4472" s="9" t="s">
        <v>4213</v>
      </c>
      <c r="D4472" t="s">
        <v>3081</v>
      </c>
      <c r="E4472" s="10"/>
      <c r="F4472" s="6">
        <v>130</v>
      </c>
      <c r="G4472" s="6">
        <f t="shared" si="224"/>
        <v>130</v>
      </c>
      <c r="H4472" s="6">
        <f>50+80</f>
        <v>130</v>
      </c>
      <c r="I4472" s="26">
        <f t="shared" si="225"/>
        <v>0</v>
      </c>
      <c r="J4472" s="7" t="str">
        <f t="shared" si="226"/>
        <v>PAGADO</v>
      </c>
      <c r="K4472" s="33" t="s">
        <v>3506</v>
      </c>
      <c r="M4472" s="8"/>
    </row>
    <row r="4473" spans="3:13" customFormat="1" x14ac:dyDescent="0.25">
      <c r="C4473" s="9" t="s">
        <v>4207</v>
      </c>
      <c r="D4473" s="9" t="s">
        <v>2275</v>
      </c>
      <c r="E4473" s="10"/>
      <c r="F4473" s="6">
        <v>140</v>
      </c>
      <c r="G4473" s="6">
        <f t="shared" si="224"/>
        <v>140</v>
      </c>
      <c r="H4473" s="6">
        <f>60+80</f>
        <v>140</v>
      </c>
      <c r="I4473" s="26">
        <f t="shared" si="225"/>
        <v>0</v>
      </c>
      <c r="J4473" s="7" t="str">
        <f t="shared" si="226"/>
        <v>PAGADO</v>
      </c>
      <c r="K4473" s="33" t="s">
        <v>3506</v>
      </c>
      <c r="M4473" s="8"/>
    </row>
    <row r="4474" spans="3:13" customFormat="1" x14ac:dyDescent="0.25">
      <c r="C4474" s="9" t="s">
        <v>4242</v>
      </c>
      <c r="D4474" t="s">
        <v>2058</v>
      </c>
      <c r="E4474" s="10"/>
      <c r="F4474" s="6">
        <v>50</v>
      </c>
      <c r="G4474" s="6">
        <f t="shared" si="224"/>
        <v>50</v>
      </c>
      <c r="H4474" s="6">
        <v>50</v>
      </c>
      <c r="I4474" s="26">
        <f t="shared" si="225"/>
        <v>0</v>
      </c>
      <c r="J4474" s="7" t="str">
        <f t="shared" si="226"/>
        <v>PAGADO</v>
      </c>
      <c r="K4474" s="9" t="s">
        <v>3506</v>
      </c>
      <c r="L4474" s="9" t="s">
        <v>4243</v>
      </c>
      <c r="M4474" s="8"/>
    </row>
    <row r="4475" spans="3:13" customFormat="1" x14ac:dyDescent="0.25">
      <c r="C4475" s="9" t="s">
        <v>4213</v>
      </c>
      <c r="D4475" s="9" t="s">
        <v>3252</v>
      </c>
      <c r="E4475" s="10"/>
      <c r="F4475" s="6">
        <v>130</v>
      </c>
      <c r="G4475" s="6">
        <f t="shared" si="224"/>
        <v>130</v>
      </c>
      <c r="H4475" s="6">
        <v>130</v>
      </c>
      <c r="I4475" s="26">
        <f t="shared" si="225"/>
        <v>0</v>
      </c>
      <c r="J4475" s="7" t="str">
        <f t="shared" si="226"/>
        <v>PAGADO</v>
      </c>
      <c r="K4475" s="33" t="s">
        <v>3506</v>
      </c>
      <c r="M4475" s="8"/>
    </row>
    <row r="4476" spans="3:13" customFormat="1" x14ac:dyDescent="0.25">
      <c r="C4476" s="9" t="s">
        <v>4244</v>
      </c>
      <c r="D4476" s="9" t="s">
        <v>2018</v>
      </c>
      <c r="E4476" s="10"/>
      <c r="F4476" s="6">
        <v>80</v>
      </c>
      <c r="G4476" s="6">
        <f t="shared" si="224"/>
        <v>80</v>
      </c>
      <c r="H4476" s="6">
        <v>80</v>
      </c>
      <c r="I4476" s="26">
        <f t="shared" si="225"/>
        <v>0</v>
      </c>
      <c r="J4476" s="7" t="str">
        <f t="shared" si="226"/>
        <v>PAGADO</v>
      </c>
      <c r="K4476" s="33" t="s">
        <v>3506</v>
      </c>
      <c r="M4476" s="8"/>
    </row>
    <row r="4477" spans="3:13" customFormat="1" x14ac:dyDescent="0.25">
      <c r="C4477" s="9" t="s">
        <v>4245</v>
      </c>
      <c r="D4477" s="9" t="s">
        <v>2018</v>
      </c>
      <c r="E4477" s="10"/>
      <c r="F4477" s="6">
        <v>50</v>
      </c>
      <c r="G4477" s="6">
        <f t="shared" si="224"/>
        <v>50</v>
      </c>
      <c r="H4477" s="6">
        <v>50</v>
      </c>
      <c r="I4477" s="26">
        <f t="shared" si="225"/>
        <v>0</v>
      </c>
      <c r="J4477" s="7" t="str">
        <f t="shared" si="226"/>
        <v>PAGADO</v>
      </c>
      <c r="K4477" s="33" t="s">
        <v>3506</v>
      </c>
      <c r="M4477" s="8"/>
    </row>
    <row r="4478" spans="3:13" customFormat="1" x14ac:dyDescent="0.25">
      <c r="C4478" s="9" t="s">
        <v>4246</v>
      </c>
      <c r="D4478" s="9" t="s">
        <v>2026</v>
      </c>
      <c r="E4478" s="10"/>
      <c r="F4478" s="6">
        <v>40</v>
      </c>
      <c r="G4478" s="6">
        <f t="shared" ref="G4478:G4541" si="227">F4478-E4478</f>
        <v>40</v>
      </c>
      <c r="H4478" s="6">
        <f>20+20</f>
        <v>40</v>
      </c>
      <c r="I4478" s="26">
        <f t="shared" si="225"/>
        <v>0</v>
      </c>
      <c r="J4478" s="7" t="str">
        <f t="shared" si="226"/>
        <v>PAGADO</v>
      </c>
      <c r="K4478" s="9" t="s">
        <v>3506</v>
      </c>
      <c r="M4478" s="8"/>
    </row>
    <row r="4479" spans="3:13" customFormat="1" x14ac:dyDescent="0.25">
      <c r="C4479" s="9" t="s">
        <v>4247</v>
      </c>
      <c r="D4479" s="9" t="s">
        <v>3549</v>
      </c>
      <c r="E4479" s="10"/>
      <c r="F4479" s="6">
        <v>60</v>
      </c>
      <c r="G4479" s="6">
        <f t="shared" si="227"/>
        <v>60</v>
      </c>
      <c r="H4479" s="6">
        <f>30+30</f>
        <v>60</v>
      </c>
      <c r="I4479" s="26">
        <f t="shared" si="225"/>
        <v>0</v>
      </c>
      <c r="J4479" s="7" t="str">
        <f t="shared" si="226"/>
        <v>PAGADO</v>
      </c>
      <c r="K4479" s="9" t="s">
        <v>3506</v>
      </c>
      <c r="M4479" s="8"/>
    </row>
    <row r="4480" spans="3:13" customFormat="1" x14ac:dyDescent="0.25">
      <c r="C4480" s="9" t="s">
        <v>4248</v>
      </c>
      <c r="D4480" s="9" t="s">
        <v>2363</v>
      </c>
      <c r="E4480" s="10"/>
      <c r="F4480" s="6">
        <v>40</v>
      </c>
      <c r="G4480" s="6">
        <f t="shared" si="227"/>
        <v>40</v>
      </c>
      <c r="H4480" s="6">
        <f>20+20</f>
        <v>40</v>
      </c>
      <c r="I4480" s="26">
        <f t="shared" si="225"/>
        <v>0</v>
      </c>
      <c r="J4480" s="7" t="str">
        <f t="shared" si="226"/>
        <v>PAGADO</v>
      </c>
      <c r="K4480" s="33" t="s">
        <v>693</v>
      </c>
      <c r="M4480" s="8"/>
    </row>
    <row r="4481" spans="3:13" customFormat="1" x14ac:dyDescent="0.25">
      <c r="C4481" s="9" t="s">
        <v>4249</v>
      </c>
      <c r="D4481" s="9" t="s">
        <v>2363</v>
      </c>
      <c r="E4481" s="10"/>
      <c r="F4481" s="6">
        <v>40</v>
      </c>
      <c r="G4481" s="6">
        <f t="shared" si="227"/>
        <v>40</v>
      </c>
      <c r="H4481" s="6">
        <f>20+20</f>
        <v>40</v>
      </c>
      <c r="I4481" s="26">
        <f t="shared" si="225"/>
        <v>0</v>
      </c>
      <c r="J4481" s="7" t="str">
        <f t="shared" si="226"/>
        <v>PAGADO</v>
      </c>
      <c r="K4481" s="33" t="s">
        <v>693</v>
      </c>
      <c r="M4481" s="8"/>
    </row>
    <row r="4482" spans="3:13" customFormat="1" x14ac:dyDescent="0.25">
      <c r="C4482" s="9" t="s">
        <v>4250</v>
      </c>
      <c r="D4482" s="9" t="s">
        <v>2363</v>
      </c>
      <c r="E4482" s="10"/>
      <c r="F4482" s="6">
        <v>40</v>
      </c>
      <c r="G4482" s="6">
        <f t="shared" si="227"/>
        <v>40</v>
      </c>
      <c r="H4482" s="6">
        <f>20+20</f>
        <v>40</v>
      </c>
      <c r="I4482" s="26">
        <f t="shared" si="225"/>
        <v>0</v>
      </c>
      <c r="J4482" s="7" t="str">
        <f t="shared" si="226"/>
        <v>PAGADO</v>
      </c>
      <c r="K4482" s="33" t="s">
        <v>693</v>
      </c>
      <c r="M4482" s="8"/>
    </row>
    <row r="4483" spans="3:13" customFormat="1" x14ac:dyDescent="0.25">
      <c r="C4483" s="9" t="s">
        <v>4251</v>
      </c>
      <c r="D4483" t="s">
        <v>3570</v>
      </c>
      <c r="E4483" s="10"/>
      <c r="F4483" s="6">
        <v>70</v>
      </c>
      <c r="G4483" s="6">
        <f t="shared" si="227"/>
        <v>70</v>
      </c>
      <c r="H4483" s="6">
        <f>35+35</f>
        <v>70</v>
      </c>
      <c r="I4483" s="26">
        <f t="shared" si="225"/>
        <v>0</v>
      </c>
      <c r="J4483" s="7" t="str">
        <f t="shared" si="226"/>
        <v>PAGADO</v>
      </c>
      <c r="K4483" s="9" t="s">
        <v>3506</v>
      </c>
      <c r="M4483" s="8"/>
    </row>
    <row r="4484" spans="3:13" customFormat="1" x14ac:dyDescent="0.25">
      <c r="C4484" s="9" t="s">
        <v>4252</v>
      </c>
      <c r="D4484" s="9" t="s">
        <v>4253</v>
      </c>
      <c r="E4484" s="10"/>
      <c r="F4484" s="6">
        <v>15</v>
      </c>
      <c r="G4484" s="6">
        <f t="shared" si="227"/>
        <v>15</v>
      </c>
      <c r="H4484" s="6">
        <v>7.5</v>
      </c>
      <c r="I4484" s="26">
        <f t="shared" si="225"/>
        <v>7.5</v>
      </c>
      <c r="J4484" s="7" t="str">
        <f t="shared" si="226"/>
        <v>DEBE</v>
      </c>
      <c r="K4484" s="9" t="s">
        <v>3506</v>
      </c>
      <c r="M4484" s="8"/>
    </row>
    <row r="4485" spans="3:13" customFormat="1" x14ac:dyDescent="0.25">
      <c r="C4485" s="9" t="s">
        <v>4254</v>
      </c>
      <c r="D4485" s="9" t="s">
        <v>1399</v>
      </c>
      <c r="E4485" s="10"/>
      <c r="F4485" s="6">
        <v>60</v>
      </c>
      <c r="G4485" s="6">
        <f t="shared" si="227"/>
        <v>60</v>
      </c>
      <c r="H4485" s="6">
        <f>30+30</f>
        <v>60</v>
      </c>
      <c r="I4485" s="26">
        <f t="shared" si="225"/>
        <v>0</v>
      </c>
      <c r="J4485" s="7" t="str">
        <f t="shared" si="226"/>
        <v>PAGADO</v>
      </c>
      <c r="K4485" s="33" t="s">
        <v>3506</v>
      </c>
      <c r="M4485" s="8"/>
    </row>
    <row r="4486" spans="3:13" customFormat="1" x14ac:dyDescent="0.25">
      <c r="C4486" s="9" t="s">
        <v>4255</v>
      </c>
      <c r="D4486" t="s">
        <v>4030</v>
      </c>
      <c r="E4486" s="10"/>
      <c r="F4486" s="6">
        <v>60</v>
      </c>
      <c r="G4486" s="6">
        <f t="shared" si="227"/>
        <v>60</v>
      </c>
      <c r="H4486" s="6">
        <f>30+30</f>
        <v>60</v>
      </c>
      <c r="I4486" s="26">
        <f t="shared" si="225"/>
        <v>0</v>
      </c>
      <c r="J4486" s="7" t="str">
        <f t="shared" si="226"/>
        <v>PAGADO</v>
      </c>
      <c r="K4486" s="9" t="s">
        <v>3506</v>
      </c>
      <c r="M4486" s="8"/>
    </row>
    <row r="4487" spans="3:13" customFormat="1" x14ac:dyDescent="0.25">
      <c r="C4487" s="9" t="s">
        <v>4255</v>
      </c>
      <c r="D4487" s="9" t="s">
        <v>3449</v>
      </c>
      <c r="E4487" s="10"/>
      <c r="F4487" s="6">
        <v>60</v>
      </c>
      <c r="G4487" s="6">
        <f t="shared" si="227"/>
        <v>60</v>
      </c>
      <c r="H4487" s="6">
        <f>50+10</f>
        <v>60</v>
      </c>
      <c r="I4487" s="26">
        <f t="shared" si="225"/>
        <v>0</v>
      </c>
      <c r="J4487" s="7" t="str">
        <f t="shared" si="226"/>
        <v>PAGADO</v>
      </c>
      <c r="K4487" s="9" t="s">
        <v>3506</v>
      </c>
      <c r="M4487" s="8"/>
    </row>
    <row r="4488" spans="3:13" customFormat="1" x14ac:dyDescent="0.25">
      <c r="C4488" s="9" t="s">
        <v>4256</v>
      </c>
      <c r="D4488" s="9" t="s">
        <v>3198</v>
      </c>
      <c r="E4488" s="10"/>
      <c r="F4488" s="6">
        <v>320</v>
      </c>
      <c r="G4488" s="6">
        <f t="shared" si="227"/>
        <v>320</v>
      </c>
      <c r="H4488" s="6">
        <v>320</v>
      </c>
      <c r="I4488" s="26">
        <f t="shared" si="225"/>
        <v>0</v>
      </c>
      <c r="J4488" s="7" t="str">
        <f t="shared" si="226"/>
        <v>PAGADO</v>
      </c>
      <c r="M4488" s="8"/>
    </row>
    <row r="4489" spans="3:13" customFormat="1" x14ac:dyDescent="0.25">
      <c r="C4489" s="9" t="s">
        <v>4257</v>
      </c>
      <c r="D4489" s="9" t="s">
        <v>3198</v>
      </c>
      <c r="E4489" s="10"/>
      <c r="F4489" s="6">
        <v>60</v>
      </c>
      <c r="G4489" s="6">
        <f t="shared" si="227"/>
        <v>60</v>
      </c>
      <c r="H4489" s="6">
        <v>60</v>
      </c>
      <c r="I4489" s="26">
        <f t="shared" si="225"/>
        <v>0</v>
      </c>
      <c r="J4489" s="7" t="str">
        <f t="shared" si="226"/>
        <v>PAGADO</v>
      </c>
      <c r="K4489" s="33" t="s">
        <v>3506</v>
      </c>
      <c r="M4489" s="8"/>
    </row>
    <row r="4490" spans="3:13" customFormat="1" x14ac:dyDescent="0.25">
      <c r="C4490" s="9" t="s">
        <v>4258</v>
      </c>
      <c r="D4490" s="9" t="s">
        <v>4259</v>
      </c>
      <c r="E4490" s="10"/>
      <c r="F4490" s="6">
        <v>40</v>
      </c>
      <c r="G4490" s="6">
        <f t="shared" si="227"/>
        <v>40</v>
      </c>
      <c r="H4490" s="6">
        <v>40</v>
      </c>
      <c r="I4490" s="26">
        <f t="shared" si="225"/>
        <v>0</v>
      </c>
      <c r="J4490" s="7" t="str">
        <f t="shared" si="226"/>
        <v>PAGADO</v>
      </c>
      <c r="M4490" s="8"/>
    </row>
    <row r="4491" spans="3:13" customFormat="1" x14ac:dyDescent="0.25">
      <c r="C4491" s="9" t="s">
        <v>4260</v>
      </c>
      <c r="D4491" s="9" t="s">
        <v>4107</v>
      </c>
      <c r="E4491" s="10"/>
      <c r="F4491" s="6">
        <v>50</v>
      </c>
      <c r="G4491" s="6">
        <f t="shared" si="227"/>
        <v>50</v>
      </c>
      <c r="H4491" s="6">
        <v>50</v>
      </c>
      <c r="I4491" s="26">
        <f t="shared" ref="I4491:I4554" si="228">F4491-H4491</f>
        <v>0</v>
      </c>
      <c r="J4491" s="7" t="str">
        <f t="shared" si="226"/>
        <v>PAGADO</v>
      </c>
      <c r="M4491" s="8"/>
    </row>
    <row r="4492" spans="3:13" customFormat="1" x14ac:dyDescent="0.25">
      <c r="C4492" s="9" t="s">
        <v>4261</v>
      </c>
      <c r="D4492" t="s">
        <v>2058</v>
      </c>
      <c r="E4492" s="10"/>
      <c r="F4492" s="6">
        <v>75</v>
      </c>
      <c r="G4492" s="6">
        <f t="shared" si="227"/>
        <v>75</v>
      </c>
      <c r="H4492" s="6">
        <v>75</v>
      </c>
      <c r="I4492" s="26">
        <f t="shared" si="228"/>
        <v>0</v>
      </c>
      <c r="J4492" s="7" t="str">
        <f t="shared" si="226"/>
        <v>PAGADO</v>
      </c>
      <c r="K4492" s="33" t="s">
        <v>2640</v>
      </c>
      <c r="M4492" s="8"/>
    </row>
    <row r="4493" spans="3:13" customFormat="1" x14ac:dyDescent="0.25">
      <c r="C4493" s="9" t="s">
        <v>4262</v>
      </c>
      <c r="D4493" s="9" t="s">
        <v>4117</v>
      </c>
      <c r="E4493" s="10"/>
      <c r="F4493" s="6">
        <v>260</v>
      </c>
      <c r="G4493" s="6">
        <f t="shared" si="227"/>
        <v>260</v>
      </c>
      <c r="H4493" s="6">
        <v>260</v>
      </c>
      <c r="I4493" s="26">
        <f t="shared" si="228"/>
        <v>0</v>
      </c>
      <c r="J4493" s="7" t="str">
        <f t="shared" si="226"/>
        <v>PAGADO</v>
      </c>
      <c r="K4493" s="9" t="s">
        <v>1056</v>
      </c>
      <c r="M4493" s="8"/>
    </row>
    <row r="4494" spans="3:13" customFormat="1" x14ac:dyDescent="0.25">
      <c r="C4494" s="9" t="s">
        <v>4199</v>
      </c>
      <c r="D4494" s="9" t="s">
        <v>4263</v>
      </c>
      <c r="E4494" s="10"/>
      <c r="F4494" s="6">
        <v>80</v>
      </c>
      <c r="G4494" s="6">
        <f t="shared" si="227"/>
        <v>80</v>
      </c>
      <c r="H4494" s="6">
        <f>40+40</f>
        <v>80</v>
      </c>
      <c r="I4494" s="26">
        <f t="shared" si="228"/>
        <v>0</v>
      </c>
      <c r="J4494" s="7" t="str">
        <f t="shared" si="226"/>
        <v>PAGADO</v>
      </c>
      <c r="K4494" s="9" t="s">
        <v>3506</v>
      </c>
      <c r="M4494" s="8"/>
    </row>
    <row r="4495" spans="3:13" customFormat="1" x14ac:dyDescent="0.25">
      <c r="C4495" s="9" t="s">
        <v>4264</v>
      </c>
      <c r="D4495" s="9" t="s">
        <v>4265</v>
      </c>
      <c r="E4495" s="10"/>
      <c r="F4495" s="6">
        <v>60</v>
      </c>
      <c r="G4495" s="6">
        <f t="shared" si="227"/>
        <v>60</v>
      </c>
      <c r="H4495" s="6">
        <v>60</v>
      </c>
      <c r="I4495" s="26">
        <f t="shared" si="228"/>
        <v>0</v>
      </c>
      <c r="J4495" s="7" t="str">
        <f t="shared" si="226"/>
        <v>PAGADO</v>
      </c>
      <c r="M4495" s="8"/>
    </row>
    <row r="4496" spans="3:13" customFormat="1" x14ac:dyDescent="0.25">
      <c r="C4496" t="s">
        <v>2354</v>
      </c>
      <c r="D4496" s="9" t="s">
        <v>4266</v>
      </c>
      <c r="E4496" s="10"/>
      <c r="F4496" s="6">
        <v>150</v>
      </c>
      <c r="G4496" s="6">
        <f t="shared" si="227"/>
        <v>150</v>
      </c>
      <c r="H4496" s="6">
        <f>20+130</f>
        <v>150</v>
      </c>
      <c r="I4496" s="26">
        <f t="shared" si="228"/>
        <v>0</v>
      </c>
      <c r="J4496" s="7" t="str">
        <f t="shared" si="226"/>
        <v>PAGADO</v>
      </c>
      <c r="M4496" s="8"/>
    </row>
    <row r="4497" spans="3:13" customFormat="1" x14ac:dyDescent="0.25">
      <c r="C4497" s="9" t="s">
        <v>4267</v>
      </c>
      <c r="D4497" s="9" t="s">
        <v>882</v>
      </c>
      <c r="E4497" s="10"/>
      <c r="F4497" s="6">
        <v>50</v>
      </c>
      <c r="G4497" s="6">
        <f t="shared" si="227"/>
        <v>50</v>
      </c>
      <c r="H4497" s="6">
        <f>20+30</f>
        <v>50</v>
      </c>
      <c r="I4497" s="26">
        <f t="shared" si="228"/>
        <v>0</v>
      </c>
      <c r="J4497" s="7" t="str">
        <f t="shared" si="226"/>
        <v>PAGADO</v>
      </c>
      <c r="M4497" s="8"/>
    </row>
    <row r="4498" spans="3:13" customFormat="1" x14ac:dyDescent="0.25">
      <c r="C4498" s="9" t="s">
        <v>4268</v>
      </c>
      <c r="D4498" s="9" t="s">
        <v>1535</v>
      </c>
      <c r="E4498" s="10"/>
      <c r="F4498" s="6">
        <v>70</v>
      </c>
      <c r="G4498" s="6">
        <f t="shared" si="227"/>
        <v>70</v>
      </c>
      <c r="H4498" s="6">
        <v>70</v>
      </c>
      <c r="I4498" s="26">
        <f t="shared" si="228"/>
        <v>0</v>
      </c>
      <c r="J4498" s="7" t="str">
        <f t="shared" si="226"/>
        <v>PAGADO</v>
      </c>
      <c r="M4498" s="8"/>
    </row>
    <row r="4499" spans="3:13" customFormat="1" x14ac:dyDescent="0.25">
      <c r="C4499" s="9" t="s">
        <v>4269</v>
      </c>
      <c r="D4499" s="9" t="s">
        <v>4270</v>
      </c>
      <c r="E4499" s="10"/>
      <c r="F4499" s="6">
        <v>300</v>
      </c>
      <c r="G4499" s="6">
        <f t="shared" si="227"/>
        <v>300</v>
      </c>
      <c r="H4499" s="6">
        <v>300</v>
      </c>
      <c r="I4499" s="26">
        <f t="shared" si="228"/>
        <v>0</v>
      </c>
      <c r="J4499" s="7" t="str">
        <f t="shared" si="226"/>
        <v>PAGADO</v>
      </c>
      <c r="M4499" s="8"/>
    </row>
    <row r="4500" spans="3:13" customFormat="1" x14ac:dyDescent="0.25">
      <c r="C4500" s="9" t="s">
        <v>4271</v>
      </c>
      <c r="D4500" s="9" t="s">
        <v>4272</v>
      </c>
      <c r="E4500" s="10"/>
      <c r="F4500" s="6">
        <v>150</v>
      </c>
      <c r="G4500" s="6">
        <f t="shared" si="227"/>
        <v>150</v>
      </c>
      <c r="H4500" s="6">
        <v>150</v>
      </c>
      <c r="I4500" s="26">
        <f t="shared" si="228"/>
        <v>0</v>
      </c>
      <c r="J4500" s="7" t="str">
        <f t="shared" si="226"/>
        <v>PAGADO</v>
      </c>
      <c r="M4500" s="8"/>
    </row>
    <row r="4501" spans="3:13" customFormat="1" x14ac:dyDescent="0.25">
      <c r="C4501" s="9" t="s">
        <v>2641</v>
      </c>
      <c r="D4501" s="9" t="s">
        <v>2360</v>
      </c>
      <c r="E4501" s="10"/>
      <c r="F4501" s="6">
        <v>60</v>
      </c>
      <c r="G4501" s="6">
        <f t="shared" si="227"/>
        <v>60</v>
      </c>
      <c r="H4501" s="6">
        <v>60</v>
      </c>
      <c r="I4501" s="26">
        <f t="shared" si="228"/>
        <v>0</v>
      </c>
      <c r="J4501" s="7" t="str">
        <f t="shared" si="226"/>
        <v>PAGADO</v>
      </c>
      <c r="M4501" s="8"/>
    </row>
    <row r="4502" spans="3:13" customFormat="1" x14ac:dyDescent="0.25">
      <c r="C4502" s="9" t="s">
        <v>3084</v>
      </c>
      <c r="D4502" s="9" t="s">
        <v>4273</v>
      </c>
      <c r="E4502" s="10"/>
      <c r="F4502" s="6">
        <v>100</v>
      </c>
      <c r="G4502" s="6">
        <f t="shared" si="227"/>
        <v>100</v>
      </c>
      <c r="H4502" s="6">
        <v>100</v>
      </c>
      <c r="I4502" s="26">
        <f t="shared" si="228"/>
        <v>0</v>
      </c>
      <c r="J4502" s="7" t="str">
        <f t="shared" si="226"/>
        <v>PAGADO</v>
      </c>
      <c r="M4502" s="8"/>
    </row>
    <row r="4503" spans="3:13" customFormat="1" x14ac:dyDescent="0.25">
      <c r="C4503" s="9" t="s">
        <v>4147</v>
      </c>
      <c r="D4503" s="9" t="s">
        <v>3331</v>
      </c>
      <c r="E4503" s="10"/>
      <c r="F4503" s="6">
        <v>90</v>
      </c>
      <c r="G4503" s="6">
        <f t="shared" si="227"/>
        <v>90</v>
      </c>
      <c r="H4503" s="6">
        <f>45+20+20+5</f>
        <v>90</v>
      </c>
      <c r="I4503" s="26">
        <f t="shared" si="228"/>
        <v>0</v>
      </c>
      <c r="J4503" s="7" t="str">
        <f t="shared" si="226"/>
        <v>PAGADO</v>
      </c>
      <c r="K4503" s="9" t="s">
        <v>3506</v>
      </c>
      <c r="L4503" s="9" t="s">
        <v>4274</v>
      </c>
      <c r="M4503" s="8"/>
    </row>
    <row r="4504" spans="3:13" customFormat="1" x14ac:dyDescent="0.25">
      <c r="C4504" s="9" t="s">
        <v>4275</v>
      </c>
      <c r="D4504" s="9" t="s">
        <v>2018</v>
      </c>
      <c r="E4504" s="10"/>
      <c r="F4504" s="6">
        <v>65</v>
      </c>
      <c r="G4504" s="6">
        <f t="shared" si="227"/>
        <v>65</v>
      </c>
      <c r="H4504" s="6">
        <v>65</v>
      </c>
      <c r="I4504" s="26">
        <f t="shared" si="228"/>
        <v>0</v>
      </c>
      <c r="J4504" s="7" t="str">
        <f t="shared" si="226"/>
        <v>PAGADO</v>
      </c>
      <c r="K4504" t="s">
        <v>4194</v>
      </c>
      <c r="M4504" s="8"/>
    </row>
    <row r="4505" spans="3:13" customFormat="1" x14ac:dyDescent="0.25">
      <c r="C4505" s="9" t="s">
        <v>4276</v>
      </c>
      <c r="D4505" s="9" t="s">
        <v>3376</v>
      </c>
      <c r="E4505" s="10"/>
      <c r="F4505" s="6">
        <v>80</v>
      </c>
      <c r="G4505" s="6">
        <f t="shared" si="227"/>
        <v>80</v>
      </c>
      <c r="H4505" s="6">
        <v>80</v>
      </c>
      <c r="I4505" s="26">
        <f t="shared" si="228"/>
        <v>0</v>
      </c>
      <c r="J4505" s="7" t="str">
        <f t="shared" si="226"/>
        <v>PAGADO</v>
      </c>
      <c r="M4505" s="8"/>
    </row>
    <row r="4506" spans="3:13" customFormat="1" x14ac:dyDescent="0.25">
      <c r="C4506" s="9" t="s">
        <v>1909</v>
      </c>
      <c r="D4506" s="9" t="s">
        <v>3376</v>
      </c>
      <c r="E4506" s="10"/>
      <c r="F4506" s="6">
        <v>80</v>
      </c>
      <c r="G4506" s="6">
        <f t="shared" si="227"/>
        <v>80</v>
      </c>
      <c r="H4506" s="6">
        <v>80</v>
      </c>
      <c r="I4506" s="26">
        <f t="shared" si="228"/>
        <v>0</v>
      </c>
      <c r="J4506" s="7" t="str">
        <f t="shared" si="226"/>
        <v>PAGADO</v>
      </c>
      <c r="M4506" s="8"/>
    </row>
    <row r="4507" spans="3:13" customFormat="1" x14ac:dyDescent="0.25">
      <c r="C4507" s="9" t="s">
        <v>4277</v>
      </c>
      <c r="D4507" t="s">
        <v>4278</v>
      </c>
      <c r="E4507" s="10"/>
      <c r="F4507" s="6">
        <v>60</v>
      </c>
      <c r="G4507" s="6">
        <f t="shared" si="227"/>
        <v>60</v>
      </c>
      <c r="H4507" s="6">
        <v>60</v>
      </c>
      <c r="I4507" s="26">
        <f t="shared" si="228"/>
        <v>0</v>
      </c>
      <c r="J4507" s="7" t="str">
        <f t="shared" si="226"/>
        <v>PAGADO</v>
      </c>
      <c r="M4507" s="8"/>
    </row>
    <row r="4508" spans="3:13" customFormat="1" x14ac:dyDescent="0.25">
      <c r="C4508" s="9" t="s">
        <v>4279</v>
      </c>
      <c r="D4508" s="9" t="s">
        <v>2105</v>
      </c>
      <c r="E4508" s="10"/>
      <c r="F4508" s="6">
        <v>240</v>
      </c>
      <c r="G4508" s="6">
        <f t="shared" si="227"/>
        <v>240</v>
      </c>
      <c r="H4508" s="6">
        <v>240</v>
      </c>
      <c r="I4508" s="26">
        <f t="shared" si="228"/>
        <v>0</v>
      </c>
      <c r="J4508" s="7" t="str">
        <f t="shared" si="226"/>
        <v>PAGADO</v>
      </c>
      <c r="K4508" s="33" t="s">
        <v>2640</v>
      </c>
      <c r="M4508" s="8"/>
    </row>
    <row r="4509" spans="3:13" customFormat="1" x14ac:dyDescent="0.25">
      <c r="C4509" s="9" t="s">
        <v>963</v>
      </c>
      <c r="D4509" s="9" t="s">
        <v>2857</v>
      </c>
      <c r="E4509" s="10"/>
      <c r="F4509" s="6">
        <v>60</v>
      </c>
      <c r="G4509" s="6">
        <f t="shared" si="227"/>
        <v>60</v>
      </c>
      <c r="H4509" s="6">
        <v>60</v>
      </c>
      <c r="I4509" s="26">
        <f t="shared" si="228"/>
        <v>0</v>
      </c>
      <c r="J4509" s="7" t="str">
        <f t="shared" si="226"/>
        <v>PAGADO</v>
      </c>
      <c r="M4509" s="8"/>
    </row>
    <row r="4510" spans="3:13" customFormat="1" x14ac:dyDescent="0.25">
      <c r="C4510" t="s">
        <v>4280</v>
      </c>
      <c r="D4510" s="9" t="s">
        <v>238</v>
      </c>
      <c r="E4510" s="10"/>
      <c r="F4510" s="6">
        <v>70</v>
      </c>
      <c r="G4510" s="6">
        <f t="shared" si="227"/>
        <v>70</v>
      </c>
      <c r="H4510" s="6">
        <v>70</v>
      </c>
      <c r="I4510" s="26">
        <f t="shared" si="228"/>
        <v>0</v>
      </c>
      <c r="J4510" s="7" t="str">
        <f t="shared" si="226"/>
        <v>PAGADO</v>
      </c>
      <c r="M4510" s="8"/>
    </row>
    <row r="4511" spans="3:13" customFormat="1" x14ac:dyDescent="0.25">
      <c r="C4511" s="9" t="s">
        <v>4281</v>
      </c>
      <c r="D4511" s="9" t="s">
        <v>3213</v>
      </c>
      <c r="E4511" s="10"/>
      <c r="F4511" s="6">
        <v>200</v>
      </c>
      <c r="G4511" s="6">
        <f t="shared" si="227"/>
        <v>200</v>
      </c>
      <c r="H4511" s="6">
        <v>200</v>
      </c>
      <c r="I4511" s="26">
        <f t="shared" si="228"/>
        <v>0</v>
      </c>
      <c r="J4511" s="7" t="str">
        <f t="shared" si="226"/>
        <v>PAGADO</v>
      </c>
      <c r="L4511" t="s">
        <v>3561</v>
      </c>
      <c r="M4511" s="8"/>
    </row>
    <row r="4512" spans="3:13" customFormat="1" x14ac:dyDescent="0.25">
      <c r="C4512" s="9" t="s">
        <v>4282</v>
      </c>
      <c r="D4512" s="9" t="s">
        <v>2548</v>
      </c>
      <c r="E4512" s="10"/>
      <c r="F4512" s="6">
        <v>30</v>
      </c>
      <c r="G4512" s="6">
        <f t="shared" si="227"/>
        <v>30</v>
      </c>
      <c r="H4512" s="6">
        <v>30</v>
      </c>
      <c r="I4512" s="26">
        <f t="shared" si="228"/>
        <v>0</v>
      </c>
      <c r="J4512" s="7" t="str">
        <f t="shared" si="226"/>
        <v>PAGADO</v>
      </c>
      <c r="M4512" s="8"/>
    </row>
    <row r="4513" spans="3:13" customFormat="1" x14ac:dyDescent="0.25">
      <c r="C4513" s="9" t="s">
        <v>4283</v>
      </c>
      <c r="D4513" s="9" t="s">
        <v>4172</v>
      </c>
      <c r="E4513" s="10"/>
      <c r="F4513" s="6">
        <v>15</v>
      </c>
      <c r="G4513" s="6">
        <f t="shared" si="227"/>
        <v>15</v>
      </c>
      <c r="H4513" s="6">
        <v>15</v>
      </c>
      <c r="I4513" s="26">
        <f t="shared" si="228"/>
        <v>0</v>
      </c>
      <c r="J4513" s="7" t="str">
        <f t="shared" si="226"/>
        <v>PAGADO</v>
      </c>
      <c r="K4513" s="33" t="s">
        <v>1056</v>
      </c>
      <c r="M4513" s="8"/>
    </row>
    <row r="4514" spans="3:13" customFormat="1" x14ac:dyDescent="0.25">
      <c r="C4514" s="9" t="s">
        <v>4284</v>
      </c>
      <c r="D4514" s="9" t="s">
        <v>3331</v>
      </c>
      <c r="E4514" s="10"/>
      <c r="F4514" s="6">
        <v>50</v>
      </c>
      <c r="G4514" s="6">
        <f t="shared" si="227"/>
        <v>50</v>
      </c>
      <c r="H4514" s="6">
        <v>50</v>
      </c>
      <c r="I4514" s="26">
        <f t="shared" si="228"/>
        <v>0</v>
      </c>
      <c r="J4514" s="7" t="str">
        <f t="shared" si="226"/>
        <v>PAGADO</v>
      </c>
      <c r="M4514" s="8"/>
    </row>
    <row r="4515" spans="3:13" customFormat="1" x14ac:dyDescent="0.25">
      <c r="C4515" s="9" t="s">
        <v>1819</v>
      </c>
      <c r="D4515" s="9" t="s">
        <v>1309</v>
      </c>
      <c r="E4515" s="10"/>
      <c r="F4515" s="6">
        <v>60</v>
      </c>
      <c r="G4515" s="6">
        <f t="shared" si="227"/>
        <v>60</v>
      </c>
      <c r="H4515" s="24">
        <v>60</v>
      </c>
      <c r="I4515" s="26">
        <f t="shared" si="228"/>
        <v>0</v>
      </c>
      <c r="J4515" s="7" t="str">
        <f t="shared" ref="J4515:J4578" si="229">IF(I4515&gt;0,"DEBE","PAGADO")</f>
        <v>PAGADO</v>
      </c>
      <c r="K4515" s="33" t="s">
        <v>2640</v>
      </c>
      <c r="M4515" s="8"/>
    </row>
    <row r="4516" spans="3:13" customFormat="1" x14ac:dyDescent="0.25">
      <c r="C4516" s="9" t="s">
        <v>2186</v>
      </c>
      <c r="D4516" s="9" t="s">
        <v>18</v>
      </c>
      <c r="E4516" s="10"/>
      <c r="F4516" s="6">
        <v>65</v>
      </c>
      <c r="G4516" s="6">
        <f t="shared" si="227"/>
        <v>65</v>
      </c>
      <c r="H4516" s="6">
        <v>65</v>
      </c>
      <c r="I4516" s="26">
        <f t="shared" si="228"/>
        <v>0</v>
      </c>
      <c r="J4516" s="7" t="str">
        <f t="shared" si="229"/>
        <v>PAGADO</v>
      </c>
      <c r="K4516" s="33" t="s">
        <v>3506</v>
      </c>
      <c r="M4516" s="8"/>
    </row>
    <row r="4517" spans="3:13" customFormat="1" x14ac:dyDescent="0.25">
      <c r="C4517" s="9" t="s">
        <v>4285</v>
      </c>
      <c r="D4517" s="9" t="s">
        <v>2548</v>
      </c>
      <c r="E4517" s="10"/>
      <c r="F4517" s="6">
        <v>80</v>
      </c>
      <c r="G4517" s="6">
        <f t="shared" si="227"/>
        <v>80</v>
      </c>
      <c r="H4517" s="6">
        <v>80</v>
      </c>
      <c r="I4517" s="48">
        <f t="shared" si="228"/>
        <v>0</v>
      </c>
      <c r="J4517" s="7" t="str">
        <f t="shared" si="229"/>
        <v>PAGADO</v>
      </c>
      <c r="K4517" s="33" t="s">
        <v>3506</v>
      </c>
      <c r="M4517" s="8"/>
    </row>
    <row r="4518" spans="3:13" customFormat="1" x14ac:dyDescent="0.25">
      <c r="C4518" s="9" t="s">
        <v>4260</v>
      </c>
      <c r="D4518" s="9" t="s">
        <v>3331</v>
      </c>
      <c r="E4518" s="10"/>
      <c r="F4518" s="6">
        <v>60</v>
      </c>
      <c r="G4518" s="6">
        <f t="shared" si="227"/>
        <v>60</v>
      </c>
      <c r="H4518" s="6">
        <f>30+30</f>
        <v>60</v>
      </c>
      <c r="I4518" s="26">
        <f t="shared" si="228"/>
        <v>0</v>
      </c>
      <c r="J4518" s="7" t="str">
        <f t="shared" si="229"/>
        <v>PAGADO</v>
      </c>
      <c r="M4518" s="8"/>
    </row>
    <row r="4519" spans="3:13" customFormat="1" x14ac:dyDescent="0.25">
      <c r="C4519" s="9" t="s">
        <v>4286</v>
      </c>
      <c r="D4519" s="9" t="s">
        <v>3198</v>
      </c>
      <c r="E4519" s="10"/>
      <c r="F4519" s="6">
        <v>65</v>
      </c>
      <c r="G4519" s="6">
        <f t="shared" si="227"/>
        <v>65</v>
      </c>
      <c r="H4519" s="6">
        <v>65</v>
      </c>
      <c r="I4519" s="26">
        <f t="shared" si="228"/>
        <v>0</v>
      </c>
      <c r="J4519" s="7" t="str">
        <f t="shared" si="229"/>
        <v>PAGADO</v>
      </c>
      <c r="K4519" s="33" t="s">
        <v>2639</v>
      </c>
      <c r="M4519" s="8"/>
    </row>
    <row r="4520" spans="3:13" customFormat="1" x14ac:dyDescent="0.25">
      <c r="C4520" s="9" t="s">
        <v>3996</v>
      </c>
      <c r="D4520" s="9" t="s">
        <v>2363</v>
      </c>
      <c r="E4520" s="10"/>
      <c r="F4520" s="6">
        <v>80</v>
      </c>
      <c r="G4520" s="6">
        <f t="shared" si="227"/>
        <v>80</v>
      </c>
      <c r="H4520" s="6">
        <f>40+40</f>
        <v>80</v>
      </c>
      <c r="I4520" s="26">
        <f t="shared" si="228"/>
        <v>0</v>
      </c>
      <c r="J4520" s="7" t="str">
        <f t="shared" si="229"/>
        <v>PAGADO</v>
      </c>
      <c r="K4520" s="33" t="s">
        <v>693</v>
      </c>
      <c r="M4520" s="8"/>
    </row>
    <row r="4521" spans="3:13" customFormat="1" x14ac:dyDescent="0.25">
      <c r="C4521" s="9" t="s">
        <v>4287</v>
      </c>
      <c r="D4521" s="9" t="s">
        <v>2363</v>
      </c>
      <c r="E4521" s="10"/>
      <c r="F4521" s="6">
        <v>75</v>
      </c>
      <c r="G4521" s="6">
        <f t="shared" si="227"/>
        <v>75</v>
      </c>
      <c r="H4521" s="6">
        <f>37.5+37.5</f>
        <v>75</v>
      </c>
      <c r="I4521" s="26">
        <f t="shared" si="228"/>
        <v>0</v>
      </c>
      <c r="J4521" s="7" t="str">
        <f t="shared" si="229"/>
        <v>PAGADO</v>
      </c>
      <c r="K4521" s="33" t="s">
        <v>693</v>
      </c>
      <c r="M4521" s="8"/>
    </row>
    <row r="4522" spans="3:13" customFormat="1" x14ac:dyDescent="0.25">
      <c r="C4522" s="9" t="s">
        <v>4288</v>
      </c>
      <c r="D4522" s="9" t="s">
        <v>2363</v>
      </c>
      <c r="E4522" s="10"/>
      <c r="F4522" s="6">
        <v>65</v>
      </c>
      <c r="G4522" s="6">
        <f t="shared" si="227"/>
        <v>65</v>
      </c>
      <c r="H4522" s="6">
        <f>32.5+32.5</f>
        <v>65</v>
      </c>
      <c r="I4522" s="26">
        <f t="shared" si="228"/>
        <v>0</v>
      </c>
      <c r="J4522" s="7" t="str">
        <f t="shared" si="229"/>
        <v>PAGADO</v>
      </c>
      <c r="K4522" s="33" t="s">
        <v>693</v>
      </c>
      <c r="M4522" s="8"/>
    </row>
    <row r="4523" spans="3:13" customFormat="1" x14ac:dyDescent="0.25">
      <c r="C4523" t="s">
        <v>4289</v>
      </c>
      <c r="D4523" s="9" t="s">
        <v>4273</v>
      </c>
      <c r="E4523" s="10"/>
      <c r="F4523" s="6">
        <v>80</v>
      </c>
      <c r="G4523" s="6">
        <f t="shared" si="227"/>
        <v>80</v>
      </c>
      <c r="H4523" s="6">
        <f>20+60</f>
        <v>80</v>
      </c>
      <c r="I4523" s="26">
        <f t="shared" si="228"/>
        <v>0</v>
      </c>
      <c r="J4523" s="7" t="str">
        <f t="shared" si="229"/>
        <v>PAGADO</v>
      </c>
      <c r="M4523" s="8"/>
    </row>
    <row r="4524" spans="3:13" customFormat="1" x14ac:dyDescent="0.25">
      <c r="C4524" s="9" t="s">
        <v>4290</v>
      </c>
      <c r="D4524" s="9" t="s">
        <v>4291</v>
      </c>
      <c r="E4524" s="10"/>
      <c r="F4524" s="6">
        <v>25</v>
      </c>
      <c r="G4524" s="6">
        <f t="shared" si="227"/>
        <v>25</v>
      </c>
      <c r="H4524" s="6">
        <v>25</v>
      </c>
      <c r="I4524" s="26">
        <f t="shared" si="228"/>
        <v>0</v>
      </c>
      <c r="J4524" s="7" t="str">
        <f t="shared" si="229"/>
        <v>PAGADO</v>
      </c>
      <c r="M4524" s="8"/>
    </row>
    <row r="4525" spans="3:13" customFormat="1" x14ac:dyDescent="0.25">
      <c r="C4525" t="s">
        <v>4292</v>
      </c>
      <c r="D4525" s="9" t="s">
        <v>4253</v>
      </c>
      <c r="E4525" s="10"/>
      <c r="F4525" s="6">
        <v>15</v>
      </c>
      <c r="G4525" s="6">
        <f t="shared" si="227"/>
        <v>15</v>
      </c>
      <c r="H4525" s="6">
        <v>15</v>
      </c>
      <c r="I4525" s="26">
        <f t="shared" si="228"/>
        <v>0</v>
      </c>
      <c r="J4525" s="7" t="str">
        <f t="shared" si="229"/>
        <v>PAGADO</v>
      </c>
      <c r="M4525" s="8"/>
    </row>
    <row r="4526" spans="3:13" customFormat="1" x14ac:dyDescent="0.25">
      <c r="C4526" t="s">
        <v>4293</v>
      </c>
      <c r="D4526" t="s">
        <v>700</v>
      </c>
      <c r="E4526" s="10"/>
      <c r="F4526" s="6">
        <v>70</v>
      </c>
      <c r="G4526" s="6">
        <f t="shared" si="227"/>
        <v>70</v>
      </c>
      <c r="H4526" s="6">
        <v>70</v>
      </c>
      <c r="I4526" s="26">
        <f t="shared" si="228"/>
        <v>0</v>
      </c>
      <c r="J4526" s="7" t="str">
        <f t="shared" si="229"/>
        <v>PAGADO</v>
      </c>
      <c r="M4526" s="8"/>
    </row>
    <row r="4527" spans="3:13" customFormat="1" x14ac:dyDescent="0.25">
      <c r="C4527" t="s">
        <v>2822</v>
      </c>
      <c r="D4527" t="s">
        <v>4294</v>
      </c>
      <c r="E4527" s="10"/>
      <c r="F4527" s="6">
        <v>80</v>
      </c>
      <c r="G4527" s="6">
        <f t="shared" si="227"/>
        <v>80</v>
      </c>
      <c r="H4527" s="6">
        <v>80</v>
      </c>
      <c r="I4527" s="26">
        <f t="shared" si="228"/>
        <v>0</v>
      </c>
      <c r="J4527" s="7" t="str">
        <f t="shared" si="229"/>
        <v>PAGADO</v>
      </c>
      <c r="M4527" s="8"/>
    </row>
    <row r="4528" spans="3:13" customFormat="1" x14ac:dyDescent="0.25">
      <c r="C4528" t="s">
        <v>4295</v>
      </c>
      <c r="D4528" t="s">
        <v>4294</v>
      </c>
      <c r="E4528" s="10"/>
      <c r="F4528" s="6">
        <v>80</v>
      </c>
      <c r="G4528" s="6">
        <f t="shared" si="227"/>
        <v>80</v>
      </c>
      <c r="H4528" s="6">
        <v>80</v>
      </c>
      <c r="I4528" s="26">
        <f t="shared" si="228"/>
        <v>0</v>
      </c>
      <c r="J4528" s="7" t="str">
        <f t="shared" si="229"/>
        <v>PAGADO</v>
      </c>
      <c r="M4528" s="8"/>
    </row>
    <row r="4529" spans="3:13" customFormat="1" x14ac:dyDescent="0.25">
      <c r="C4529" t="s">
        <v>3555</v>
      </c>
      <c r="D4529" t="s">
        <v>4294</v>
      </c>
      <c r="E4529" s="10"/>
      <c r="F4529" s="6">
        <v>60</v>
      </c>
      <c r="G4529" s="6">
        <f t="shared" si="227"/>
        <v>60</v>
      </c>
      <c r="H4529" s="6">
        <v>60</v>
      </c>
      <c r="I4529" s="26">
        <f t="shared" si="228"/>
        <v>0</v>
      </c>
      <c r="J4529" s="7" t="str">
        <f t="shared" si="229"/>
        <v>PAGADO</v>
      </c>
      <c r="M4529" s="8"/>
    </row>
    <row r="4530" spans="3:13" customFormat="1" x14ac:dyDescent="0.25">
      <c r="C4530" t="s">
        <v>4296</v>
      </c>
      <c r="D4530" t="s">
        <v>4297</v>
      </c>
      <c r="E4530" s="10"/>
      <c r="F4530" s="6">
        <v>15</v>
      </c>
      <c r="G4530" s="6">
        <f t="shared" si="227"/>
        <v>15</v>
      </c>
      <c r="H4530" s="6">
        <v>15</v>
      </c>
      <c r="I4530" s="26">
        <f t="shared" si="228"/>
        <v>0</v>
      </c>
      <c r="J4530" s="7" t="str">
        <f t="shared" si="229"/>
        <v>PAGADO</v>
      </c>
      <c r="M4530" s="8"/>
    </row>
    <row r="4531" spans="3:13" customFormat="1" x14ac:dyDescent="0.25">
      <c r="C4531" s="9" t="s">
        <v>4298</v>
      </c>
      <c r="D4531" s="9" t="s">
        <v>4172</v>
      </c>
      <c r="E4531" s="10"/>
      <c r="F4531" s="6">
        <v>45</v>
      </c>
      <c r="G4531" s="6">
        <f t="shared" si="227"/>
        <v>45</v>
      </c>
      <c r="H4531" s="6">
        <v>45</v>
      </c>
      <c r="I4531" s="26">
        <f t="shared" si="228"/>
        <v>0</v>
      </c>
      <c r="J4531" s="7" t="str">
        <f t="shared" si="229"/>
        <v>PAGADO</v>
      </c>
      <c r="K4531" s="33" t="s">
        <v>3506</v>
      </c>
      <c r="M4531" s="8"/>
    </row>
    <row r="4532" spans="3:13" customFormat="1" x14ac:dyDescent="0.25">
      <c r="C4532" s="9" t="s">
        <v>4299</v>
      </c>
      <c r="D4532" s="9" t="s">
        <v>4172</v>
      </c>
      <c r="E4532" s="10"/>
      <c r="F4532" s="6">
        <v>35</v>
      </c>
      <c r="G4532" s="6">
        <f t="shared" si="227"/>
        <v>35</v>
      </c>
      <c r="H4532" s="6">
        <v>35</v>
      </c>
      <c r="I4532" s="26">
        <f t="shared" si="228"/>
        <v>0</v>
      </c>
      <c r="J4532" s="7" t="str">
        <f t="shared" si="229"/>
        <v>PAGADO</v>
      </c>
      <c r="K4532" s="33" t="s">
        <v>3506</v>
      </c>
      <c r="M4532" s="8"/>
    </row>
    <row r="4533" spans="3:13" customFormat="1" x14ac:dyDescent="0.25">
      <c r="C4533" s="9" t="s">
        <v>4300</v>
      </c>
      <c r="D4533" s="9" t="s">
        <v>2878</v>
      </c>
      <c r="E4533" s="10"/>
      <c r="F4533" s="6">
        <v>160</v>
      </c>
      <c r="G4533" s="6">
        <f t="shared" si="227"/>
        <v>160</v>
      </c>
      <c r="H4533" s="6">
        <v>160</v>
      </c>
      <c r="I4533" s="26">
        <f t="shared" si="228"/>
        <v>0</v>
      </c>
      <c r="J4533" s="7" t="str">
        <f t="shared" si="229"/>
        <v>PAGADO</v>
      </c>
      <c r="M4533" s="8"/>
    </row>
    <row r="4534" spans="3:13" customFormat="1" x14ac:dyDescent="0.25">
      <c r="C4534" s="9" t="s">
        <v>4301</v>
      </c>
      <c r="D4534" s="9" t="s">
        <v>2878</v>
      </c>
      <c r="E4534" s="10"/>
      <c r="F4534" s="6">
        <v>440</v>
      </c>
      <c r="G4534" s="6">
        <f t="shared" si="227"/>
        <v>440</v>
      </c>
      <c r="H4534" s="6">
        <f>300+140</f>
        <v>440</v>
      </c>
      <c r="I4534" s="26">
        <f t="shared" si="228"/>
        <v>0</v>
      </c>
      <c r="J4534" s="7" t="str">
        <f t="shared" si="229"/>
        <v>PAGADO</v>
      </c>
      <c r="M4534" s="8"/>
    </row>
    <row r="4535" spans="3:13" customFormat="1" x14ac:dyDescent="0.25">
      <c r="C4535" s="9" t="s">
        <v>4302</v>
      </c>
      <c r="D4535" s="9" t="s">
        <v>3599</v>
      </c>
      <c r="E4535" s="10"/>
      <c r="F4535" s="6">
        <v>70</v>
      </c>
      <c r="G4535" s="6">
        <f t="shared" si="227"/>
        <v>70</v>
      </c>
      <c r="H4535" s="6">
        <v>70</v>
      </c>
      <c r="I4535" s="26">
        <f t="shared" si="228"/>
        <v>0</v>
      </c>
      <c r="J4535" s="7" t="str">
        <f t="shared" si="229"/>
        <v>PAGADO</v>
      </c>
      <c r="M4535" s="8"/>
    </row>
    <row r="4536" spans="3:13" customFormat="1" x14ac:dyDescent="0.25">
      <c r="C4536" s="9" t="s">
        <v>4303</v>
      </c>
      <c r="D4536" s="9" t="s">
        <v>3599</v>
      </c>
      <c r="E4536" s="10"/>
      <c r="F4536" s="6">
        <v>50</v>
      </c>
      <c r="G4536" s="6">
        <f t="shared" si="227"/>
        <v>50</v>
      </c>
      <c r="H4536" s="6">
        <v>50</v>
      </c>
      <c r="I4536" s="26">
        <f t="shared" si="228"/>
        <v>0</v>
      </c>
      <c r="J4536" s="7" t="str">
        <f t="shared" si="229"/>
        <v>PAGADO</v>
      </c>
      <c r="M4536" s="8"/>
    </row>
    <row r="4537" spans="3:13" customFormat="1" x14ac:dyDescent="0.25">
      <c r="C4537" s="9" t="s">
        <v>4304</v>
      </c>
      <c r="D4537" s="9" t="s">
        <v>3599</v>
      </c>
      <c r="E4537" s="10"/>
      <c r="F4537" s="6">
        <v>60</v>
      </c>
      <c r="G4537" s="6">
        <f t="shared" si="227"/>
        <v>60</v>
      </c>
      <c r="H4537" s="6">
        <v>60</v>
      </c>
      <c r="I4537" s="26">
        <f t="shared" si="228"/>
        <v>0</v>
      </c>
      <c r="J4537" s="7" t="str">
        <f t="shared" si="229"/>
        <v>PAGADO</v>
      </c>
      <c r="M4537" s="8"/>
    </row>
    <row r="4538" spans="3:13" customFormat="1" x14ac:dyDescent="0.25">
      <c r="C4538" s="9" t="s">
        <v>4305</v>
      </c>
      <c r="D4538" s="9" t="s">
        <v>3444</v>
      </c>
      <c r="E4538" s="10"/>
      <c r="F4538" s="6">
        <v>60</v>
      </c>
      <c r="G4538" s="6">
        <f t="shared" si="227"/>
        <v>60</v>
      </c>
      <c r="H4538" s="6">
        <v>60</v>
      </c>
      <c r="I4538" s="26">
        <f t="shared" si="228"/>
        <v>0</v>
      </c>
      <c r="J4538" s="7" t="str">
        <f t="shared" si="229"/>
        <v>PAGADO</v>
      </c>
      <c r="M4538" s="8"/>
    </row>
    <row r="4539" spans="3:13" customFormat="1" x14ac:dyDescent="0.25">
      <c r="C4539" s="9" t="s">
        <v>3635</v>
      </c>
      <c r="D4539" s="9" t="s">
        <v>3444</v>
      </c>
      <c r="E4539" s="10"/>
      <c r="F4539" s="6">
        <v>60</v>
      </c>
      <c r="G4539" s="6">
        <f t="shared" si="227"/>
        <v>60</v>
      </c>
      <c r="H4539" s="6">
        <v>60</v>
      </c>
      <c r="I4539" s="26">
        <f t="shared" si="228"/>
        <v>0</v>
      </c>
      <c r="J4539" s="7" t="str">
        <f t="shared" si="229"/>
        <v>PAGADO</v>
      </c>
      <c r="M4539" s="8"/>
    </row>
    <row r="4540" spans="3:13" customFormat="1" x14ac:dyDescent="0.25">
      <c r="C4540" s="9" t="s">
        <v>2726</v>
      </c>
      <c r="D4540" s="9" t="s">
        <v>4306</v>
      </c>
      <c r="E4540" s="10"/>
      <c r="F4540" s="6">
        <v>70</v>
      </c>
      <c r="G4540" s="6">
        <f t="shared" si="227"/>
        <v>70</v>
      </c>
      <c r="H4540" s="6">
        <v>70</v>
      </c>
      <c r="I4540" s="26">
        <f t="shared" si="228"/>
        <v>0</v>
      </c>
      <c r="J4540" s="7" t="str">
        <f t="shared" si="229"/>
        <v>PAGADO</v>
      </c>
      <c r="M4540" s="8"/>
    </row>
    <row r="4541" spans="3:13" customFormat="1" x14ac:dyDescent="0.25">
      <c r="C4541" s="9" t="s">
        <v>4307</v>
      </c>
      <c r="D4541" s="9" t="s">
        <v>4306</v>
      </c>
      <c r="E4541" s="10"/>
      <c r="F4541" s="6">
        <v>70</v>
      </c>
      <c r="G4541" s="6">
        <f t="shared" si="227"/>
        <v>70</v>
      </c>
      <c r="H4541" s="6">
        <v>70</v>
      </c>
      <c r="I4541" s="26">
        <f t="shared" si="228"/>
        <v>0</v>
      </c>
      <c r="J4541" s="7" t="str">
        <f t="shared" si="229"/>
        <v>PAGADO</v>
      </c>
      <c r="M4541" s="8"/>
    </row>
    <row r="4542" spans="3:13" customFormat="1" x14ac:dyDescent="0.25">
      <c r="C4542" s="9" t="s">
        <v>4308</v>
      </c>
      <c r="D4542" s="9" t="s">
        <v>4163</v>
      </c>
      <c r="E4542" s="10"/>
      <c r="F4542" s="6">
        <v>80</v>
      </c>
      <c r="G4542" s="6">
        <f t="shared" ref="G4542:G4605" si="230">F4542-E4542</f>
        <v>80</v>
      </c>
      <c r="H4542" s="6">
        <f>40+40</f>
        <v>80</v>
      </c>
      <c r="I4542" s="26">
        <f t="shared" si="228"/>
        <v>0</v>
      </c>
      <c r="J4542" s="7" t="str">
        <f t="shared" si="229"/>
        <v>PAGADO</v>
      </c>
      <c r="K4542" s="33" t="s">
        <v>2639</v>
      </c>
      <c r="L4542" t="s">
        <v>4309</v>
      </c>
      <c r="M4542" s="8"/>
    </row>
    <row r="4543" spans="3:13" customFormat="1" x14ac:dyDescent="0.25">
      <c r="C4543" s="9" t="s">
        <v>4310</v>
      </c>
      <c r="D4543" s="9" t="s">
        <v>3989</v>
      </c>
      <c r="E4543" s="10"/>
      <c r="F4543" s="6">
        <v>55</v>
      </c>
      <c r="G4543" s="6">
        <f t="shared" si="230"/>
        <v>55</v>
      </c>
      <c r="H4543" s="26">
        <f>27.5+27.5</f>
        <v>55</v>
      </c>
      <c r="I4543" s="23">
        <f t="shared" si="228"/>
        <v>0</v>
      </c>
      <c r="J4543" s="7" t="str">
        <f t="shared" si="229"/>
        <v>PAGADO</v>
      </c>
      <c r="K4543" s="33" t="s">
        <v>3506</v>
      </c>
      <c r="M4543" s="8"/>
    </row>
    <row r="4544" spans="3:13" customFormat="1" x14ac:dyDescent="0.25">
      <c r="C4544" s="9" t="s">
        <v>4311</v>
      </c>
      <c r="D4544" s="9" t="s">
        <v>2415</v>
      </c>
      <c r="E4544" s="10"/>
      <c r="F4544" s="6">
        <v>60</v>
      </c>
      <c r="G4544" s="6">
        <f t="shared" si="230"/>
        <v>60</v>
      </c>
      <c r="H4544" s="6">
        <f>30+30</f>
        <v>60</v>
      </c>
      <c r="I4544" s="26">
        <f t="shared" si="228"/>
        <v>0</v>
      </c>
      <c r="J4544" s="7" t="str">
        <f t="shared" si="229"/>
        <v>PAGADO</v>
      </c>
      <c r="K4544" s="33" t="s">
        <v>3506</v>
      </c>
      <c r="M4544" s="8"/>
    </row>
    <row r="4545" spans="3:13" customFormat="1" x14ac:dyDescent="0.25">
      <c r="C4545" s="9" t="s">
        <v>3279</v>
      </c>
      <c r="D4545" s="9" t="s">
        <v>3081</v>
      </c>
      <c r="E4545" s="10"/>
      <c r="F4545" s="6">
        <v>80</v>
      </c>
      <c r="G4545" s="6">
        <f t="shared" si="230"/>
        <v>80</v>
      </c>
      <c r="H4545" s="6">
        <f>40+40</f>
        <v>80</v>
      </c>
      <c r="I4545" s="26">
        <f t="shared" si="228"/>
        <v>0</v>
      </c>
      <c r="J4545" s="7" t="str">
        <f t="shared" si="229"/>
        <v>PAGADO</v>
      </c>
      <c r="K4545" s="33" t="s">
        <v>3506</v>
      </c>
      <c r="M4545" s="8"/>
    </row>
    <row r="4546" spans="3:13" customFormat="1" x14ac:dyDescent="0.25">
      <c r="C4546" s="9" t="s">
        <v>4312</v>
      </c>
      <c r="D4546" s="9" t="s">
        <v>4148</v>
      </c>
      <c r="E4546" s="10"/>
      <c r="F4546" s="6">
        <v>50</v>
      </c>
      <c r="G4546" s="6">
        <f t="shared" si="230"/>
        <v>50</v>
      </c>
      <c r="H4546" s="6">
        <v>50</v>
      </c>
      <c r="I4546" s="26">
        <f t="shared" si="228"/>
        <v>0</v>
      </c>
      <c r="J4546" s="7" t="str">
        <f t="shared" si="229"/>
        <v>PAGADO</v>
      </c>
      <c r="K4546" s="33" t="s">
        <v>2640</v>
      </c>
      <c r="M4546" s="8"/>
    </row>
    <row r="4547" spans="3:13" customFormat="1" x14ac:dyDescent="0.25">
      <c r="C4547" s="9" t="s">
        <v>4313</v>
      </c>
      <c r="D4547" s="9" t="s">
        <v>4148</v>
      </c>
      <c r="E4547" s="10"/>
      <c r="F4547" s="6">
        <v>50</v>
      </c>
      <c r="G4547" s="6">
        <f t="shared" si="230"/>
        <v>50</v>
      </c>
      <c r="H4547" s="6">
        <v>50</v>
      </c>
      <c r="I4547" s="26">
        <f t="shared" si="228"/>
        <v>0</v>
      </c>
      <c r="J4547" s="7" t="str">
        <f t="shared" si="229"/>
        <v>PAGADO</v>
      </c>
      <c r="K4547" s="33" t="s">
        <v>2640</v>
      </c>
      <c r="M4547" s="8"/>
    </row>
    <row r="4548" spans="3:13" customFormat="1" x14ac:dyDescent="0.25">
      <c r="C4548" s="9" t="s">
        <v>4314</v>
      </c>
      <c r="D4548" s="9" t="s">
        <v>4148</v>
      </c>
      <c r="E4548" s="10"/>
      <c r="F4548" s="6">
        <v>65</v>
      </c>
      <c r="G4548" s="6">
        <f t="shared" si="230"/>
        <v>65</v>
      </c>
      <c r="H4548" s="6">
        <v>65</v>
      </c>
      <c r="I4548" s="26">
        <f t="shared" si="228"/>
        <v>0</v>
      </c>
      <c r="J4548" s="7" t="str">
        <f t="shared" si="229"/>
        <v>PAGADO</v>
      </c>
      <c r="K4548" s="33" t="s">
        <v>2640</v>
      </c>
      <c r="M4548" s="8"/>
    </row>
    <row r="4549" spans="3:13" customFormat="1" x14ac:dyDescent="0.25">
      <c r="C4549" s="9" t="s">
        <v>4315</v>
      </c>
      <c r="D4549" t="s">
        <v>3213</v>
      </c>
      <c r="E4549" s="10"/>
      <c r="F4549" s="6">
        <v>420</v>
      </c>
      <c r="G4549" s="6">
        <f t="shared" si="230"/>
        <v>420</v>
      </c>
      <c r="H4549" s="6">
        <f>210+210</f>
        <v>420</v>
      </c>
      <c r="I4549" s="26">
        <f t="shared" si="228"/>
        <v>0</v>
      </c>
      <c r="J4549" s="7" t="str">
        <f t="shared" si="229"/>
        <v>PAGADO</v>
      </c>
      <c r="K4549" s="28" t="s">
        <v>3506</v>
      </c>
      <c r="M4549" s="8"/>
    </row>
    <row r="4550" spans="3:13" customFormat="1" x14ac:dyDescent="0.25">
      <c r="C4550" s="9" t="s">
        <v>4316</v>
      </c>
      <c r="D4550" s="9" t="s">
        <v>238</v>
      </c>
      <c r="E4550" s="10"/>
      <c r="F4550" s="6">
        <v>175</v>
      </c>
      <c r="G4550" s="6">
        <f t="shared" si="230"/>
        <v>175</v>
      </c>
      <c r="H4550" s="6">
        <v>175</v>
      </c>
      <c r="I4550" s="26">
        <f t="shared" si="228"/>
        <v>0</v>
      </c>
      <c r="J4550" s="7" t="str">
        <f t="shared" si="229"/>
        <v>PAGADO</v>
      </c>
      <c r="M4550" s="8"/>
    </row>
    <row r="4551" spans="3:13" customFormat="1" x14ac:dyDescent="0.25">
      <c r="C4551" s="9" t="s">
        <v>4317</v>
      </c>
      <c r="D4551" s="9" t="s">
        <v>4318</v>
      </c>
      <c r="E4551" s="10"/>
      <c r="F4551" s="6">
        <v>70</v>
      </c>
      <c r="G4551" s="6">
        <f t="shared" si="230"/>
        <v>70</v>
      </c>
      <c r="H4551" s="6">
        <v>70</v>
      </c>
      <c r="I4551" s="26">
        <f t="shared" si="228"/>
        <v>0</v>
      </c>
      <c r="J4551" s="7" t="str">
        <f t="shared" si="229"/>
        <v>PAGADO</v>
      </c>
      <c r="M4551" s="8"/>
    </row>
    <row r="4552" spans="3:13" customFormat="1" x14ac:dyDescent="0.25">
      <c r="C4552" s="9" t="s">
        <v>4319</v>
      </c>
      <c r="D4552" s="9" t="s">
        <v>4320</v>
      </c>
      <c r="E4552" s="10"/>
      <c r="F4552" s="6">
        <v>55</v>
      </c>
      <c r="G4552" s="6">
        <f t="shared" si="230"/>
        <v>55</v>
      </c>
      <c r="H4552" s="6">
        <f>10+45</f>
        <v>55</v>
      </c>
      <c r="I4552" s="26">
        <f t="shared" si="228"/>
        <v>0</v>
      </c>
      <c r="J4552" s="7" t="str">
        <f t="shared" si="229"/>
        <v>PAGADO</v>
      </c>
      <c r="M4552" s="8"/>
    </row>
    <row r="4553" spans="3:13" customFormat="1" x14ac:dyDescent="0.25">
      <c r="C4553" s="9" t="s">
        <v>1944</v>
      </c>
      <c r="D4553" s="9" t="s">
        <v>4321</v>
      </c>
      <c r="E4553" s="10"/>
      <c r="F4553" s="6">
        <v>65</v>
      </c>
      <c r="G4553" s="6">
        <f t="shared" si="230"/>
        <v>65</v>
      </c>
      <c r="H4553" s="6">
        <v>65</v>
      </c>
      <c r="I4553" s="26">
        <f t="shared" si="228"/>
        <v>0</v>
      </c>
      <c r="J4553" s="7" t="str">
        <f t="shared" si="229"/>
        <v>PAGADO</v>
      </c>
      <c r="M4553" s="8"/>
    </row>
    <row r="4554" spans="3:13" customFormat="1" x14ac:dyDescent="0.25">
      <c r="C4554" s="9" t="s">
        <v>4295</v>
      </c>
      <c r="D4554" s="9" t="s">
        <v>3662</v>
      </c>
      <c r="E4554" s="10"/>
      <c r="F4554" s="6">
        <v>80</v>
      </c>
      <c r="G4554" s="6">
        <f t="shared" si="230"/>
        <v>80</v>
      </c>
      <c r="H4554" s="6">
        <v>80</v>
      </c>
      <c r="I4554" s="26">
        <f t="shared" si="228"/>
        <v>0</v>
      </c>
      <c r="J4554" s="7" t="str">
        <f t="shared" si="229"/>
        <v>PAGADO</v>
      </c>
      <c r="M4554" s="8"/>
    </row>
    <row r="4555" spans="3:13" customFormat="1" x14ac:dyDescent="0.25">
      <c r="C4555" s="9" t="s">
        <v>4322</v>
      </c>
      <c r="D4555" s="9" t="s">
        <v>4172</v>
      </c>
      <c r="E4555" s="10"/>
      <c r="F4555" s="6">
        <v>12</v>
      </c>
      <c r="G4555" s="6">
        <f t="shared" si="230"/>
        <v>12</v>
      </c>
      <c r="H4555" s="6">
        <v>12</v>
      </c>
      <c r="I4555" s="26">
        <f t="shared" ref="I4555:I4618" si="231">F4555-H4555</f>
        <v>0</v>
      </c>
      <c r="J4555" s="7" t="str">
        <f t="shared" si="229"/>
        <v>PAGADO</v>
      </c>
      <c r="K4555" s="33" t="s">
        <v>3506</v>
      </c>
      <c r="M4555" s="8"/>
    </row>
    <row r="4556" spans="3:13" customFormat="1" x14ac:dyDescent="0.25">
      <c r="C4556" s="9" t="s">
        <v>4323</v>
      </c>
      <c r="D4556" s="9" t="s">
        <v>4324</v>
      </c>
      <c r="E4556" s="10"/>
      <c r="F4556" s="6">
        <v>12</v>
      </c>
      <c r="G4556" s="6">
        <f t="shared" si="230"/>
        <v>12</v>
      </c>
      <c r="H4556" s="6">
        <v>12</v>
      </c>
      <c r="I4556" s="26">
        <f t="shared" si="231"/>
        <v>0</v>
      </c>
      <c r="J4556" s="7" t="str">
        <f t="shared" si="229"/>
        <v>PAGADO</v>
      </c>
      <c r="K4556" s="33" t="s">
        <v>3506</v>
      </c>
      <c r="M4556" s="8"/>
    </row>
    <row r="4557" spans="3:13" customFormat="1" x14ac:dyDescent="0.25">
      <c r="C4557" s="9" t="s">
        <v>4325</v>
      </c>
      <c r="D4557" s="9" t="s">
        <v>2857</v>
      </c>
      <c r="E4557" s="10"/>
      <c r="F4557" s="6">
        <v>30</v>
      </c>
      <c r="G4557" s="6">
        <f t="shared" si="230"/>
        <v>30</v>
      </c>
      <c r="H4557" s="6">
        <v>30</v>
      </c>
      <c r="I4557" s="26">
        <f t="shared" si="231"/>
        <v>0</v>
      </c>
      <c r="J4557" s="7" t="str">
        <f t="shared" si="229"/>
        <v>PAGADO</v>
      </c>
      <c r="K4557" s="33" t="s">
        <v>2639</v>
      </c>
      <c r="M4557" s="8"/>
    </row>
    <row r="4558" spans="3:13" customFormat="1" x14ac:dyDescent="0.25">
      <c r="C4558" s="9" t="s">
        <v>4326</v>
      </c>
      <c r="D4558" s="9" t="s">
        <v>2906</v>
      </c>
      <c r="E4558" s="10"/>
      <c r="F4558" s="6">
        <v>100</v>
      </c>
      <c r="G4558" s="6">
        <f t="shared" si="230"/>
        <v>100</v>
      </c>
      <c r="H4558" s="6">
        <f>50+50</f>
        <v>100</v>
      </c>
      <c r="I4558" s="26">
        <f t="shared" si="231"/>
        <v>0</v>
      </c>
      <c r="J4558" s="7" t="str">
        <f t="shared" si="229"/>
        <v>PAGADO</v>
      </c>
      <c r="K4558" s="9" t="s">
        <v>3506</v>
      </c>
      <c r="M4558" s="8"/>
    </row>
    <row r="4559" spans="3:13" customFormat="1" x14ac:dyDescent="0.25">
      <c r="C4559" s="9" t="s">
        <v>4327</v>
      </c>
      <c r="D4559" s="9" t="s">
        <v>4324</v>
      </c>
      <c r="E4559" s="10"/>
      <c r="F4559" s="6">
        <v>12</v>
      </c>
      <c r="G4559" s="6">
        <f t="shared" si="230"/>
        <v>12</v>
      </c>
      <c r="H4559" s="6">
        <v>12</v>
      </c>
      <c r="I4559" s="26">
        <f t="shared" si="231"/>
        <v>0</v>
      </c>
      <c r="J4559" s="7" t="str">
        <f t="shared" si="229"/>
        <v>PAGADO</v>
      </c>
      <c r="K4559" s="33" t="s">
        <v>3506</v>
      </c>
      <c r="M4559" s="8"/>
    </row>
    <row r="4560" spans="3:13" customFormat="1" x14ac:dyDescent="0.25">
      <c r="C4560" s="9" t="s">
        <v>3622</v>
      </c>
      <c r="D4560" s="9" t="s">
        <v>4273</v>
      </c>
      <c r="E4560" s="10"/>
      <c r="F4560" s="6">
        <v>40</v>
      </c>
      <c r="G4560" s="6">
        <f t="shared" si="230"/>
        <v>40</v>
      </c>
      <c r="H4560" s="6">
        <f>20+20</f>
        <v>40</v>
      </c>
      <c r="I4560" s="26">
        <f t="shared" si="231"/>
        <v>0</v>
      </c>
      <c r="J4560" s="7" t="str">
        <f t="shared" si="229"/>
        <v>PAGADO</v>
      </c>
      <c r="K4560" s="33" t="s">
        <v>2640</v>
      </c>
      <c r="M4560" s="8"/>
    </row>
    <row r="4561" spans="3:13" customFormat="1" x14ac:dyDescent="0.25">
      <c r="C4561" s="9" t="s">
        <v>4328</v>
      </c>
      <c r="D4561" s="9" t="s">
        <v>4273</v>
      </c>
      <c r="E4561" s="10"/>
      <c r="F4561" s="6">
        <v>60</v>
      </c>
      <c r="G4561" s="6">
        <f t="shared" si="230"/>
        <v>60</v>
      </c>
      <c r="H4561" s="6">
        <f>30+30</f>
        <v>60</v>
      </c>
      <c r="I4561" s="26">
        <f t="shared" si="231"/>
        <v>0</v>
      </c>
      <c r="J4561" s="7" t="str">
        <f t="shared" si="229"/>
        <v>PAGADO</v>
      </c>
      <c r="K4561" s="33" t="s">
        <v>2640</v>
      </c>
      <c r="M4561" s="8"/>
    </row>
    <row r="4562" spans="3:13" customFormat="1" x14ac:dyDescent="0.25">
      <c r="C4562" s="9" t="s">
        <v>4329</v>
      </c>
      <c r="D4562" s="9" t="s">
        <v>4324</v>
      </c>
      <c r="E4562" s="10"/>
      <c r="F4562" s="6">
        <v>12</v>
      </c>
      <c r="G4562" s="6">
        <f t="shared" si="230"/>
        <v>12</v>
      </c>
      <c r="H4562" s="6">
        <v>12</v>
      </c>
      <c r="I4562" s="26">
        <f t="shared" si="231"/>
        <v>0</v>
      </c>
      <c r="J4562" s="7" t="str">
        <f t="shared" si="229"/>
        <v>PAGADO</v>
      </c>
      <c r="K4562" s="33" t="s">
        <v>3506</v>
      </c>
      <c r="M4562" s="8"/>
    </row>
    <row r="4563" spans="3:13" customFormat="1" x14ac:dyDescent="0.25">
      <c r="C4563" s="9" t="s">
        <v>4330</v>
      </c>
      <c r="D4563" s="9" t="s">
        <v>3444</v>
      </c>
      <c r="E4563" s="10"/>
      <c r="F4563" s="26">
        <v>50</v>
      </c>
      <c r="G4563" s="26">
        <f t="shared" si="230"/>
        <v>50</v>
      </c>
      <c r="H4563" s="26">
        <v>50</v>
      </c>
      <c r="I4563" s="26">
        <f t="shared" si="231"/>
        <v>0</v>
      </c>
      <c r="J4563" s="7" t="str">
        <f t="shared" si="229"/>
        <v>PAGADO</v>
      </c>
      <c r="K4563" s="33" t="s">
        <v>3506</v>
      </c>
      <c r="M4563" s="8"/>
    </row>
    <row r="4564" spans="3:13" customFormat="1" x14ac:dyDescent="0.25">
      <c r="C4564" s="9" t="s">
        <v>4331</v>
      </c>
      <c r="D4564" s="9" t="s">
        <v>4324</v>
      </c>
      <c r="E4564" s="10"/>
      <c r="F4564" s="6">
        <v>12</v>
      </c>
      <c r="G4564" s="6">
        <f t="shared" si="230"/>
        <v>12</v>
      </c>
      <c r="H4564" s="6">
        <v>12</v>
      </c>
      <c r="I4564" s="26">
        <f t="shared" si="231"/>
        <v>0</v>
      </c>
      <c r="J4564" s="7" t="str">
        <f t="shared" si="229"/>
        <v>PAGADO</v>
      </c>
      <c r="K4564" s="33" t="s">
        <v>3506</v>
      </c>
      <c r="M4564" s="8"/>
    </row>
    <row r="4565" spans="3:13" customFormat="1" x14ac:dyDescent="0.25">
      <c r="C4565" s="9" t="s">
        <v>4332</v>
      </c>
      <c r="D4565" s="9" t="s">
        <v>4172</v>
      </c>
      <c r="E4565" s="10"/>
      <c r="F4565" s="6">
        <v>12</v>
      </c>
      <c r="G4565" s="6">
        <f t="shared" si="230"/>
        <v>12</v>
      </c>
      <c r="H4565" s="6">
        <v>12</v>
      </c>
      <c r="I4565" s="26">
        <f t="shared" si="231"/>
        <v>0</v>
      </c>
      <c r="J4565" s="7" t="str">
        <f t="shared" si="229"/>
        <v>PAGADO</v>
      </c>
      <c r="K4565" s="33" t="s">
        <v>3506</v>
      </c>
      <c r="M4565" s="8"/>
    </row>
    <row r="4566" spans="3:13" customFormat="1" x14ac:dyDescent="0.25">
      <c r="C4566" s="9" t="s">
        <v>4333</v>
      </c>
      <c r="D4566" s="9" t="s">
        <v>4172</v>
      </c>
      <c r="E4566" s="10"/>
      <c r="F4566" s="6">
        <v>12</v>
      </c>
      <c r="G4566" s="6">
        <f t="shared" si="230"/>
        <v>12</v>
      </c>
      <c r="H4566" s="6">
        <v>12</v>
      </c>
      <c r="I4566" s="26">
        <f t="shared" si="231"/>
        <v>0</v>
      </c>
      <c r="J4566" s="7" t="str">
        <f t="shared" si="229"/>
        <v>PAGADO</v>
      </c>
      <c r="K4566" s="33" t="s">
        <v>3506</v>
      </c>
      <c r="M4566" s="8"/>
    </row>
    <row r="4567" spans="3:13" customFormat="1" x14ac:dyDescent="0.25">
      <c r="C4567" s="9" t="s">
        <v>4334</v>
      </c>
      <c r="D4567" s="9" t="s">
        <v>4324</v>
      </c>
      <c r="E4567" s="10"/>
      <c r="F4567" s="6">
        <v>12</v>
      </c>
      <c r="G4567" s="6">
        <f t="shared" si="230"/>
        <v>12</v>
      </c>
      <c r="H4567" s="6">
        <v>12</v>
      </c>
      <c r="I4567" s="26">
        <f t="shared" si="231"/>
        <v>0</v>
      </c>
      <c r="J4567" s="7" t="str">
        <f t="shared" si="229"/>
        <v>PAGADO</v>
      </c>
      <c r="K4567" s="33" t="s">
        <v>3506</v>
      </c>
      <c r="M4567" s="8"/>
    </row>
    <row r="4568" spans="3:13" customFormat="1" x14ac:dyDescent="0.25">
      <c r="C4568" s="14" t="s">
        <v>4335</v>
      </c>
      <c r="D4568" t="s">
        <v>3456</v>
      </c>
      <c r="E4568" s="10"/>
      <c r="F4568" s="6">
        <v>60</v>
      </c>
      <c r="G4568" s="6">
        <f t="shared" si="230"/>
        <v>60</v>
      </c>
      <c r="H4568" s="6">
        <f>30+30</f>
        <v>60</v>
      </c>
      <c r="I4568" s="26">
        <f t="shared" si="231"/>
        <v>0</v>
      </c>
      <c r="J4568" s="7" t="str">
        <f t="shared" si="229"/>
        <v>PAGADO</v>
      </c>
      <c r="K4568" s="33" t="s">
        <v>3506</v>
      </c>
      <c r="M4568" s="8"/>
    </row>
    <row r="4569" spans="3:13" customFormat="1" x14ac:dyDescent="0.25">
      <c r="C4569" s="14" t="s">
        <v>4335</v>
      </c>
      <c r="D4569" s="9" t="s">
        <v>1736</v>
      </c>
      <c r="E4569" s="10"/>
      <c r="F4569" s="6">
        <v>60</v>
      </c>
      <c r="G4569" s="6">
        <f t="shared" si="230"/>
        <v>60</v>
      </c>
      <c r="H4569" s="6">
        <v>60</v>
      </c>
      <c r="I4569" s="26">
        <f t="shared" si="231"/>
        <v>0</v>
      </c>
      <c r="J4569" s="7" t="str">
        <f t="shared" si="229"/>
        <v>PAGADO</v>
      </c>
      <c r="K4569" s="33" t="s">
        <v>3506</v>
      </c>
      <c r="M4569" s="8"/>
    </row>
    <row r="4570" spans="3:13" customFormat="1" x14ac:dyDescent="0.25">
      <c r="C4570" s="14" t="s">
        <v>4335</v>
      </c>
      <c r="D4570" s="9" t="s">
        <v>1510</v>
      </c>
      <c r="E4570" s="10"/>
      <c r="F4570" s="6">
        <v>60</v>
      </c>
      <c r="G4570" s="6">
        <f t="shared" si="230"/>
        <v>60</v>
      </c>
      <c r="H4570" s="16">
        <f>30+30</f>
        <v>60</v>
      </c>
      <c r="I4570" s="26">
        <f t="shared" si="231"/>
        <v>0</v>
      </c>
      <c r="J4570" s="7" t="str">
        <f t="shared" si="229"/>
        <v>PAGADO</v>
      </c>
      <c r="K4570" s="33" t="s">
        <v>3506</v>
      </c>
      <c r="L4570" s="9" t="s">
        <v>4336</v>
      </c>
      <c r="M4570" s="8"/>
    </row>
    <row r="4571" spans="3:13" customFormat="1" x14ac:dyDescent="0.25">
      <c r="C4571" s="9" t="s">
        <v>4337</v>
      </c>
      <c r="D4571" s="9" t="s">
        <v>1510</v>
      </c>
      <c r="E4571" s="10"/>
      <c r="F4571" s="6">
        <v>70</v>
      </c>
      <c r="G4571" s="6">
        <f t="shared" si="230"/>
        <v>70</v>
      </c>
      <c r="H4571" s="6">
        <f>35+35</f>
        <v>70</v>
      </c>
      <c r="I4571" s="26">
        <f t="shared" si="231"/>
        <v>0</v>
      </c>
      <c r="J4571" s="7" t="str">
        <f t="shared" si="229"/>
        <v>PAGADO</v>
      </c>
      <c r="K4571" s="33" t="s">
        <v>3506</v>
      </c>
      <c r="M4571" s="8"/>
    </row>
    <row r="4572" spans="3:13" customFormat="1" x14ac:dyDescent="0.25">
      <c r="C4572" s="9" t="s">
        <v>4338</v>
      </c>
      <c r="D4572" s="9" t="s">
        <v>1510</v>
      </c>
      <c r="E4572" s="10"/>
      <c r="F4572" s="6">
        <v>65</v>
      </c>
      <c r="G4572" s="6">
        <f t="shared" si="230"/>
        <v>65</v>
      </c>
      <c r="H4572" s="6">
        <f>32.5+32.5</f>
        <v>65</v>
      </c>
      <c r="I4572" s="26">
        <f t="shared" si="231"/>
        <v>0</v>
      </c>
      <c r="J4572" s="7" t="str">
        <f t="shared" si="229"/>
        <v>PAGADO</v>
      </c>
      <c r="K4572" s="33" t="s">
        <v>3506</v>
      </c>
      <c r="M4572" s="8"/>
    </row>
    <row r="4573" spans="3:13" customFormat="1" x14ac:dyDescent="0.25">
      <c r="C4573" s="9" t="s">
        <v>4339</v>
      </c>
      <c r="D4573" s="9" t="s">
        <v>1510</v>
      </c>
      <c r="E4573" s="10"/>
      <c r="F4573" s="6">
        <v>65</v>
      </c>
      <c r="G4573" s="6">
        <f t="shared" si="230"/>
        <v>65</v>
      </c>
      <c r="H4573" s="6">
        <f>32.5+32.5</f>
        <v>65</v>
      </c>
      <c r="I4573" s="26">
        <f t="shared" si="231"/>
        <v>0</v>
      </c>
      <c r="J4573" s="7" t="str">
        <f t="shared" si="229"/>
        <v>PAGADO</v>
      </c>
      <c r="K4573" s="33" t="s">
        <v>3506</v>
      </c>
      <c r="M4573" s="8"/>
    </row>
    <row r="4574" spans="3:13" customFormat="1" x14ac:dyDescent="0.25">
      <c r="C4574" s="9" t="s">
        <v>4340</v>
      </c>
      <c r="D4574" s="9" t="s">
        <v>2105</v>
      </c>
      <c r="E4574" s="10"/>
      <c r="F4574" s="6">
        <v>80</v>
      </c>
      <c r="G4574" s="6">
        <f t="shared" si="230"/>
        <v>80</v>
      </c>
      <c r="H4574" s="6">
        <f>40+40</f>
        <v>80</v>
      </c>
      <c r="I4574" s="26">
        <f t="shared" si="231"/>
        <v>0</v>
      </c>
      <c r="J4574" s="7" t="str">
        <f t="shared" si="229"/>
        <v>PAGADO</v>
      </c>
      <c r="K4574" s="9" t="s">
        <v>3506</v>
      </c>
      <c r="M4574" s="8"/>
    </row>
    <row r="4575" spans="3:13" customFormat="1" x14ac:dyDescent="0.25">
      <c r="C4575" s="9" t="s">
        <v>4341</v>
      </c>
      <c r="D4575" s="9" t="s">
        <v>4148</v>
      </c>
      <c r="E4575" s="10"/>
      <c r="F4575" s="6">
        <v>12</v>
      </c>
      <c r="G4575" s="6">
        <f t="shared" si="230"/>
        <v>12</v>
      </c>
      <c r="H4575" s="6">
        <v>12</v>
      </c>
      <c r="I4575" s="26">
        <f t="shared" si="231"/>
        <v>0</v>
      </c>
      <c r="J4575" s="7" t="str">
        <f t="shared" si="229"/>
        <v>PAGADO</v>
      </c>
      <c r="K4575" s="33" t="s">
        <v>3506</v>
      </c>
      <c r="M4575" s="8"/>
    </row>
    <row r="4576" spans="3:13" customFormat="1" x14ac:dyDescent="0.25">
      <c r="C4576" s="9" t="s">
        <v>4342</v>
      </c>
      <c r="D4576" s="9" t="s">
        <v>4148</v>
      </c>
      <c r="E4576" s="10"/>
      <c r="F4576" s="6">
        <v>12</v>
      </c>
      <c r="G4576" s="6">
        <f t="shared" si="230"/>
        <v>12</v>
      </c>
      <c r="H4576" s="6">
        <v>12</v>
      </c>
      <c r="I4576" s="26">
        <f t="shared" si="231"/>
        <v>0</v>
      </c>
      <c r="J4576" s="7" t="str">
        <f t="shared" si="229"/>
        <v>PAGADO</v>
      </c>
      <c r="K4576" s="33" t="s">
        <v>3506</v>
      </c>
      <c r="M4576" s="8"/>
    </row>
    <row r="4577" spans="3:13" customFormat="1" x14ac:dyDescent="0.25">
      <c r="C4577" s="9" t="s">
        <v>4343</v>
      </c>
      <c r="D4577" s="9" t="s">
        <v>1510</v>
      </c>
      <c r="E4577" s="10"/>
      <c r="F4577" s="6">
        <v>90</v>
      </c>
      <c r="G4577" s="6">
        <f t="shared" si="230"/>
        <v>90</v>
      </c>
      <c r="H4577" s="6">
        <f>45+45</f>
        <v>90</v>
      </c>
      <c r="I4577" s="26">
        <f t="shared" si="231"/>
        <v>0</v>
      </c>
      <c r="J4577" s="7" t="str">
        <f t="shared" si="229"/>
        <v>PAGADO</v>
      </c>
      <c r="K4577" s="33" t="s">
        <v>3506</v>
      </c>
      <c r="M4577" s="8"/>
    </row>
    <row r="4578" spans="3:13" customFormat="1" x14ac:dyDescent="0.25">
      <c r="C4578" s="9" t="s">
        <v>4344</v>
      </c>
      <c r="D4578" s="9" t="s">
        <v>1510</v>
      </c>
      <c r="E4578" s="10"/>
      <c r="F4578" s="6">
        <v>90</v>
      </c>
      <c r="G4578" s="6">
        <f t="shared" si="230"/>
        <v>90</v>
      </c>
      <c r="H4578" s="6">
        <f>45+45</f>
        <v>90</v>
      </c>
      <c r="I4578" s="26">
        <f t="shared" si="231"/>
        <v>0</v>
      </c>
      <c r="J4578" s="7" t="str">
        <f t="shared" si="229"/>
        <v>PAGADO</v>
      </c>
      <c r="K4578" s="33" t="s">
        <v>3506</v>
      </c>
      <c r="M4578" s="8"/>
    </row>
    <row r="4579" spans="3:13" customFormat="1" x14ac:dyDescent="0.25">
      <c r="C4579" s="9" t="s">
        <v>4345</v>
      </c>
      <c r="D4579" s="9" t="s">
        <v>1510</v>
      </c>
      <c r="E4579" s="10"/>
      <c r="F4579" s="6">
        <v>130</v>
      </c>
      <c r="G4579" s="6">
        <f t="shared" si="230"/>
        <v>130</v>
      </c>
      <c r="H4579" s="6">
        <v>130</v>
      </c>
      <c r="I4579" s="26">
        <f t="shared" si="231"/>
        <v>0</v>
      </c>
      <c r="J4579" s="7" t="str">
        <f t="shared" ref="J4579:J4642" si="232">IF(I4579&gt;0,"DEBE","PAGADO")</f>
        <v>PAGADO</v>
      </c>
      <c r="K4579" s="33" t="s">
        <v>2640</v>
      </c>
      <c r="M4579" s="8"/>
    </row>
    <row r="4580" spans="3:13" customFormat="1" x14ac:dyDescent="0.25">
      <c r="C4580" s="9" t="s">
        <v>4346</v>
      </c>
      <c r="D4580" s="9" t="s">
        <v>1510</v>
      </c>
      <c r="E4580" s="10"/>
      <c r="F4580" s="6">
        <v>65</v>
      </c>
      <c r="G4580" s="6">
        <f t="shared" si="230"/>
        <v>65</v>
      </c>
      <c r="H4580" s="6">
        <v>65</v>
      </c>
      <c r="I4580" s="26">
        <f t="shared" si="231"/>
        <v>0</v>
      </c>
      <c r="J4580" s="7" t="str">
        <f t="shared" si="232"/>
        <v>PAGADO</v>
      </c>
      <c r="K4580" s="33" t="s">
        <v>2640</v>
      </c>
      <c r="M4580" s="8"/>
    </row>
    <row r="4581" spans="3:13" customFormat="1" x14ac:dyDescent="0.25">
      <c r="C4581" s="9" t="s">
        <v>4347</v>
      </c>
      <c r="D4581" s="9" t="s">
        <v>1510</v>
      </c>
      <c r="E4581" s="10"/>
      <c r="F4581" s="6">
        <v>70</v>
      </c>
      <c r="G4581" s="6">
        <f t="shared" si="230"/>
        <v>70</v>
      </c>
      <c r="H4581" s="6">
        <v>70</v>
      </c>
      <c r="I4581" s="26">
        <f t="shared" si="231"/>
        <v>0</v>
      </c>
      <c r="J4581" s="7" t="str">
        <f t="shared" si="232"/>
        <v>PAGADO</v>
      </c>
      <c r="K4581" s="33" t="s">
        <v>2639</v>
      </c>
      <c r="M4581" s="8"/>
    </row>
    <row r="4582" spans="3:13" customFormat="1" x14ac:dyDescent="0.25">
      <c r="C4582" s="9" t="s">
        <v>4348</v>
      </c>
      <c r="D4582" s="9" t="s">
        <v>4172</v>
      </c>
      <c r="E4582" s="10"/>
      <c r="F4582" s="6">
        <v>12</v>
      </c>
      <c r="G4582" s="6">
        <f t="shared" si="230"/>
        <v>12</v>
      </c>
      <c r="H4582" s="6">
        <v>12</v>
      </c>
      <c r="I4582" s="26">
        <f t="shared" si="231"/>
        <v>0</v>
      </c>
      <c r="J4582" s="7" t="str">
        <f t="shared" si="232"/>
        <v>PAGADO</v>
      </c>
      <c r="K4582" s="33" t="s">
        <v>3506</v>
      </c>
      <c r="M4582" s="8"/>
    </row>
    <row r="4583" spans="3:13" customFormat="1" x14ac:dyDescent="0.25">
      <c r="C4583" s="9" t="s">
        <v>4349</v>
      </c>
      <c r="D4583" s="9" t="s">
        <v>4172</v>
      </c>
      <c r="E4583" s="10"/>
      <c r="F4583" s="6">
        <v>12</v>
      </c>
      <c r="G4583" s="6">
        <f t="shared" si="230"/>
        <v>12</v>
      </c>
      <c r="H4583" s="6">
        <v>12</v>
      </c>
      <c r="I4583" s="26">
        <f t="shared" si="231"/>
        <v>0</v>
      </c>
      <c r="J4583" s="7" t="str">
        <f t="shared" si="232"/>
        <v>PAGADO</v>
      </c>
      <c r="K4583" s="33" t="s">
        <v>3506</v>
      </c>
      <c r="M4583" s="8"/>
    </row>
    <row r="4584" spans="3:13" customFormat="1" x14ac:dyDescent="0.25">
      <c r="C4584" s="9" t="s">
        <v>4350</v>
      </c>
      <c r="D4584" s="9" t="s">
        <v>1510</v>
      </c>
      <c r="E4584" s="10"/>
      <c r="F4584" s="6">
        <v>80</v>
      </c>
      <c r="G4584" s="6">
        <f t="shared" si="230"/>
        <v>80</v>
      </c>
      <c r="H4584" s="6">
        <v>80</v>
      </c>
      <c r="I4584" s="26">
        <f t="shared" si="231"/>
        <v>0</v>
      </c>
      <c r="J4584" s="7" t="str">
        <f t="shared" si="232"/>
        <v>PAGADO</v>
      </c>
      <c r="K4584" s="33" t="s">
        <v>2639</v>
      </c>
      <c r="M4584" s="8"/>
    </row>
    <row r="4585" spans="3:13" customFormat="1" x14ac:dyDescent="0.25">
      <c r="C4585" s="9" t="s">
        <v>4261</v>
      </c>
      <c r="D4585" s="9" t="s">
        <v>1510</v>
      </c>
      <c r="E4585" s="10"/>
      <c r="F4585" s="6">
        <v>75</v>
      </c>
      <c r="G4585" s="6">
        <f t="shared" si="230"/>
        <v>75</v>
      </c>
      <c r="H4585" s="6">
        <v>75</v>
      </c>
      <c r="I4585" s="26">
        <f t="shared" si="231"/>
        <v>0</v>
      </c>
      <c r="J4585" s="7" t="str">
        <f t="shared" si="232"/>
        <v>PAGADO</v>
      </c>
      <c r="K4585" s="33" t="s">
        <v>2639</v>
      </c>
      <c r="M4585" s="8"/>
    </row>
    <row r="4586" spans="3:13" customFormat="1" x14ac:dyDescent="0.25">
      <c r="C4586" t="s">
        <v>4351</v>
      </c>
      <c r="D4586" s="9" t="s">
        <v>4352</v>
      </c>
      <c r="E4586" s="10"/>
      <c r="F4586" s="6">
        <v>12</v>
      </c>
      <c r="G4586" s="6">
        <f t="shared" si="230"/>
        <v>12</v>
      </c>
      <c r="H4586" s="6">
        <v>12</v>
      </c>
      <c r="I4586" s="26">
        <f t="shared" si="231"/>
        <v>0</v>
      </c>
      <c r="J4586" s="7" t="str">
        <f t="shared" si="232"/>
        <v>PAGADO</v>
      </c>
      <c r="K4586" s="9" t="s">
        <v>3506</v>
      </c>
      <c r="M4586" s="8"/>
    </row>
    <row r="4587" spans="3:13" customFormat="1" x14ac:dyDescent="0.25">
      <c r="C4587" t="s">
        <v>4353</v>
      </c>
      <c r="D4587" s="9" t="s">
        <v>4352</v>
      </c>
      <c r="E4587" s="10"/>
      <c r="F4587" s="6">
        <v>12</v>
      </c>
      <c r="G4587" s="6">
        <f t="shared" si="230"/>
        <v>12</v>
      </c>
      <c r="H4587" s="6">
        <v>12</v>
      </c>
      <c r="I4587" s="26">
        <f t="shared" si="231"/>
        <v>0</v>
      </c>
      <c r="J4587" s="7" t="str">
        <f t="shared" si="232"/>
        <v>PAGADO</v>
      </c>
      <c r="K4587" s="9" t="s">
        <v>3506</v>
      </c>
      <c r="M4587" s="8"/>
    </row>
    <row r="4588" spans="3:13" customFormat="1" x14ac:dyDescent="0.25">
      <c r="C4588" t="s">
        <v>4354</v>
      </c>
      <c r="D4588" s="9" t="s">
        <v>3989</v>
      </c>
      <c r="E4588" s="10"/>
      <c r="F4588" s="6">
        <v>80</v>
      </c>
      <c r="G4588" s="6">
        <f t="shared" si="230"/>
        <v>80</v>
      </c>
      <c r="H4588" s="6">
        <f>40+40</f>
        <v>80</v>
      </c>
      <c r="I4588" s="23">
        <f t="shared" si="231"/>
        <v>0</v>
      </c>
      <c r="J4588" s="7" t="str">
        <f t="shared" si="232"/>
        <v>PAGADO</v>
      </c>
      <c r="K4588" s="33" t="s">
        <v>3506</v>
      </c>
      <c r="M4588" s="8"/>
    </row>
    <row r="4589" spans="3:13" customFormat="1" x14ac:dyDescent="0.25">
      <c r="C4589" t="s">
        <v>4355</v>
      </c>
      <c r="D4589" s="9" t="s">
        <v>3989</v>
      </c>
      <c r="E4589" s="10"/>
      <c r="F4589" s="6">
        <v>70</v>
      </c>
      <c r="G4589" s="6">
        <f t="shared" si="230"/>
        <v>70</v>
      </c>
      <c r="H4589" s="6">
        <f>35+35</f>
        <v>70</v>
      </c>
      <c r="I4589" s="23">
        <f t="shared" si="231"/>
        <v>0</v>
      </c>
      <c r="J4589" s="7" t="str">
        <f t="shared" si="232"/>
        <v>PAGADO</v>
      </c>
      <c r="K4589" s="33" t="s">
        <v>3506</v>
      </c>
      <c r="M4589" s="8"/>
    </row>
    <row r="4590" spans="3:13" customFormat="1" x14ac:dyDescent="0.25">
      <c r="C4590" t="s">
        <v>4356</v>
      </c>
      <c r="D4590" s="9" t="s">
        <v>3989</v>
      </c>
      <c r="E4590" s="10"/>
      <c r="F4590" s="6">
        <v>12</v>
      </c>
      <c r="G4590" s="6">
        <f t="shared" si="230"/>
        <v>12</v>
      </c>
      <c r="H4590" s="26">
        <f>6+6</f>
        <v>12</v>
      </c>
      <c r="I4590" s="23">
        <f t="shared" si="231"/>
        <v>0</v>
      </c>
      <c r="J4590" s="7" t="str">
        <f t="shared" si="232"/>
        <v>PAGADO</v>
      </c>
      <c r="K4590" s="33" t="s">
        <v>3506</v>
      </c>
      <c r="M4590" s="8"/>
    </row>
    <row r="4591" spans="3:13" customFormat="1" x14ac:dyDescent="0.25">
      <c r="C4591" t="s">
        <v>4357</v>
      </c>
      <c r="D4591" s="9" t="s">
        <v>3989</v>
      </c>
      <c r="E4591" s="10"/>
      <c r="F4591" s="6">
        <v>36</v>
      </c>
      <c r="G4591" s="6">
        <f t="shared" si="230"/>
        <v>36</v>
      </c>
      <c r="H4591" s="26">
        <v>36</v>
      </c>
      <c r="I4591" s="16">
        <f t="shared" si="231"/>
        <v>0</v>
      </c>
      <c r="J4591" s="7" t="str">
        <f t="shared" si="232"/>
        <v>PAGADO</v>
      </c>
      <c r="K4591" s="33" t="s">
        <v>3506</v>
      </c>
      <c r="M4591" s="8"/>
    </row>
    <row r="4592" spans="3:13" customFormat="1" x14ac:dyDescent="0.25">
      <c r="C4592" s="9" t="s">
        <v>4358</v>
      </c>
      <c r="D4592" s="9" t="s">
        <v>4172</v>
      </c>
      <c r="E4592" s="10"/>
      <c r="F4592" s="6">
        <v>12</v>
      </c>
      <c r="G4592" s="6">
        <f t="shared" si="230"/>
        <v>12</v>
      </c>
      <c r="H4592" s="6">
        <v>12</v>
      </c>
      <c r="I4592" s="26">
        <f t="shared" si="231"/>
        <v>0</v>
      </c>
      <c r="J4592" s="7" t="str">
        <f t="shared" si="232"/>
        <v>PAGADO</v>
      </c>
      <c r="K4592" s="33" t="s">
        <v>3506</v>
      </c>
      <c r="M4592" s="8"/>
    </row>
    <row r="4593" spans="3:13" customFormat="1" x14ac:dyDescent="0.25">
      <c r="C4593" s="9" t="s">
        <v>4359</v>
      </c>
      <c r="D4593" s="9" t="s">
        <v>2366</v>
      </c>
      <c r="E4593" s="10"/>
      <c r="F4593" s="6">
        <v>12</v>
      </c>
      <c r="G4593" s="6">
        <f t="shared" si="230"/>
        <v>12</v>
      </c>
      <c r="H4593" s="6">
        <v>12</v>
      </c>
      <c r="I4593" s="26">
        <f t="shared" si="231"/>
        <v>0</v>
      </c>
      <c r="J4593" s="7" t="str">
        <f t="shared" si="232"/>
        <v>PAGADO</v>
      </c>
      <c r="K4593" s="9" t="s">
        <v>3506</v>
      </c>
      <c r="M4593" s="8"/>
    </row>
    <row r="4594" spans="3:13" customFormat="1" x14ac:dyDescent="0.25">
      <c r="C4594" s="9" t="s">
        <v>4326</v>
      </c>
      <c r="D4594" s="9" t="s">
        <v>3989</v>
      </c>
      <c r="E4594" s="10"/>
      <c r="F4594" s="6">
        <v>100</v>
      </c>
      <c r="G4594" s="6">
        <f t="shared" si="230"/>
        <v>100</v>
      </c>
      <c r="H4594" s="6">
        <f>50+50</f>
        <v>100</v>
      </c>
      <c r="I4594" s="23">
        <f t="shared" si="231"/>
        <v>0</v>
      </c>
      <c r="J4594" s="7" t="str">
        <f t="shared" si="232"/>
        <v>PAGADO</v>
      </c>
      <c r="K4594" s="33" t="s">
        <v>3506</v>
      </c>
      <c r="L4594" t="s">
        <v>4360</v>
      </c>
      <c r="M4594" s="8"/>
    </row>
    <row r="4595" spans="3:13" customFormat="1" x14ac:dyDescent="0.25">
      <c r="C4595" s="9" t="s">
        <v>4361</v>
      </c>
      <c r="D4595" s="9" t="s">
        <v>2018</v>
      </c>
      <c r="E4595" s="10"/>
      <c r="F4595" s="6">
        <v>60</v>
      </c>
      <c r="G4595" s="6">
        <f t="shared" si="230"/>
        <v>60</v>
      </c>
      <c r="H4595" s="6">
        <v>60</v>
      </c>
      <c r="I4595" s="26">
        <f t="shared" si="231"/>
        <v>0</v>
      </c>
      <c r="J4595" s="7" t="str">
        <f t="shared" si="232"/>
        <v>PAGADO</v>
      </c>
      <c r="K4595" s="33" t="s">
        <v>3506</v>
      </c>
      <c r="M4595" s="8"/>
    </row>
    <row r="4596" spans="3:13" customFormat="1" x14ac:dyDescent="0.25">
      <c r="C4596" s="9" t="s">
        <v>4362</v>
      </c>
      <c r="D4596" s="9" t="s">
        <v>1425</v>
      </c>
      <c r="E4596" s="10"/>
      <c r="F4596" s="6">
        <v>12</v>
      </c>
      <c r="G4596" s="6">
        <f t="shared" si="230"/>
        <v>12</v>
      </c>
      <c r="H4596" s="6">
        <v>12</v>
      </c>
      <c r="I4596" s="26">
        <f t="shared" si="231"/>
        <v>0</v>
      </c>
      <c r="J4596" s="7" t="str">
        <f t="shared" si="232"/>
        <v>PAGADO</v>
      </c>
      <c r="K4596" s="33" t="s">
        <v>3506</v>
      </c>
      <c r="M4596" s="8"/>
    </row>
    <row r="4597" spans="3:13" customFormat="1" x14ac:dyDescent="0.25">
      <c r="C4597" s="9" t="s">
        <v>4363</v>
      </c>
      <c r="D4597" s="9" t="s">
        <v>1425</v>
      </c>
      <c r="E4597" s="10"/>
      <c r="F4597" s="6">
        <v>12</v>
      </c>
      <c r="G4597" s="6">
        <f t="shared" si="230"/>
        <v>12</v>
      </c>
      <c r="H4597" s="6">
        <v>12</v>
      </c>
      <c r="I4597" s="26">
        <f t="shared" si="231"/>
        <v>0</v>
      </c>
      <c r="J4597" s="7" t="str">
        <f t="shared" si="232"/>
        <v>PAGADO</v>
      </c>
      <c r="K4597" s="33" t="s">
        <v>3506</v>
      </c>
      <c r="M4597" s="8"/>
    </row>
    <row r="4598" spans="3:13" customFormat="1" x14ac:dyDescent="0.25">
      <c r="C4598" s="9" t="s">
        <v>4364</v>
      </c>
      <c r="D4598" s="9" t="s">
        <v>4321</v>
      </c>
      <c r="E4598" s="10"/>
      <c r="F4598" s="6">
        <v>60</v>
      </c>
      <c r="G4598" s="6">
        <f t="shared" si="230"/>
        <v>60</v>
      </c>
      <c r="H4598" s="6">
        <v>60</v>
      </c>
      <c r="I4598" s="26">
        <f t="shared" si="231"/>
        <v>0</v>
      </c>
      <c r="J4598" s="7" t="str">
        <f t="shared" si="232"/>
        <v>PAGADO</v>
      </c>
      <c r="K4598" s="33" t="s">
        <v>2640</v>
      </c>
      <c r="M4598" s="8"/>
    </row>
    <row r="4599" spans="3:13" customFormat="1" x14ac:dyDescent="0.25">
      <c r="C4599" s="9" t="s">
        <v>4365</v>
      </c>
      <c r="D4599" s="9" t="s">
        <v>1425</v>
      </c>
      <c r="E4599" s="10"/>
      <c r="F4599" s="6">
        <v>12</v>
      </c>
      <c r="G4599" s="6">
        <f t="shared" si="230"/>
        <v>12</v>
      </c>
      <c r="H4599" s="6">
        <v>12</v>
      </c>
      <c r="I4599" s="26">
        <f t="shared" si="231"/>
        <v>0</v>
      </c>
      <c r="J4599" s="7" t="str">
        <f t="shared" si="232"/>
        <v>PAGADO</v>
      </c>
      <c r="K4599" s="33" t="s">
        <v>3506</v>
      </c>
      <c r="M4599" s="8"/>
    </row>
    <row r="4600" spans="3:13" customFormat="1" x14ac:dyDescent="0.25">
      <c r="C4600" s="9" t="s">
        <v>4366</v>
      </c>
      <c r="D4600" s="9" t="s">
        <v>3612</v>
      </c>
      <c r="E4600" s="10"/>
      <c r="F4600" s="26">
        <v>12</v>
      </c>
      <c r="G4600" s="26">
        <f t="shared" si="230"/>
        <v>12</v>
      </c>
      <c r="H4600" s="26">
        <v>12</v>
      </c>
      <c r="I4600" s="26">
        <f t="shared" si="231"/>
        <v>0</v>
      </c>
      <c r="J4600" s="7" t="str">
        <f t="shared" si="232"/>
        <v>PAGADO</v>
      </c>
      <c r="K4600" s="33" t="s">
        <v>3506</v>
      </c>
      <c r="M4600" s="8"/>
    </row>
    <row r="4601" spans="3:13" customFormat="1" x14ac:dyDescent="0.25">
      <c r="C4601" s="9" t="s">
        <v>4367</v>
      </c>
      <c r="D4601" s="9" t="s">
        <v>3612</v>
      </c>
      <c r="E4601" s="10"/>
      <c r="F4601" s="26">
        <v>12</v>
      </c>
      <c r="G4601" s="26">
        <f t="shared" si="230"/>
        <v>12</v>
      </c>
      <c r="H4601" s="26">
        <v>12</v>
      </c>
      <c r="I4601" s="26">
        <f t="shared" si="231"/>
        <v>0</v>
      </c>
      <c r="J4601" s="7" t="str">
        <f t="shared" si="232"/>
        <v>PAGADO</v>
      </c>
      <c r="K4601" s="33" t="s">
        <v>3506</v>
      </c>
      <c r="M4601" s="8"/>
    </row>
    <row r="4602" spans="3:13" customFormat="1" x14ac:dyDescent="0.25">
      <c r="C4602" s="9" t="s">
        <v>4368</v>
      </c>
      <c r="D4602" t="s">
        <v>4030</v>
      </c>
      <c r="E4602" s="10"/>
      <c r="F4602" s="6">
        <v>55</v>
      </c>
      <c r="G4602" s="6">
        <f t="shared" si="230"/>
        <v>55</v>
      </c>
      <c r="H4602" s="6">
        <v>55</v>
      </c>
      <c r="I4602" s="26">
        <f t="shared" si="231"/>
        <v>0</v>
      </c>
      <c r="J4602" s="7" t="str">
        <f t="shared" si="232"/>
        <v>PAGADO</v>
      </c>
      <c r="K4602" s="33" t="s">
        <v>2639</v>
      </c>
      <c r="M4602" s="8"/>
    </row>
    <row r="4603" spans="3:13" customFormat="1" x14ac:dyDescent="0.25">
      <c r="C4603" s="9" t="s">
        <v>4362</v>
      </c>
      <c r="D4603" s="9" t="s">
        <v>4352</v>
      </c>
      <c r="E4603" s="10"/>
      <c r="F4603" s="6">
        <v>12</v>
      </c>
      <c r="G4603" s="6">
        <f t="shared" si="230"/>
        <v>12</v>
      </c>
      <c r="H4603" s="6">
        <v>12</v>
      </c>
      <c r="I4603" s="26">
        <f t="shared" si="231"/>
        <v>0</v>
      </c>
      <c r="J4603" s="7" t="str">
        <f t="shared" si="232"/>
        <v>PAGADO</v>
      </c>
      <c r="K4603" s="9" t="s">
        <v>3506</v>
      </c>
      <c r="M4603" s="8"/>
    </row>
    <row r="4604" spans="3:13" customFormat="1" x14ac:dyDescent="0.25">
      <c r="C4604" t="s">
        <v>4369</v>
      </c>
      <c r="D4604" s="9" t="s">
        <v>4266</v>
      </c>
      <c r="E4604" s="10"/>
      <c r="F4604" s="6">
        <v>60</v>
      </c>
      <c r="G4604" s="6">
        <f t="shared" si="230"/>
        <v>60</v>
      </c>
      <c r="H4604" s="6">
        <f>30+30</f>
        <v>60</v>
      </c>
      <c r="I4604" s="26">
        <f t="shared" si="231"/>
        <v>0</v>
      </c>
      <c r="J4604" s="7" t="str">
        <f t="shared" si="232"/>
        <v>PAGADO</v>
      </c>
      <c r="K4604" s="33" t="s">
        <v>3506</v>
      </c>
      <c r="M4604" s="8"/>
    </row>
    <row r="4605" spans="3:13" customFormat="1" x14ac:dyDescent="0.25">
      <c r="C4605" t="s">
        <v>4370</v>
      </c>
      <c r="D4605" s="9" t="s">
        <v>4266</v>
      </c>
      <c r="E4605" s="10"/>
      <c r="F4605" s="6">
        <v>65</v>
      </c>
      <c r="G4605" s="6">
        <f t="shared" si="230"/>
        <v>65</v>
      </c>
      <c r="H4605" s="6">
        <f>32.5+32.5</f>
        <v>65</v>
      </c>
      <c r="I4605" s="26">
        <f t="shared" si="231"/>
        <v>0</v>
      </c>
      <c r="J4605" s="7" t="str">
        <f t="shared" si="232"/>
        <v>PAGADO</v>
      </c>
      <c r="K4605" s="33" t="s">
        <v>2640</v>
      </c>
      <c r="M4605" s="8"/>
    </row>
    <row r="4606" spans="3:13" customFormat="1" x14ac:dyDescent="0.25">
      <c r="C4606" s="9" t="s">
        <v>4298</v>
      </c>
      <c r="D4606" s="9" t="s">
        <v>3612</v>
      </c>
      <c r="E4606" s="10"/>
      <c r="F4606" s="26">
        <v>12</v>
      </c>
      <c r="G4606" s="26">
        <f t="shared" ref="G4606:G4669" si="233">F4606-E4606</f>
        <v>12</v>
      </c>
      <c r="H4606" s="26">
        <v>12</v>
      </c>
      <c r="I4606" s="26">
        <f t="shared" si="231"/>
        <v>0</v>
      </c>
      <c r="J4606" s="7" t="str">
        <f t="shared" si="232"/>
        <v>PAGADO</v>
      </c>
      <c r="K4606" s="33" t="s">
        <v>3506</v>
      </c>
      <c r="M4606" s="8"/>
    </row>
    <row r="4607" spans="3:13" customFormat="1" x14ac:dyDescent="0.25">
      <c r="C4607" s="9" t="s">
        <v>4371</v>
      </c>
      <c r="D4607" t="s">
        <v>2983</v>
      </c>
      <c r="E4607" s="10"/>
      <c r="F4607" s="6">
        <v>15</v>
      </c>
      <c r="G4607" s="6">
        <f t="shared" si="233"/>
        <v>15</v>
      </c>
      <c r="H4607" s="6">
        <v>15</v>
      </c>
      <c r="I4607" s="26">
        <f t="shared" si="231"/>
        <v>0</v>
      </c>
      <c r="J4607" s="7" t="str">
        <f t="shared" si="232"/>
        <v>PAGADO</v>
      </c>
      <c r="K4607" s="33" t="s">
        <v>2640</v>
      </c>
      <c r="M4607" s="8"/>
    </row>
    <row r="4608" spans="3:13" customFormat="1" x14ac:dyDescent="0.25">
      <c r="C4608" t="s">
        <v>4350</v>
      </c>
      <c r="D4608" t="s">
        <v>4294</v>
      </c>
      <c r="E4608" s="10"/>
      <c r="F4608" s="6">
        <v>80</v>
      </c>
      <c r="G4608" s="6">
        <f t="shared" si="233"/>
        <v>80</v>
      </c>
      <c r="H4608" s="6">
        <v>80</v>
      </c>
      <c r="I4608" s="26">
        <f t="shared" si="231"/>
        <v>0</v>
      </c>
      <c r="J4608" s="7" t="str">
        <f t="shared" si="232"/>
        <v>PAGADO</v>
      </c>
      <c r="K4608" s="33" t="s">
        <v>2640</v>
      </c>
      <c r="M4608" s="8"/>
    </row>
    <row r="4609" spans="3:13" customFormat="1" x14ac:dyDescent="0.25">
      <c r="C4609" t="s">
        <v>4261</v>
      </c>
      <c r="D4609" t="s">
        <v>4294</v>
      </c>
      <c r="E4609" s="10"/>
      <c r="F4609" s="6">
        <v>75</v>
      </c>
      <c r="G4609" s="6">
        <f t="shared" si="233"/>
        <v>75</v>
      </c>
      <c r="H4609" s="6">
        <v>75</v>
      </c>
      <c r="I4609" s="26">
        <f t="shared" si="231"/>
        <v>0</v>
      </c>
      <c r="J4609" s="7" t="str">
        <f t="shared" si="232"/>
        <v>PAGADO</v>
      </c>
      <c r="K4609" s="33" t="s">
        <v>2640</v>
      </c>
      <c r="M4609" s="8"/>
    </row>
    <row r="4610" spans="3:13" customFormat="1" x14ac:dyDescent="0.25">
      <c r="C4610" t="s">
        <v>4261</v>
      </c>
      <c r="D4610" s="9" t="s">
        <v>3076</v>
      </c>
      <c r="E4610" s="10"/>
      <c r="F4610" s="6">
        <v>75</v>
      </c>
      <c r="G4610" s="6">
        <f t="shared" si="233"/>
        <v>75</v>
      </c>
      <c r="H4610" s="6">
        <v>75</v>
      </c>
      <c r="I4610" s="26">
        <f t="shared" si="231"/>
        <v>0</v>
      </c>
      <c r="J4610" s="7" t="str">
        <f t="shared" si="232"/>
        <v>PAGADO</v>
      </c>
      <c r="K4610" s="33" t="s">
        <v>2640</v>
      </c>
      <c r="M4610" s="8"/>
    </row>
    <row r="4611" spans="3:13" customFormat="1" x14ac:dyDescent="0.25">
      <c r="C4611" s="9" t="s">
        <v>4023</v>
      </c>
      <c r="D4611" t="s">
        <v>80</v>
      </c>
      <c r="E4611" s="10"/>
      <c r="F4611" s="6">
        <v>100</v>
      </c>
      <c r="G4611" s="6">
        <f t="shared" si="233"/>
        <v>100</v>
      </c>
      <c r="H4611" s="6">
        <f>50+50</f>
        <v>100</v>
      </c>
      <c r="I4611" s="26">
        <f t="shared" si="231"/>
        <v>0</v>
      </c>
      <c r="J4611" s="7" t="str">
        <f t="shared" si="232"/>
        <v>PAGADO</v>
      </c>
      <c r="K4611" s="9" t="s">
        <v>3506</v>
      </c>
      <c r="M4611" s="8"/>
    </row>
    <row r="4612" spans="3:13" customFormat="1" x14ac:dyDescent="0.25">
      <c r="C4612" s="9" t="s">
        <v>4372</v>
      </c>
      <c r="D4612" t="s">
        <v>80</v>
      </c>
      <c r="E4612" s="10"/>
      <c r="F4612" s="6">
        <v>60</v>
      </c>
      <c r="G4612" s="6">
        <f t="shared" si="233"/>
        <v>60</v>
      </c>
      <c r="H4612" s="6">
        <v>60</v>
      </c>
      <c r="I4612" s="26">
        <f t="shared" si="231"/>
        <v>0</v>
      </c>
      <c r="J4612" s="7" t="str">
        <f t="shared" si="232"/>
        <v>PAGADO</v>
      </c>
      <c r="K4612" s="33" t="s">
        <v>2640</v>
      </c>
      <c r="M4612" s="8"/>
    </row>
    <row r="4613" spans="3:13" customFormat="1" x14ac:dyDescent="0.25">
      <c r="C4613" s="9" t="s">
        <v>4369</v>
      </c>
      <c r="D4613" t="s">
        <v>80</v>
      </c>
      <c r="E4613" s="10"/>
      <c r="F4613" s="6">
        <v>60</v>
      </c>
      <c r="G4613" s="6">
        <f t="shared" si="233"/>
        <v>60</v>
      </c>
      <c r="H4613" s="6">
        <v>60</v>
      </c>
      <c r="I4613" s="26">
        <f t="shared" si="231"/>
        <v>0</v>
      </c>
      <c r="J4613" s="7" t="str">
        <f t="shared" si="232"/>
        <v>PAGADO</v>
      </c>
      <c r="K4613" s="33" t="s">
        <v>2640</v>
      </c>
      <c r="M4613" s="8"/>
    </row>
    <row r="4614" spans="3:13" customFormat="1" x14ac:dyDescent="0.25">
      <c r="C4614" s="9" t="s">
        <v>4373</v>
      </c>
      <c r="D4614" s="9" t="s">
        <v>18</v>
      </c>
      <c r="E4614" s="10"/>
      <c r="F4614" s="6">
        <v>180</v>
      </c>
      <c r="G4614" s="6">
        <f t="shared" si="233"/>
        <v>180</v>
      </c>
      <c r="H4614" s="6">
        <v>180</v>
      </c>
      <c r="I4614" s="26">
        <f t="shared" si="231"/>
        <v>0</v>
      </c>
      <c r="J4614" s="7" t="str">
        <f t="shared" si="232"/>
        <v>PAGADO</v>
      </c>
      <c r="K4614" s="9" t="s">
        <v>2712</v>
      </c>
      <c r="M4614" s="8"/>
    </row>
    <row r="4615" spans="3:13" customFormat="1" x14ac:dyDescent="0.25">
      <c r="C4615" s="9" t="s">
        <v>2623</v>
      </c>
      <c r="D4615" s="9" t="s">
        <v>1560</v>
      </c>
      <c r="E4615" s="10"/>
      <c r="F4615" s="6">
        <v>140</v>
      </c>
      <c r="G4615" s="6">
        <f t="shared" si="233"/>
        <v>140</v>
      </c>
      <c r="H4615" s="6">
        <v>140</v>
      </c>
      <c r="I4615" s="26">
        <f t="shared" si="231"/>
        <v>0</v>
      </c>
      <c r="J4615" s="7" t="str">
        <f t="shared" si="232"/>
        <v>PAGADO</v>
      </c>
      <c r="K4615" s="9" t="s">
        <v>3506</v>
      </c>
      <c r="M4615" s="8"/>
    </row>
    <row r="4616" spans="3:13" customFormat="1" x14ac:dyDescent="0.25">
      <c r="C4616" s="9" t="s">
        <v>4374</v>
      </c>
      <c r="D4616" s="9" t="s">
        <v>2548</v>
      </c>
      <c r="E4616" s="10"/>
      <c r="F4616" s="6">
        <f>55*3</f>
        <v>165</v>
      </c>
      <c r="G4616" s="6">
        <f t="shared" si="233"/>
        <v>165</v>
      </c>
      <c r="H4616" s="6">
        <v>165</v>
      </c>
      <c r="I4616" s="48">
        <f t="shared" si="231"/>
        <v>0</v>
      </c>
      <c r="J4616" s="7" t="str">
        <f t="shared" si="232"/>
        <v>PAGADO</v>
      </c>
      <c r="K4616" s="33" t="s">
        <v>3506</v>
      </c>
      <c r="M4616" s="8"/>
    </row>
    <row r="4617" spans="3:13" customFormat="1" x14ac:dyDescent="0.25">
      <c r="C4617" s="9" t="s">
        <v>4375</v>
      </c>
      <c r="D4617" s="9" t="s">
        <v>1048</v>
      </c>
      <c r="E4617" s="10"/>
      <c r="F4617" s="6">
        <v>550</v>
      </c>
      <c r="G4617" s="6">
        <f t="shared" si="233"/>
        <v>550</v>
      </c>
      <c r="H4617" s="6">
        <v>550</v>
      </c>
      <c r="I4617" s="6">
        <f t="shared" si="231"/>
        <v>0</v>
      </c>
      <c r="J4617" s="7" t="str">
        <f t="shared" si="232"/>
        <v>PAGADO</v>
      </c>
      <c r="M4617" s="8"/>
    </row>
    <row r="4618" spans="3:13" customFormat="1" x14ac:dyDescent="0.25">
      <c r="C4618" t="s">
        <v>4376</v>
      </c>
      <c r="D4618" t="s">
        <v>1309</v>
      </c>
      <c r="E4618" s="10"/>
      <c r="F4618" s="6">
        <v>120</v>
      </c>
      <c r="G4618" s="6">
        <f t="shared" si="233"/>
        <v>120</v>
      </c>
      <c r="H4618" s="6">
        <f>70+50</f>
        <v>120</v>
      </c>
      <c r="I4618" s="26">
        <f t="shared" si="231"/>
        <v>0</v>
      </c>
      <c r="J4618" s="7" t="str">
        <f t="shared" si="232"/>
        <v>PAGADO</v>
      </c>
      <c r="K4618" s="9" t="s">
        <v>3506</v>
      </c>
      <c r="M4618" s="8"/>
    </row>
    <row r="4619" spans="3:13" customFormat="1" x14ac:dyDescent="0.25">
      <c r="C4619" s="9" t="s">
        <v>4354</v>
      </c>
      <c r="D4619" s="9" t="s">
        <v>2906</v>
      </c>
      <c r="E4619" s="10"/>
      <c r="F4619" s="6">
        <v>80</v>
      </c>
      <c r="G4619" s="6">
        <f t="shared" si="233"/>
        <v>80</v>
      </c>
      <c r="H4619" s="6">
        <f>40+40</f>
        <v>80</v>
      </c>
      <c r="I4619" s="26">
        <f t="shared" ref="I4619:I4682" si="234">F4619-H4619</f>
        <v>0</v>
      </c>
      <c r="J4619" s="7" t="str">
        <f t="shared" si="232"/>
        <v>PAGADO</v>
      </c>
      <c r="K4619" s="9" t="s">
        <v>3506</v>
      </c>
      <c r="M4619" s="8"/>
    </row>
    <row r="4620" spans="3:13" customFormat="1" x14ac:dyDescent="0.25">
      <c r="C4620" s="9" t="s">
        <v>4377</v>
      </c>
      <c r="D4620" s="9" t="s">
        <v>4378</v>
      </c>
      <c r="E4620" s="10"/>
      <c r="F4620" s="6">
        <v>60</v>
      </c>
      <c r="G4620" s="6">
        <f t="shared" si="233"/>
        <v>60</v>
      </c>
      <c r="H4620" s="6">
        <f>30+30</f>
        <v>60</v>
      </c>
      <c r="I4620" s="26">
        <f t="shared" si="234"/>
        <v>0</v>
      </c>
      <c r="J4620" s="7" t="str">
        <f t="shared" si="232"/>
        <v>PAGADO</v>
      </c>
      <c r="K4620" s="9" t="s">
        <v>3506</v>
      </c>
      <c r="M4620" s="8"/>
    </row>
    <row r="4621" spans="3:13" customFormat="1" x14ac:dyDescent="0.25">
      <c r="C4621" s="9" t="s">
        <v>3279</v>
      </c>
      <c r="D4621" s="9" t="s">
        <v>2153</v>
      </c>
      <c r="E4621" s="10"/>
      <c r="F4621" s="6">
        <v>80</v>
      </c>
      <c r="G4621" s="6">
        <f t="shared" si="233"/>
        <v>80</v>
      </c>
      <c r="H4621" s="6">
        <v>80</v>
      </c>
      <c r="I4621" s="26">
        <f t="shared" si="234"/>
        <v>0</v>
      </c>
      <c r="J4621" s="7" t="str">
        <f t="shared" si="232"/>
        <v>PAGADO</v>
      </c>
      <c r="K4621" s="33" t="s">
        <v>3506</v>
      </c>
      <c r="M4621" s="8"/>
    </row>
    <row r="4622" spans="3:13" customFormat="1" x14ac:dyDescent="0.25">
      <c r="C4622" s="9" t="s">
        <v>4379</v>
      </c>
      <c r="D4622" s="9" t="s">
        <v>3612</v>
      </c>
      <c r="E4622" s="10"/>
      <c r="F4622" s="6">
        <v>60</v>
      </c>
      <c r="G4622" s="6">
        <f t="shared" si="233"/>
        <v>60</v>
      </c>
      <c r="H4622" s="6">
        <v>60</v>
      </c>
      <c r="I4622" s="26">
        <f t="shared" si="234"/>
        <v>0</v>
      </c>
      <c r="J4622" s="7" t="str">
        <f t="shared" si="232"/>
        <v>PAGADO</v>
      </c>
      <c r="M4622" s="8"/>
    </row>
    <row r="4623" spans="3:13" customFormat="1" x14ac:dyDescent="0.25">
      <c r="C4623" s="9" t="s">
        <v>4380</v>
      </c>
      <c r="D4623" s="9" t="s">
        <v>4172</v>
      </c>
      <c r="E4623" s="10"/>
      <c r="F4623" s="6">
        <v>12</v>
      </c>
      <c r="G4623" s="6">
        <f t="shared" si="233"/>
        <v>12</v>
      </c>
      <c r="H4623" s="6">
        <v>12</v>
      </c>
      <c r="I4623" s="26">
        <f t="shared" si="234"/>
        <v>0</v>
      </c>
      <c r="J4623" s="7" t="str">
        <f t="shared" si="232"/>
        <v>PAGADO</v>
      </c>
      <c r="K4623" s="33" t="s">
        <v>3506</v>
      </c>
      <c r="M4623" s="8"/>
    </row>
    <row r="4624" spans="3:13" customFormat="1" x14ac:dyDescent="0.25">
      <c r="C4624" s="9" t="s">
        <v>2541</v>
      </c>
      <c r="D4624" s="9" t="s">
        <v>2906</v>
      </c>
      <c r="E4624" s="10"/>
      <c r="F4624" s="6">
        <v>220</v>
      </c>
      <c r="G4624" s="6">
        <f t="shared" si="233"/>
        <v>220</v>
      </c>
      <c r="H4624" s="6">
        <v>220</v>
      </c>
      <c r="I4624" s="26">
        <f t="shared" si="234"/>
        <v>0</v>
      </c>
      <c r="J4624" s="7" t="str">
        <f t="shared" si="232"/>
        <v>PAGADO</v>
      </c>
      <c r="M4624" s="8"/>
    </row>
    <row r="4625" spans="3:13" customFormat="1" x14ac:dyDescent="0.25">
      <c r="C4625" s="9" t="s">
        <v>2726</v>
      </c>
      <c r="D4625" s="9" t="s">
        <v>4381</v>
      </c>
      <c r="E4625" s="10"/>
      <c r="F4625" s="6">
        <v>70</v>
      </c>
      <c r="G4625" s="6">
        <f t="shared" si="233"/>
        <v>70</v>
      </c>
      <c r="H4625" s="6">
        <v>70</v>
      </c>
      <c r="I4625" s="26">
        <f t="shared" si="234"/>
        <v>0</v>
      </c>
      <c r="J4625" s="7" t="str">
        <f t="shared" si="232"/>
        <v>PAGADO</v>
      </c>
      <c r="M4625" s="8"/>
    </row>
    <row r="4626" spans="3:13" customFormat="1" x14ac:dyDescent="0.25">
      <c r="C4626" s="9" t="s">
        <v>4382</v>
      </c>
      <c r="D4626" s="9" t="s">
        <v>4383</v>
      </c>
      <c r="E4626" s="10"/>
      <c r="F4626" s="6">
        <v>60</v>
      </c>
      <c r="G4626" s="6">
        <f t="shared" si="233"/>
        <v>60</v>
      </c>
      <c r="H4626" s="6">
        <v>60</v>
      </c>
      <c r="I4626" s="26">
        <f t="shared" si="234"/>
        <v>0</v>
      </c>
      <c r="J4626" s="7" t="str">
        <f t="shared" si="232"/>
        <v>PAGADO</v>
      </c>
      <c r="M4626" s="8"/>
    </row>
    <row r="4627" spans="3:13" customFormat="1" x14ac:dyDescent="0.25">
      <c r="C4627" s="9" t="s">
        <v>4384</v>
      </c>
      <c r="D4627" s="9" t="s">
        <v>4383</v>
      </c>
      <c r="E4627" s="10"/>
      <c r="F4627" s="6">
        <v>60</v>
      </c>
      <c r="G4627" s="6">
        <f t="shared" si="233"/>
        <v>60</v>
      </c>
      <c r="H4627" s="6">
        <v>60</v>
      </c>
      <c r="I4627" s="26">
        <f t="shared" si="234"/>
        <v>0</v>
      </c>
      <c r="J4627" s="7" t="str">
        <f t="shared" si="232"/>
        <v>PAGADO</v>
      </c>
      <c r="M4627" s="8"/>
    </row>
    <row r="4628" spans="3:13" customFormat="1" x14ac:dyDescent="0.25">
      <c r="C4628" s="9" t="s">
        <v>4385</v>
      </c>
      <c r="D4628" s="9" t="s">
        <v>680</v>
      </c>
      <c r="E4628" s="10"/>
      <c r="F4628" s="6">
        <v>70</v>
      </c>
      <c r="G4628" s="6">
        <f t="shared" si="233"/>
        <v>70</v>
      </c>
      <c r="H4628" s="6">
        <v>70</v>
      </c>
      <c r="I4628" s="26">
        <f t="shared" si="234"/>
        <v>0</v>
      </c>
      <c r="J4628" s="7" t="str">
        <f t="shared" si="232"/>
        <v>PAGADO</v>
      </c>
      <c r="M4628" s="8"/>
    </row>
    <row r="4629" spans="3:13" customFormat="1" x14ac:dyDescent="0.25">
      <c r="C4629" s="9" t="s">
        <v>4386</v>
      </c>
      <c r="D4629" s="9" t="s">
        <v>4387</v>
      </c>
      <c r="E4629" s="10"/>
      <c r="F4629" s="6">
        <v>70</v>
      </c>
      <c r="G4629" s="6">
        <f t="shared" si="233"/>
        <v>70</v>
      </c>
      <c r="H4629" s="6">
        <v>70</v>
      </c>
      <c r="I4629" s="26">
        <f t="shared" si="234"/>
        <v>0</v>
      </c>
      <c r="J4629" s="7" t="str">
        <f t="shared" si="232"/>
        <v>PAGADO</v>
      </c>
      <c r="M4629" s="8"/>
    </row>
    <row r="4630" spans="3:13" customFormat="1" x14ac:dyDescent="0.25">
      <c r="C4630" s="9" t="s">
        <v>4388</v>
      </c>
      <c r="D4630" s="9" t="s">
        <v>2548</v>
      </c>
      <c r="E4630" s="10"/>
      <c r="F4630" s="6">
        <v>70</v>
      </c>
      <c r="G4630" s="6">
        <f t="shared" si="233"/>
        <v>70</v>
      </c>
      <c r="H4630" s="6">
        <v>70</v>
      </c>
      <c r="I4630" s="26">
        <f t="shared" si="234"/>
        <v>0</v>
      </c>
      <c r="J4630" s="7" t="str">
        <f t="shared" si="232"/>
        <v>PAGADO</v>
      </c>
      <c r="M4630" s="8"/>
    </row>
    <row r="4631" spans="3:13" customFormat="1" x14ac:dyDescent="0.25">
      <c r="C4631" s="9" t="s">
        <v>4389</v>
      </c>
      <c r="D4631" s="9" t="s">
        <v>3463</v>
      </c>
      <c r="E4631" s="10"/>
      <c r="F4631" s="6">
        <v>50</v>
      </c>
      <c r="G4631" s="6">
        <f t="shared" si="233"/>
        <v>50</v>
      </c>
      <c r="H4631" s="6">
        <f>25+25</f>
        <v>50</v>
      </c>
      <c r="I4631" s="26">
        <f t="shared" si="234"/>
        <v>0</v>
      </c>
      <c r="J4631" s="7" t="str">
        <f t="shared" si="232"/>
        <v>PAGADO</v>
      </c>
      <c r="M4631" s="8"/>
    </row>
    <row r="4632" spans="3:13" customFormat="1" x14ac:dyDescent="0.25">
      <c r="C4632" s="9" t="s">
        <v>4390</v>
      </c>
      <c r="D4632" s="9" t="s">
        <v>3202</v>
      </c>
      <c r="E4632" s="10"/>
      <c r="F4632" s="6">
        <v>155</v>
      </c>
      <c r="G4632" s="6">
        <f t="shared" si="233"/>
        <v>155</v>
      </c>
      <c r="H4632" s="6">
        <v>155</v>
      </c>
      <c r="I4632" s="26">
        <f t="shared" si="234"/>
        <v>0</v>
      </c>
      <c r="J4632" s="7" t="str">
        <f t="shared" si="232"/>
        <v>PAGADO</v>
      </c>
      <c r="M4632" s="8"/>
    </row>
    <row r="4633" spans="3:13" customFormat="1" x14ac:dyDescent="0.25">
      <c r="C4633" s="9" t="s">
        <v>4295</v>
      </c>
      <c r="D4633" t="s">
        <v>4391</v>
      </c>
      <c r="E4633" s="10"/>
      <c r="F4633" s="6">
        <v>80</v>
      </c>
      <c r="G4633" s="6">
        <f t="shared" si="233"/>
        <v>80</v>
      </c>
      <c r="H4633" s="6">
        <v>80</v>
      </c>
      <c r="I4633" s="26">
        <f t="shared" si="234"/>
        <v>0</v>
      </c>
      <c r="J4633" s="7" t="str">
        <f t="shared" si="232"/>
        <v>PAGADO</v>
      </c>
      <c r="M4633" s="8"/>
    </row>
    <row r="4634" spans="3:13" customFormat="1" x14ac:dyDescent="0.25">
      <c r="C4634" s="9" t="s">
        <v>4392</v>
      </c>
      <c r="D4634" s="9" t="s">
        <v>4142</v>
      </c>
      <c r="E4634" s="10"/>
      <c r="F4634" s="6">
        <v>80</v>
      </c>
      <c r="G4634" s="6">
        <f t="shared" si="233"/>
        <v>80</v>
      </c>
      <c r="H4634" s="6">
        <v>80</v>
      </c>
      <c r="I4634" s="26">
        <f t="shared" si="234"/>
        <v>0</v>
      </c>
      <c r="J4634" s="7" t="str">
        <f t="shared" si="232"/>
        <v>PAGADO</v>
      </c>
      <c r="M4634" s="8"/>
    </row>
    <row r="4635" spans="3:13" customFormat="1" x14ac:dyDescent="0.25">
      <c r="C4635" s="9" t="s">
        <v>3526</v>
      </c>
      <c r="D4635" s="9" t="s">
        <v>4393</v>
      </c>
      <c r="E4635" s="10"/>
      <c r="F4635" s="6">
        <v>15</v>
      </c>
      <c r="G4635" s="6">
        <f t="shared" si="233"/>
        <v>15</v>
      </c>
      <c r="H4635" s="6">
        <v>15</v>
      </c>
      <c r="I4635" s="26">
        <f t="shared" si="234"/>
        <v>0</v>
      </c>
      <c r="J4635" s="7" t="str">
        <f t="shared" si="232"/>
        <v>PAGADO</v>
      </c>
      <c r="M4635" s="8"/>
    </row>
    <row r="4636" spans="3:13" customFormat="1" x14ac:dyDescent="0.25">
      <c r="C4636" s="9" t="s">
        <v>4394</v>
      </c>
      <c r="D4636" s="9" t="s">
        <v>3612</v>
      </c>
      <c r="E4636" s="10"/>
      <c r="F4636" s="6">
        <v>15</v>
      </c>
      <c r="G4636" s="6">
        <f t="shared" si="233"/>
        <v>15</v>
      </c>
      <c r="H4636" s="6">
        <v>15</v>
      </c>
      <c r="I4636" s="26">
        <f t="shared" si="234"/>
        <v>0</v>
      </c>
      <c r="J4636" s="7" t="str">
        <f t="shared" si="232"/>
        <v>PAGADO</v>
      </c>
      <c r="M4636" s="8"/>
    </row>
    <row r="4637" spans="3:13" customFormat="1" x14ac:dyDescent="0.25">
      <c r="C4637" s="9" t="s">
        <v>4395</v>
      </c>
      <c r="D4637" s="9" t="s">
        <v>2906</v>
      </c>
      <c r="E4637" s="10"/>
      <c r="F4637" s="6">
        <v>30</v>
      </c>
      <c r="G4637" s="6">
        <f t="shared" si="233"/>
        <v>30</v>
      </c>
      <c r="H4637" s="6">
        <v>30</v>
      </c>
      <c r="I4637" s="26">
        <f t="shared" si="234"/>
        <v>0</v>
      </c>
      <c r="J4637" s="7" t="str">
        <f t="shared" si="232"/>
        <v>PAGADO</v>
      </c>
      <c r="M4637" s="8"/>
    </row>
    <row r="4638" spans="3:13" customFormat="1" x14ac:dyDescent="0.25">
      <c r="C4638" s="9" t="s">
        <v>4396</v>
      </c>
      <c r="D4638" s="9" t="s">
        <v>941</v>
      </c>
      <c r="E4638" s="10"/>
      <c r="F4638" s="6">
        <v>60</v>
      </c>
      <c r="G4638" s="6">
        <f t="shared" si="233"/>
        <v>60</v>
      </c>
      <c r="H4638" s="6">
        <v>60</v>
      </c>
      <c r="I4638" s="26">
        <f t="shared" si="234"/>
        <v>0</v>
      </c>
      <c r="J4638" s="7" t="str">
        <f t="shared" si="232"/>
        <v>PAGADO</v>
      </c>
      <c r="K4638" s="9" t="s">
        <v>4397</v>
      </c>
      <c r="M4638" s="8"/>
    </row>
    <row r="4639" spans="3:13" customFormat="1" x14ac:dyDescent="0.25">
      <c r="C4639" s="9" t="s">
        <v>4398</v>
      </c>
      <c r="D4639" t="s">
        <v>1640</v>
      </c>
      <c r="E4639" s="10"/>
      <c r="F4639" s="6">
        <v>20</v>
      </c>
      <c r="G4639" s="6">
        <f t="shared" si="233"/>
        <v>20</v>
      </c>
      <c r="H4639" s="6">
        <v>20</v>
      </c>
      <c r="I4639" s="26">
        <f t="shared" si="234"/>
        <v>0</v>
      </c>
      <c r="J4639" s="7" t="str">
        <f t="shared" si="232"/>
        <v>PAGADO</v>
      </c>
      <c r="M4639" s="8"/>
    </row>
    <row r="4640" spans="3:13" customFormat="1" x14ac:dyDescent="0.25">
      <c r="C4640" s="9" t="s">
        <v>4399</v>
      </c>
      <c r="D4640" t="s">
        <v>4400</v>
      </c>
      <c r="E4640" s="10"/>
      <c r="F4640" s="6">
        <v>35</v>
      </c>
      <c r="G4640" s="6">
        <f t="shared" si="233"/>
        <v>35</v>
      </c>
      <c r="H4640" s="6">
        <v>35</v>
      </c>
      <c r="I4640" s="26">
        <f t="shared" si="234"/>
        <v>0</v>
      </c>
      <c r="J4640" s="7" t="str">
        <f t="shared" si="232"/>
        <v>PAGADO</v>
      </c>
      <c r="M4640" s="8"/>
    </row>
    <row r="4641" spans="3:13" customFormat="1" x14ac:dyDescent="0.25">
      <c r="C4641" s="9" t="s">
        <v>1718</v>
      </c>
      <c r="D4641" s="9" t="s">
        <v>3653</v>
      </c>
      <c r="E4641" s="10"/>
      <c r="F4641" s="6">
        <v>95</v>
      </c>
      <c r="G4641" s="6">
        <f t="shared" si="233"/>
        <v>95</v>
      </c>
      <c r="H4641" s="6">
        <v>95</v>
      </c>
      <c r="I4641" s="26">
        <f t="shared" si="234"/>
        <v>0</v>
      </c>
      <c r="J4641" s="7" t="str">
        <f t="shared" si="232"/>
        <v>PAGADO</v>
      </c>
      <c r="M4641" s="8"/>
    </row>
    <row r="4642" spans="3:13" customFormat="1" x14ac:dyDescent="0.25">
      <c r="C4642" t="s">
        <v>3538</v>
      </c>
      <c r="D4642" s="9" t="s">
        <v>1504</v>
      </c>
      <c r="E4642" s="10"/>
      <c r="F4642" s="6">
        <v>350</v>
      </c>
      <c r="G4642" s="6">
        <f t="shared" si="233"/>
        <v>350</v>
      </c>
      <c r="H4642" s="24">
        <v>350</v>
      </c>
      <c r="I4642" s="26">
        <f t="shared" si="234"/>
        <v>0</v>
      </c>
      <c r="J4642" s="7" t="str">
        <f t="shared" si="232"/>
        <v>PAGADO</v>
      </c>
      <c r="K4642" s="33" t="s">
        <v>2639</v>
      </c>
      <c r="M4642" s="8"/>
    </row>
    <row r="4643" spans="3:13" customFormat="1" x14ac:dyDescent="0.25">
      <c r="C4643" t="s">
        <v>3811</v>
      </c>
      <c r="D4643" s="9" t="s">
        <v>1504</v>
      </c>
      <c r="E4643" s="10"/>
      <c r="F4643" s="6">
        <v>75</v>
      </c>
      <c r="G4643" s="6">
        <f t="shared" si="233"/>
        <v>75</v>
      </c>
      <c r="H4643" s="24">
        <v>75</v>
      </c>
      <c r="I4643" s="26">
        <f t="shared" si="234"/>
        <v>0</v>
      </c>
      <c r="J4643" s="7" t="str">
        <f t="shared" ref="J4643:J4673" si="235">IF(I4643&gt;0,"DEBE","PAGADO")</f>
        <v>PAGADO</v>
      </c>
      <c r="K4643" s="33" t="s">
        <v>2639</v>
      </c>
      <c r="M4643" s="8"/>
    </row>
    <row r="4644" spans="3:13" customFormat="1" x14ac:dyDescent="0.25">
      <c r="C4644" t="s">
        <v>3040</v>
      </c>
      <c r="D4644" s="9" t="s">
        <v>1504</v>
      </c>
      <c r="E4644" s="10"/>
      <c r="F4644" s="6">
        <v>75</v>
      </c>
      <c r="G4644" s="6">
        <f t="shared" si="233"/>
        <v>75</v>
      </c>
      <c r="H4644" s="24">
        <v>75</v>
      </c>
      <c r="I4644" s="26">
        <f t="shared" si="234"/>
        <v>0</v>
      </c>
      <c r="J4644" s="7" t="str">
        <f t="shared" si="235"/>
        <v>PAGADO</v>
      </c>
      <c r="K4644" s="33" t="s">
        <v>2639</v>
      </c>
      <c r="M4644" s="8"/>
    </row>
    <row r="4645" spans="3:13" customFormat="1" x14ac:dyDescent="0.25">
      <c r="C4645" t="s">
        <v>4401</v>
      </c>
      <c r="D4645" s="9" t="s">
        <v>1504</v>
      </c>
      <c r="E4645" s="10"/>
      <c r="F4645" s="6">
        <v>160</v>
      </c>
      <c r="G4645" s="6">
        <f t="shared" si="233"/>
        <v>160</v>
      </c>
      <c r="H4645" s="24">
        <f>80+80</f>
        <v>160</v>
      </c>
      <c r="I4645" s="26">
        <f t="shared" si="234"/>
        <v>0</v>
      </c>
      <c r="J4645" s="7" t="str">
        <f t="shared" si="235"/>
        <v>PAGADO</v>
      </c>
      <c r="K4645" s="33" t="s">
        <v>2639</v>
      </c>
      <c r="M4645" s="8"/>
    </row>
    <row r="4646" spans="3:13" customFormat="1" x14ac:dyDescent="0.25">
      <c r="C4646" t="s">
        <v>4402</v>
      </c>
      <c r="D4646" s="9" t="s">
        <v>1504</v>
      </c>
      <c r="E4646" s="10"/>
      <c r="F4646" s="6">
        <v>150</v>
      </c>
      <c r="G4646" s="6">
        <f t="shared" si="233"/>
        <v>150</v>
      </c>
      <c r="H4646" s="24">
        <v>150</v>
      </c>
      <c r="I4646" s="16">
        <f t="shared" si="234"/>
        <v>0</v>
      </c>
      <c r="J4646" s="7" t="str">
        <f t="shared" si="235"/>
        <v>PAGADO</v>
      </c>
      <c r="K4646" s="33" t="s">
        <v>2639</v>
      </c>
      <c r="M4646" s="8"/>
    </row>
    <row r="4647" spans="3:13" customFormat="1" x14ac:dyDescent="0.25">
      <c r="C4647" t="s">
        <v>4403</v>
      </c>
      <c r="D4647" s="9" t="s">
        <v>1504</v>
      </c>
      <c r="E4647" s="10"/>
      <c r="F4647" s="6">
        <v>160</v>
      </c>
      <c r="G4647" s="6">
        <f t="shared" si="233"/>
        <v>160</v>
      </c>
      <c r="H4647" s="6">
        <v>160</v>
      </c>
      <c r="I4647" s="16">
        <f t="shared" si="234"/>
        <v>0</v>
      </c>
      <c r="J4647" s="7" t="str">
        <f t="shared" si="235"/>
        <v>PAGADO</v>
      </c>
      <c r="K4647" s="33" t="s">
        <v>2639</v>
      </c>
      <c r="M4647" s="8"/>
    </row>
    <row r="4648" spans="3:13" customFormat="1" x14ac:dyDescent="0.25">
      <c r="C4648" s="9" t="s">
        <v>4337</v>
      </c>
      <c r="D4648" s="9" t="s">
        <v>4111</v>
      </c>
      <c r="E4648" s="10"/>
      <c r="F4648" s="6">
        <v>70</v>
      </c>
      <c r="G4648" s="6">
        <f t="shared" si="233"/>
        <v>70</v>
      </c>
      <c r="H4648" s="6">
        <f>35+35</f>
        <v>70</v>
      </c>
      <c r="I4648" s="26">
        <f t="shared" si="234"/>
        <v>0</v>
      </c>
      <c r="J4648" s="7" t="str">
        <f t="shared" si="235"/>
        <v>PAGADO</v>
      </c>
      <c r="K4648" s="9" t="s">
        <v>3506</v>
      </c>
      <c r="M4648" s="8"/>
    </row>
    <row r="4649" spans="3:13" customFormat="1" x14ac:dyDescent="0.25">
      <c r="C4649" s="9" t="s">
        <v>4404</v>
      </c>
      <c r="D4649" s="9" t="s">
        <v>4273</v>
      </c>
      <c r="E4649" s="10"/>
      <c r="F4649" s="6">
        <v>80</v>
      </c>
      <c r="G4649" s="6">
        <f t="shared" si="233"/>
        <v>80</v>
      </c>
      <c r="H4649" s="6">
        <f>45+35</f>
        <v>80</v>
      </c>
      <c r="I4649" s="26">
        <f t="shared" si="234"/>
        <v>0</v>
      </c>
      <c r="J4649" s="7" t="str">
        <f t="shared" si="235"/>
        <v>PAGADO</v>
      </c>
      <c r="K4649" s="33" t="s">
        <v>2640</v>
      </c>
      <c r="M4649" s="8"/>
    </row>
    <row r="4650" spans="3:13" customFormat="1" x14ac:dyDescent="0.25">
      <c r="C4650" s="9" t="s">
        <v>4104</v>
      </c>
      <c r="D4650" s="9" t="s">
        <v>4273</v>
      </c>
      <c r="E4650" s="10"/>
      <c r="F4650" s="6">
        <v>55</v>
      </c>
      <c r="G4650" s="6">
        <f t="shared" si="233"/>
        <v>55</v>
      </c>
      <c r="H4650" s="6">
        <f>10+45</f>
        <v>55</v>
      </c>
      <c r="I4650" s="26">
        <f t="shared" si="234"/>
        <v>0</v>
      </c>
      <c r="J4650" s="7" t="str">
        <f t="shared" si="235"/>
        <v>PAGADO</v>
      </c>
      <c r="K4650" s="9"/>
      <c r="M4650" s="8"/>
    </row>
    <row r="4651" spans="3:13" customFormat="1" x14ac:dyDescent="0.25">
      <c r="C4651" s="9" t="s">
        <v>4405</v>
      </c>
      <c r="D4651" s="9" t="s">
        <v>3836</v>
      </c>
      <c r="E4651" s="10"/>
      <c r="F4651" s="6">
        <v>55</v>
      </c>
      <c r="G4651" s="6">
        <f t="shared" si="233"/>
        <v>55</v>
      </c>
      <c r="H4651" s="6">
        <v>55</v>
      </c>
      <c r="I4651" s="26">
        <f t="shared" si="234"/>
        <v>0</v>
      </c>
      <c r="J4651" s="7" t="str">
        <f t="shared" si="235"/>
        <v>PAGADO</v>
      </c>
      <c r="M4651" s="8"/>
    </row>
    <row r="4652" spans="3:13" customFormat="1" x14ac:dyDescent="0.25">
      <c r="C4652" s="9" t="s">
        <v>3425</v>
      </c>
      <c r="D4652" s="9" t="s">
        <v>1399</v>
      </c>
      <c r="E4652" s="10"/>
      <c r="F4652" s="6">
        <v>220</v>
      </c>
      <c r="G4652" s="6">
        <f t="shared" si="233"/>
        <v>220</v>
      </c>
      <c r="H4652" s="6">
        <v>220</v>
      </c>
      <c r="I4652" s="26">
        <f t="shared" si="234"/>
        <v>0</v>
      </c>
      <c r="J4652" s="7" t="str">
        <f t="shared" si="235"/>
        <v>PAGADO</v>
      </c>
      <c r="K4652" s="33" t="s">
        <v>4406</v>
      </c>
      <c r="M4652" s="8"/>
    </row>
    <row r="4653" spans="3:13" customFormat="1" x14ac:dyDescent="0.25">
      <c r="C4653" s="9" t="s">
        <v>552</v>
      </c>
      <c r="D4653" s="9" t="s">
        <v>4407</v>
      </c>
      <c r="E4653" s="10"/>
      <c r="F4653" s="6">
        <v>45</v>
      </c>
      <c r="G4653" s="6">
        <f t="shared" si="233"/>
        <v>45</v>
      </c>
      <c r="H4653" s="6">
        <v>45</v>
      </c>
      <c r="I4653" s="26">
        <f t="shared" si="234"/>
        <v>0</v>
      </c>
      <c r="J4653" s="7" t="str">
        <f t="shared" si="235"/>
        <v>PAGADO</v>
      </c>
      <c r="M4653" s="8"/>
    </row>
    <row r="4654" spans="3:13" customFormat="1" x14ac:dyDescent="0.25">
      <c r="C4654" s="9" t="s">
        <v>556</v>
      </c>
      <c r="D4654" s="9" t="s">
        <v>4407</v>
      </c>
      <c r="E4654" s="10"/>
      <c r="F4654" s="6">
        <v>45</v>
      </c>
      <c r="G4654" s="6">
        <f t="shared" si="233"/>
        <v>45</v>
      </c>
      <c r="H4654" s="6">
        <v>45</v>
      </c>
      <c r="I4654" s="26">
        <f t="shared" si="234"/>
        <v>0</v>
      </c>
      <c r="J4654" s="7" t="str">
        <f t="shared" si="235"/>
        <v>PAGADO</v>
      </c>
      <c r="M4654" s="8"/>
    </row>
    <row r="4655" spans="3:13" customFormat="1" x14ac:dyDescent="0.25">
      <c r="C4655" s="9" t="s">
        <v>4408</v>
      </c>
      <c r="D4655" s="9" t="s">
        <v>4409</v>
      </c>
      <c r="E4655" s="10"/>
      <c r="F4655" s="6">
        <v>60</v>
      </c>
      <c r="G4655" s="6">
        <f t="shared" si="233"/>
        <v>60</v>
      </c>
      <c r="H4655" s="6">
        <v>60</v>
      </c>
      <c r="I4655" s="26">
        <f t="shared" si="234"/>
        <v>0</v>
      </c>
      <c r="J4655" s="7" t="str">
        <f t="shared" si="235"/>
        <v>PAGADO</v>
      </c>
      <c r="M4655" s="8"/>
    </row>
    <row r="4656" spans="3:13" customFormat="1" x14ac:dyDescent="0.25">
      <c r="C4656" s="9" t="s">
        <v>4410</v>
      </c>
      <c r="D4656" s="9" t="s">
        <v>2683</v>
      </c>
      <c r="E4656" s="10"/>
      <c r="F4656" s="6">
        <v>12</v>
      </c>
      <c r="G4656" s="6">
        <f t="shared" si="233"/>
        <v>12</v>
      </c>
      <c r="H4656" s="6">
        <f>6+6</f>
        <v>12</v>
      </c>
      <c r="I4656" s="26">
        <f t="shared" si="234"/>
        <v>0</v>
      </c>
      <c r="J4656" s="7" t="str">
        <f t="shared" si="235"/>
        <v>PAGADO</v>
      </c>
      <c r="K4656" s="33" t="s">
        <v>3506</v>
      </c>
      <c r="M4656" s="8"/>
    </row>
    <row r="4657" spans="3:13" customFormat="1" x14ac:dyDescent="0.25">
      <c r="C4657" s="9" t="s">
        <v>4411</v>
      </c>
      <c r="D4657" s="9" t="s">
        <v>3836</v>
      </c>
      <c r="E4657" s="10"/>
      <c r="F4657" s="6">
        <v>75</v>
      </c>
      <c r="G4657" s="6">
        <f t="shared" si="233"/>
        <v>75</v>
      </c>
      <c r="H4657" s="6">
        <f>40+35</f>
        <v>75</v>
      </c>
      <c r="I4657" s="26">
        <f t="shared" si="234"/>
        <v>0</v>
      </c>
      <c r="J4657" s="7" t="str">
        <f t="shared" si="235"/>
        <v>PAGADO</v>
      </c>
      <c r="M4657" s="8"/>
    </row>
    <row r="4658" spans="3:13" customFormat="1" x14ac:dyDescent="0.25">
      <c r="C4658" s="9" t="s">
        <v>2822</v>
      </c>
      <c r="D4658" s="9" t="s">
        <v>4412</v>
      </c>
      <c r="E4658" s="10"/>
      <c r="F4658" s="6">
        <v>80</v>
      </c>
      <c r="G4658" s="6">
        <f t="shared" si="233"/>
        <v>80</v>
      </c>
      <c r="H4658" s="6">
        <v>80</v>
      </c>
      <c r="I4658" s="26">
        <f t="shared" si="234"/>
        <v>0</v>
      </c>
      <c r="J4658" s="7" t="str">
        <f t="shared" si="235"/>
        <v>PAGADO</v>
      </c>
      <c r="M4658" s="8"/>
    </row>
    <row r="4659" spans="3:13" customFormat="1" x14ac:dyDescent="0.25">
      <c r="C4659" s="9" t="s">
        <v>3555</v>
      </c>
      <c r="D4659" s="9" t="s">
        <v>4412</v>
      </c>
      <c r="E4659" s="10"/>
      <c r="F4659" s="6">
        <v>60</v>
      </c>
      <c r="G4659" s="6">
        <f t="shared" si="233"/>
        <v>60</v>
      </c>
      <c r="H4659" s="6">
        <v>60</v>
      </c>
      <c r="I4659" s="26">
        <f t="shared" si="234"/>
        <v>0</v>
      </c>
      <c r="J4659" s="7" t="str">
        <f t="shared" si="235"/>
        <v>PAGADO</v>
      </c>
      <c r="M4659" s="8"/>
    </row>
    <row r="4660" spans="3:13" customFormat="1" x14ac:dyDescent="0.25">
      <c r="C4660" s="9" t="s">
        <v>4413</v>
      </c>
      <c r="D4660" s="9" t="s">
        <v>4414</v>
      </c>
      <c r="E4660" s="10"/>
      <c r="F4660" s="6">
        <v>85</v>
      </c>
      <c r="G4660" s="6">
        <f t="shared" si="233"/>
        <v>85</v>
      </c>
      <c r="H4660" s="6">
        <v>85</v>
      </c>
      <c r="I4660" s="26">
        <f t="shared" si="234"/>
        <v>0</v>
      </c>
      <c r="J4660" s="7" t="str">
        <f t="shared" si="235"/>
        <v>PAGADO</v>
      </c>
      <c r="M4660" s="8"/>
    </row>
    <row r="4661" spans="3:13" customFormat="1" x14ac:dyDescent="0.25">
      <c r="C4661" s="9" t="s">
        <v>535</v>
      </c>
      <c r="D4661" s="9" t="s">
        <v>4414</v>
      </c>
      <c r="E4661" s="10"/>
      <c r="F4661" s="6">
        <v>75</v>
      </c>
      <c r="G4661" s="6">
        <f t="shared" si="233"/>
        <v>75</v>
      </c>
      <c r="H4661" s="6">
        <v>75</v>
      </c>
      <c r="I4661" s="26">
        <f t="shared" si="234"/>
        <v>0</v>
      </c>
      <c r="J4661" s="7" t="str">
        <f t="shared" si="235"/>
        <v>PAGADO</v>
      </c>
      <c r="M4661" s="8"/>
    </row>
    <row r="4662" spans="3:13" customFormat="1" x14ac:dyDescent="0.25">
      <c r="C4662" s="9" t="s">
        <v>4415</v>
      </c>
      <c r="D4662" s="9" t="s">
        <v>4416</v>
      </c>
      <c r="E4662" s="10"/>
      <c r="F4662" s="6">
        <v>10</v>
      </c>
      <c r="G4662" s="6">
        <f t="shared" si="233"/>
        <v>10</v>
      </c>
      <c r="H4662" s="6">
        <v>10</v>
      </c>
      <c r="I4662" s="26">
        <f t="shared" si="234"/>
        <v>0</v>
      </c>
      <c r="J4662" s="7" t="str">
        <f t="shared" si="235"/>
        <v>PAGADO</v>
      </c>
      <c r="M4662" s="8"/>
    </row>
    <row r="4663" spans="3:13" customFormat="1" x14ac:dyDescent="0.25">
      <c r="C4663" s="9" t="s">
        <v>4417</v>
      </c>
      <c r="D4663" s="9" t="s">
        <v>4418</v>
      </c>
      <c r="E4663" s="10"/>
      <c r="F4663" s="6">
        <v>40</v>
      </c>
      <c r="G4663" s="6">
        <f t="shared" si="233"/>
        <v>40</v>
      </c>
      <c r="H4663" s="6">
        <v>40</v>
      </c>
      <c r="I4663" s="26">
        <f t="shared" si="234"/>
        <v>0</v>
      </c>
      <c r="J4663" s="7" t="str">
        <f t="shared" si="235"/>
        <v>PAGADO</v>
      </c>
      <c r="K4663" s="33" t="s">
        <v>2639</v>
      </c>
      <c r="M4663" s="8"/>
    </row>
    <row r="4664" spans="3:13" customFormat="1" x14ac:dyDescent="0.25">
      <c r="C4664" s="9" t="s">
        <v>4419</v>
      </c>
      <c r="D4664" s="9" t="s">
        <v>4418</v>
      </c>
      <c r="E4664" s="10"/>
      <c r="F4664" s="6">
        <v>130</v>
      </c>
      <c r="G4664" s="6">
        <f t="shared" si="233"/>
        <v>130</v>
      </c>
      <c r="H4664" s="6">
        <v>130</v>
      </c>
      <c r="I4664" s="26">
        <f t="shared" si="234"/>
        <v>0</v>
      </c>
      <c r="J4664" s="7" t="str">
        <f t="shared" si="235"/>
        <v>PAGADO</v>
      </c>
      <c r="M4664" s="8"/>
    </row>
    <row r="4665" spans="3:13" customFormat="1" x14ac:dyDescent="0.25">
      <c r="C4665" s="9" t="s">
        <v>4420</v>
      </c>
      <c r="D4665" s="9" t="s">
        <v>18</v>
      </c>
      <c r="E4665" s="10"/>
      <c r="F4665" s="6">
        <v>110</v>
      </c>
      <c r="G4665" s="6">
        <f t="shared" si="233"/>
        <v>110</v>
      </c>
      <c r="H4665" s="6">
        <v>110</v>
      </c>
      <c r="I4665" s="26">
        <f t="shared" si="234"/>
        <v>0</v>
      </c>
      <c r="J4665" s="7" t="str">
        <f t="shared" si="235"/>
        <v>PAGADO</v>
      </c>
      <c r="M4665" s="8"/>
    </row>
    <row r="4666" spans="3:13" customFormat="1" x14ac:dyDescent="0.25">
      <c r="C4666" s="9" t="s">
        <v>4421</v>
      </c>
      <c r="D4666" s="9" t="s">
        <v>3444</v>
      </c>
      <c r="E4666" s="10"/>
      <c r="F4666" s="6">
        <v>120</v>
      </c>
      <c r="G4666" s="6">
        <f t="shared" si="233"/>
        <v>120</v>
      </c>
      <c r="H4666" s="6">
        <f>60+60</f>
        <v>120</v>
      </c>
      <c r="I4666" s="26">
        <f t="shared" si="234"/>
        <v>0</v>
      </c>
      <c r="J4666" s="7" t="str">
        <f t="shared" si="235"/>
        <v>PAGADO</v>
      </c>
      <c r="M4666" s="8"/>
    </row>
    <row r="4667" spans="3:13" customFormat="1" x14ac:dyDescent="0.25">
      <c r="C4667" s="9" t="s">
        <v>4422</v>
      </c>
      <c r="D4667" s="9" t="s">
        <v>3444</v>
      </c>
      <c r="E4667" s="10"/>
      <c r="F4667" s="6">
        <v>60</v>
      </c>
      <c r="G4667" s="6">
        <f t="shared" si="233"/>
        <v>60</v>
      </c>
      <c r="H4667" s="6">
        <v>60</v>
      </c>
      <c r="I4667" s="26">
        <f t="shared" si="234"/>
        <v>0</v>
      </c>
      <c r="J4667" s="7" t="str">
        <f t="shared" si="235"/>
        <v>PAGADO</v>
      </c>
      <c r="M4667" s="8"/>
    </row>
    <row r="4668" spans="3:13" customFormat="1" x14ac:dyDescent="0.25">
      <c r="C4668" s="9" t="s">
        <v>4423</v>
      </c>
      <c r="D4668" s="9" t="s">
        <v>3444</v>
      </c>
      <c r="E4668" s="10"/>
      <c r="F4668" s="6">
        <v>60</v>
      </c>
      <c r="G4668" s="6">
        <f t="shared" si="233"/>
        <v>60</v>
      </c>
      <c r="H4668" s="6">
        <f>50+10</f>
        <v>60</v>
      </c>
      <c r="I4668" s="26">
        <f t="shared" si="234"/>
        <v>0</v>
      </c>
      <c r="J4668" s="7" t="str">
        <f t="shared" si="235"/>
        <v>PAGADO</v>
      </c>
      <c r="K4668" s="33" t="s">
        <v>3506</v>
      </c>
      <c r="M4668" s="8"/>
    </row>
    <row r="4669" spans="3:13" customFormat="1" x14ac:dyDescent="0.25">
      <c r="C4669" s="9" t="s">
        <v>4424</v>
      </c>
      <c r="D4669" s="9" t="s">
        <v>3444</v>
      </c>
      <c r="E4669" s="10"/>
      <c r="F4669" s="6">
        <v>50</v>
      </c>
      <c r="G4669" s="6">
        <f t="shared" si="233"/>
        <v>50</v>
      </c>
      <c r="H4669" s="6">
        <v>50</v>
      </c>
      <c r="I4669" s="26">
        <f t="shared" si="234"/>
        <v>0</v>
      </c>
      <c r="J4669" s="7" t="str">
        <f t="shared" si="235"/>
        <v>PAGADO</v>
      </c>
      <c r="K4669" s="33" t="s">
        <v>3506</v>
      </c>
      <c r="M4669" s="8"/>
    </row>
    <row r="4670" spans="3:13" customFormat="1" x14ac:dyDescent="0.25">
      <c r="C4670" s="9" t="s">
        <v>4326</v>
      </c>
      <c r="D4670" s="9" t="s">
        <v>3444</v>
      </c>
      <c r="E4670" s="10"/>
      <c r="F4670" s="6">
        <v>100</v>
      </c>
      <c r="G4670" s="6">
        <f t="shared" ref="G4670:G4733" si="236">F4670-E4670</f>
        <v>100</v>
      </c>
      <c r="H4670" s="26">
        <v>100</v>
      </c>
      <c r="I4670" s="26">
        <f t="shared" si="234"/>
        <v>0</v>
      </c>
      <c r="J4670" s="7" t="str">
        <f t="shared" si="235"/>
        <v>PAGADO</v>
      </c>
      <c r="K4670" s="9" t="s">
        <v>3506</v>
      </c>
      <c r="M4670" s="8"/>
    </row>
    <row r="4671" spans="3:13" customFormat="1" x14ac:dyDescent="0.25">
      <c r="C4671" s="9" t="s">
        <v>4425</v>
      </c>
      <c r="D4671" t="s">
        <v>3420</v>
      </c>
      <c r="E4671" s="10"/>
      <c r="F4671" s="6">
        <v>290</v>
      </c>
      <c r="G4671" s="6">
        <f t="shared" si="236"/>
        <v>290</v>
      </c>
      <c r="H4671" s="6">
        <f>145+145</f>
        <v>290</v>
      </c>
      <c r="I4671" s="26">
        <f t="shared" si="234"/>
        <v>0</v>
      </c>
      <c r="J4671" s="7" t="str">
        <f t="shared" si="235"/>
        <v>PAGADO</v>
      </c>
      <c r="K4671" s="28" t="s">
        <v>2712</v>
      </c>
      <c r="M4671" s="8"/>
    </row>
    <row r="4672" spans="3:13" customFormat="1" x14ac:dyDescent="0.25">
      <c r="C4672" s="9" t="s">
        <v>4426</v>
      </c>
      <c r="D4672" t="s">
        <v>3158</v>
      </c>
      <c r="E4672" s="10"/>
      <c r="F4672" s="6">
        <v>36</v>
      </c>
      <c r="G4672" s="6">
        <f t="shared" si="236"/>
        <v>36</v>
      </c>
      <c r="H4672" s="6">
        <f>7+29</f>
        <v>36</v>
      </c>
      <c r="I4672" s="26">
        <f t="shared" si="234"/>
        <v>0</v>
      </c>
      <c r="J4672" s="7" t="str">
        <f t="shared" si="235"/>
        <v>PAGADO</v>
      </c>
      <c r="K4672" s="9" t="s">
        <v>3506</v>
      </c>
      <c r="M4672" s="8"/>
    </row>
    <row r="4673" spans="3:13" customFormat="1" x14ac:dyDescent="0.25">
      <c r="C4673" s="9" t="s">
        <v>4427</v>
      </c>
      <c r="D4673" t="s">
        <v>3158</v>
      </c>
      <c r="E4673" s="10"/>
      <c r="F4673" s="6">
        <v>65</v>
      </c>
      <c r="G4673" s="6">
        <f t="shared" si="236"/>
        <v>65</v>
      </c>
      <c r="H4673" s="6">
        <v>65</v>
      </c>
      <c r="I4673" s="26">
        <f t="shared" si="234"/>
        <v>0</v>
      </c>
      <c r="J4673" s="7" t="str">
        <f t="shared" si="235"/>
        <v>PAGADO</v>
      </c>
      <c r="M4673" s="8"/>
    </row>
    <row r="4674" spans="3:13" customFormat="1" x14ac:dyDescent="0.25">
      <c r="C4674" s="9" t="s">
        <v>4428</v>
      </c>
      <c r="D4674" t="s">
        <v>3158</v>
      </c>
      <c r="E4674" s="10"/>
      <c r="F4674" s="6">
        <v>65</v>
      </c>
      <c r="G4674" s="6">
        <f t="shared" si="236"/>
        <v>65</v>
      </c>
      <c r="H4674" s="6">
        <f>35+11+19</f>
        <v>65</v>
      </c>
      <c r="I4674" s="26">
        <f t="shared" si="234"/>
        <v>0</v>
      </c>
      <c r="J4674" s="7"/>
      <c r="M4674" s="8"/>
    </row>
    <row r="4675" spans="3:13" customFormat="1" x14ac:dyDescent="0.25">
      <c r="C4675" t="s">
        <v>4429</v>
      </c>
      <c r="D4675" t="s">
        <v>3270</v>
      </c>
      <c r="E4675" s="10"/>
      <c r="F4675" s="6">
        <v>390</v>
      </c>
      <c r="G4675" s="6">
        <f t="shared" si="236"/>
        <v>390</v>
      </c>
      <c r="H4675" s="6">
        <v>390</v>
      </c>
      <c r="I4675" s="26">
        <f t="shared" si="234"/>
        <v>0</v>
      </c>
      <c r="J4675" s="7" t="str">
        <f t="shared" ref="J4675:J4676" si="237">IF(I4675&gt;0,"DEBE","PAGADO")</f>
        <v>PAGADO</v>
      </c>
      <c r="M4675" s="8"/>
    </row>
    <row r="4676" spans="3:13" customFormat="1" x14ac:dyDescent="0.25">
      <c r="C4676" t="s">
        <v>1013</v>
      </c>
      <c r="D4676" t="s">
        <v>3270</v>
      </c>
      <c r="E4676" s="10"/>
      <c r="F4676" s="6">
        <v>100</v>
      </c>
      <c r="G4676" s="6">
        <f t="shared" si="236"/>
        <v>100</v>
      </c>
      <c r="H4676" s="6">
        <v>100</v>
      </c>
      <c r="I4676" s="26">
        <f t="shared" si="234"/>
        <v>0</v>
      </c>
      <c r="J4676" s="7" t="str">
        <f t="shared" si="237"/>
        <v>PAGADO</v>
      </c>
      <c r="M4676" s="8"/>
    </row>
    <row r="4677" spans="3:13" customFormat="1" x14ac:dyDescent="0.25">
      <c r="C4677" t="s">
        <v>4430</v>
      </c>
      <c r="D4677" s="9" t="s">
        <v>4272</v>
      </c>
      <c r="E4677" s="10"/>
      <c r="F4677" s="6">
        <v>40</v>
      </c>
      <c r="G4677" s="6">
        <f t="shared" si="236"/>
        <v>40</v>
      </c>
      <c r="H4677" s="6">
        <v>40</v>
      </c>
      <c r="I4677" s="26">
        <f t="shared" si="234"/>
        <v>0</v>
      </c>
      <c r="J4677" s="7" t="str">
        <f>IF(I4677&gt;0,"DEBE","PAGADO")</f>
        <v>PAGADO</v>
      </c>
      <c r="M4677" s="8"/>
    </row>
    <row r="4678" spans="3:13" customFormat="1" x14ac:dyDescent="0.25">
      <c r="C4678" t="s">
        <v>4431</v>
      </c>
      <c r="D4678" s="9" t="s">
        <v>4432</v>
      </c>
      <c r="E4678" s="10"/>
      <c r="F4678" s="6">
        <v>55</v>
      </c>
      <c r="G4678" s="6">
        <f t="shared" si="236"/>
        <v>55</v>
      </c>
      <c r="H4678" s="6">
        <v>55</v>
      </c>
      <c r="I4678" s="26">
        <f t="shared" si="234"/>
        <v>0</v>
      </c>
      <c r="J4678" s="7"/>
      <c r="M4678" s="8"/>
    </row>
    <row r="4679" spans="3:13" customFormat="1" x14ac:dyDescent="0.25">
      <c r="C4679" t="s">
        <v>4433</v>
      </c>
      <c r="D4679" s="9" t="s">
        <v>4434</v>
      </c>
      <c r="E4679" s="10"/>
      <c r="F4679" s="6">
        <v>60</v>
      </c>
      <c r="G4679" s="6">
        <f t="shared" si="236"/>
        <v>60</v>
      </c>
      <c r="H4679" s="6">
        <v>60</v>
      </c>
      <c r="I4679" s="26">
        <f t="shared" si="234"/>
        <v>0</v>
      </c>
      <c r="J4679" s="7"/>
      <c r="M4679" s="8"/>
    </row>
    <row r="4680" spans="3:13" customFormat="1" x14ac:dyDescent="0.25">
      <c r="C4680" t="s">
        <v>4435</v>
      </c>
      <c r="D4680" s="9" t="s">
        <v>4434</v>
      </c>
      <c r="E4680" s="10"/>
      <c r="F4680" s="6">
        <v>50</v>
      </c>
      <c r="G4680" s="6">
        <f t="shared" si="236"/>
        <v>50</v>
      </c>
      <c r="H4680" s="6">
        <v>50</v>
      </c>
      <c r="I4680" s="26">
        <f t="shared" si="234"/>
        <v>0</v>
      </c>
      <c r="J4680" s="7"/>
      <c r="M4680" s="8"/>
    </row>
    <row r="4681" spans="3:13" customFormat="1" x14ac:dyDescent="0.25">
      <c r="C4681" t="s">
        <v>4436</v>
      </c>
      <c r="D4681" s="9" t="s">
        <v>4434</v>
      </c>
      <c r="E4681" s="10"/>
      <c r="F4681" s="6">
        <v>55</v>
      </c>
      <c r="G4681" s="6">
        <f t="shared" si="236"/>
        <v>55</v>
      </c>
      <c r="H4681" s="6">
        <v>55</v>
      </c>
      <c r="I4681" s="26">
        <f t="shared" si="234"/>
        <v>0</v>
      </c>
      <c r="J4681" s="7"/>
      <c r="M4681" s="8"/>
    </row>
    <row r="4682" spans="3:13" customFormat="1" x14ac:dyDescent="0.25">
      <c r="C4682" t="s">
        <v>3605</v>
      </c>
      <c r="D4682" s="9" t="s">
        <v>4434</v>
      </c>
      <c r="E4682" s="10"/>
      <c r="F4682" s="6">
        <v>60</v>
      </c>
      <c r="G4682" s="6">
        <f t="shared" si="236"/>
        <v>60</v>
      </c>
      <c r="H4682" s="6">
        <v>60</v>
      </c>
      <c r="I4682" s="26">
        <f t="shared" si="234"/>
        <v>0</v>
      </c>
      <c r="J4682" s="7"/>
      <c r="M4682" s="8"/>
    </row>
    <row r="4683" spans="3:13" customFormat="1" x14ac:dyDescent="0.25">
      <c r="C4683" t="s">
        <v>4437</v>
      </c>
      <c r="D4683" s="9" t="s">
        <v>4438</v>
      </c>
      <c r="E4683" s="10"/>
      <c r="F4683" s="6">
        <v>80</v>
      </c>
      <c r="G4683" s="6">
        <f t="shared" si="236"/>
        <v>80</v>
      </c>
      <c r="H4683" s="6">
        <v>80</v>
      </c>
      <c r="I4683" s="26">
        <f t="shared" ref="I4683:I4746" si="238">F4683-H4683</f>
        <v>0</v>
      </c>
      <c r="J4683" s="7"/>
      <c r="M4683" s="8"/>
    </row>
    <row r="4684" spans="3:13" customFormat="1" x14ac:dyDescent="0.25">
      <c r="C4684" t="s">
        <v>4439</v>
      </c>
      <c r="D4684" s="9" t="s">
        <v>2878</v>
      </c>
      <c r="E4684" s="10"/>
      <c r="F4684" s="6">
        <v>1000</v>
      </c>
      <c r="G4684" s="6">
        <f t="shared" si="236"/>
        <v>1000</v>
      </c>
      <c r="H4684" s="6">
        <v>200</v>
      </c>
      <c r="I4684" s="26">
        <f t="shared" si="238"/>
        <v>800</v>
      </c>
      <c r="J4684" s="7"/>
      <c r="K4684" s="9" t="s">
        <v>4440</v>
      </c>
      <c r="M4684" s="8"/>
    </row>
    <row r="4685" spans="3:13" customFormat="1" x14ac:dyDescent="0.25">
      <c r="C4685" s="9" t="s">
        <v>4441</v>
      </c>
      <c r="D4685" s="9" t="s">
        <v>2878</v>
      </c>
      <c r="E4685" s="10"/>
      <c r="F4685" s="6">
        <v>170</v>
      </c>
      <c r="G4685" s="6">
        <f t="shared" si="236"/>
        <v>170</v>
      </c>
      <c r="H4685" s="6">
        <v>170</v>
      </c>
      <c r="I4685" s="26">
        <f t="shared" si="238"/>
        <v>0</v>
      </c>
      <c r="J4685" s="7"/>
      <c r="M4685" s="8"/>
    </row>
    <row r="4686" spans="3:13" customFormat="1" x14ac:dyDescent="0.25">
      <c r="C4686" s="9" t="s">
        <v>4442</v>
      </c>
      <c r="D4686" s="9" t="s">
        <v>2878</v>
      </c>
      <c r="E4686" s="10"/>
      <c r="F4686" s="6">
        <v>150</v>
      </c>
      <c r="G4686" s="6">
        <f t="shared" si="236"/>
        <v>150</v>
      </c>
      <c r="H4686" s="6">
        <v>150</v>
      </c>
      <c r="I4686" s="26">
        <f t="shared" si="238"/>
        <v>0</v>
      </c>
      <c r="J4686" s="7"/>
      <c r="M4686" s="8"/>
    </row>
    <row r="4687" spans="3:13" customFormat="1" x14ac:dyDescent="0.25">
      <c r="C4687" s="9" t="s">
        <v>4443</v>
      </c>
      <c r="D4687" s="9" t="s">
        <v>3352</v>
      </c>
      <c r="E4687" s="10"/>
      <c r="F4687" s="6">
        <v>110</v>
      </c>
      <c r="G4687" s="6">
        <f t="shared" si="236"/>
        <v>110</v>
      </c>
      <c r="H4687" s="6">
        <v>110</v>
      </c>
      <c r="I4687" s="26">
        <f t="shared" si="238"/>
        <v>0</v>
      </c>
      <c r="J4687" s="7" t="str">
        <f t="shared" ref="J4687:J4750" si="239">IF(I4687&gt;0,"DEBE","PAGADO")</f>
        <v>PAGADO</v>
      </c>
      <c r="M4687" s="8"/>
    </row>
    <row r="4688" spans="3:13" customFormat="1" x14ac:dyDescent="0.25">
      <c r="C4688" s="9" t="s">
        <v>3714</v>
      </c>
      <c r="D4688" s="9" t="s">
        <v>3352</v>
      </c>
      <c r="E4688" s="10"/>
      <c r="F4688" s="6">
        <v>50</v>
      </c>
      <c r="G4688" s="6">
        <f t="shared" si="236"/>
        <v>50</v>
      </c>
      <c r="H4688" s="6">
        <v>50</v>
      </c>
      <c r="I4688" s="26">
        <f t="shared" si="238"/>
        <v>0</v>
      </c>
      <c r="J4688" s="7" t="str">
        <f t="shared" si="239"/>
        <v>PAGADO</v>
      </c>
      <c r="M4688" s="8"/>
    </row>
    <row r="4689" spans="3:13" customFormat="1" x14ac:dyDescent="0.25">
      <c r="C4689" s="9" t="s">
        <v>4444</v>
      </c>
      <c r="D4689" s="9" t="s">
        <v>3352</v>
      </c>
      <c r="E4689" s="10"/>
      <c r="F4689" s="6">
        <v>110</v>
      </c>
      <c r="G4689" s="6">
        <f t="shared" si="236"/>
        <v>110</v>
      </c>
      <c r="H4689" s="6">
        <v>110</v>
      </c>
      <c r="I4689" s="26">
        <f t="shared" si="238"/>
        <v>0</v>
      </c>
      <c r="J4689" s="7" t="str">
        <f t="shared" si="239"/>
        <v>PAGADO</v>
      </c>
      <c r="M4689" s="8"/>
    </row>
    <row r="4690" spans="3:13" customFormat="1" x14ac:dyDescent="0.25">
      <c r="C4690" s="9" t="s">
        <v>3284</v>
      </c>
      <c r="D4690" s="9" t="s">
        <v>3352</v>
      </c>
      <c r="E4690" s="10"/>
      <c r="F4690" s="6">
        <v>65</v>
      </c>
      <c r="G4690" s="6">
        <f t="shared" si="236"/>
        <v>65</v>
      </c>
      <c r="H4690" s="6">
        <v>65</v>
      </c>
      <c r="I4690" s="26">
        <f t="shared" si="238"/>
        <v>0</v>
      </c>
      <c r="J4690" s="7" t="str">
        <f t="shared" si="239"/>
        <v>PAGADO</v>
      </c>
      <c r="K4690" s="33" t="s">
        <v>2640</v>
      </c>
      <c r="M4690" s="8"/>
    </row>
    <row r="4691" spans="3:13" customFormat="1" x14ac:dyDescent="0.25">
      <c r="C4691" s="9" t="s">
        <v>4445</v>
      </c>
      <c r="D4691" s="9" t="s">
        <v>4446</v>
      </c>
      <c r="E4691" s="10"/>
      <c r="F4691" s="6">
        <v>55</v>
      </c>
      <c r="G4691" s="6">
        <f t="shared" si="236"/>
        <v>55</v>
      </c>
      <c r="H4691" s="6">
        <v>55</v>
      </c>
      <c r="I4691" s="26">
        <f t="shared" si="238"/>
        <v>0</v>
      </c>
      <c r="J4691" s="7" t="str">
        <f t="shared" si="239"/>
        <v>PAGADO</v>
      </c>
      <c r="M4691" s="8"/>
    </row>
    <row r="4692" spans="3:13" customFormat="1" x14ac:dyDescent="0.25">
      <c r="C4692" s="9" t="s">
        <v>433</v>
      </c>
      <c r="D4692" s="9" t="s">
        <v>2147</v>
      </c>
      <c r="E4692" s="10"/>
      <c r="F4692" s="6">
        <v>60</v>
      </c>
      <c r="G4692" s="6">
        <f t="shared" si="236"/>
        <v>60</v>
      </c>
      <c r="H4692" s="6">
        <v>60</v>
      </c>
      <c r="I4692" s="26">
        <f t="shared" si="238"/>
        <v>0</v>
      </c>
      <c r="J4692" s="7" t="str">
        <f t="shared" si="239"/>
        <v>PAGADO</v>
      </c>
      <c r="M4692" s="8"/>
    </row>
    <row r="4693" spans="3:13" customFormat="1" x14ac:dyDescent="0.25">
      <c r="C4693" s="9" t="s">
        <v>4447</v>
      </c>
      <c r="D4693" s="9" t="s">
        <v>4448</v>
      </c>
      <c r="E4693" s="10"/>
      <c r="F4693" s="6">
        <v>70</v>
      </c>
      <c r="G4693" s="6">
        <f t="shared" si="236"/>
        <v>70</v>
      </c>
      <c r="H4693" s="6">
        <v>70</v>
      </c>
      <c r="I4693" s="26">
        <f t="shared" si="238"/>
        <v>0</v>
      </c>
      <c r="J4693" s="7" t="str">
        <f t="shared" si="239"/>
        <v>PAGADO</v>
      </c>
      <c r="M4693" s="8"/>
    </row>
    <row r="4694" spans="3:13" customFormat="1" x14ac:dyDescent="0.25">
      <c r="C4694" s="9" t="s">
        <v>1814</v>
      </c>
      <c r="D4694" s="9" t="s">
        <v>4448</v>
      </c>
      <c r="E4694" s="10"/>
      <c r="F4694" s="6">
        <v>100</v>
      </c>
      <c r="G4694" s="6">
        <f t="shared" si="236"/>
        <v>100</v>
      </c>
      <c r="H4694" s="6">
        <v>100</v>
      </c>
      <c r="I4694" s="26">
        <f t="shared" si="238"/>
        <v>0</v>
      </c>
      <c r="J4694" s="7" t="str">
        <f t="shared" si="239"/>
        <v>PAGADO</v>
      </c>
      <c r="M4694" s="8"/>
    </row>
    <row r="4695" spans="3:13" customFormat="1" x14ac:dyDescent="0.25">
      <c r="C4695" t="s">
        <v>4437</v>
      </c>
      <c r="D4695" s="9" t="s">
        <v>3210</v>
      </c>
      <c r="E4695" s="10"/>
      <c r="F4695" s="6">
        <v>90</v>
      </c>
      <c r="G4695" s="6">
        <f t="shared" si="236"/>
        <v>90</v>
      </c>
      <c r="H4695" s="6">
        <f>20+70</f>
        <v>90</v>
      </c>
      <c r="I4695" s="26">
        <f t="shared" si="238"/>
        <v>0</v>
      </c>
      <c r="J4695" s="7" t="str">
        <f t="shared" si="239"/>
        <v>PAGADO</v>
      </c>
      <c r="M4695" s="8"/>
    </row>
    <row r="4696" spans="3:13" customFormat="1" x14ac:dyDescent="0.25">
      <c r="C4696" t="s">
        <v>4449</v>
      </c>
      <c r="D4696" t="s">
        <v>4450</v>
      </c>
      <c r="E4696" s="10"/>
      <c r="F4696" s="6">
        <v>60</v>
      </c>
      <c r="G4696" s="6">
        <f t="shared" si="236"/>
        <v>60</v>
      </c>
      <c r="H4696" s="6">
        <v>60</v>
      </c>
      <c r="I4696" s="26">
        <f t="shared" si="238"/>
        <v>0</v>
      </c>
      <c r="J4696" s="7" t="str">
        <f t="shared" si="239"/>
        <v>PAGADO</v>
      </c>
      <c r="M4696" s="8"/>
    </row>
    <row r="4697" spans="3:13" customFormat="1" x14ac:dyDescent="0.25">
      <c r="C4697" t="s">
        <v>4451</v>
      </c>
      <c r="D4697" t="s">
        <v>4450</v>
      </c>
      <c r="E4697" s="10"/>
      <c r="F4697" s="6">
        <v>60</v>
      </c>
      <c r="G4697" s="6">
        <f t="shared" si="236"/>
        <v>60</v>
      </c>
      <c r="H4697" s="6">
        <v>60</v>
      </c>
      <c r="I4697" s="26">
        <f t="shared" si="238"/>
        <v>0</v>
      </c>
      <c r="J4697" s="7" t="str">
        <f t="shared" si="239"/>
        <v>PAGADO</v>
      </c>
      <c r="M4697" s="8"/>
    </row>
    <row r="4698" spans="3:13" customFormat="1" x14ac:dyDescent="0.25">
      <c r="C4698" s="9" t="s">
        <v>4452</v>
      </c>
      <c r="D4698" s="9" t="s">
        <v>3316</v>
      </c>
      <c r="E4698" s="10"/>
      <c r="F4698" s="6">
        <v>70</v>
      </c>
      <c r="G4698" s="6">
        <f t="shared" si="236"/>
        <v>70</v>
      </c>
      <c r="H4698" s="6">
        <v>70</v>
      </c>
      <c r="I4698" s="26">
        <f t="shared" si="238"/>
        <v>0</v>
      </c>
      <c r="J4698" s="7" t="str">
        <f t="shared" si="239"/>
        <v>PAGADO</v>
      </c>
      <c r="K4698" s="33" t="s">
        <v>3317</v>
      </c>
      <c r="M4698" s="8"/>
    </row>
    <row r="4699" spans="3:13" customFormat="1" x14ac:dyDescent="0.25">
      <c r="C4699" s="9" t="s">
        <v>4453</v>
      </c>
      <c r="D4699" s="9" t="s">
        <v>4454</v>
      </c>
      <c r="E4699" s="10"/>
      <c r="F4699" s="6">
        <v>160</v>
      </c>
      <c r="G4699" s="6">
        <f t="shared" si="236"/>
        <v>160</v>
      </c>
      <c r="H4699" s="6">
        <v>160</v>
      </c>
      <c r="I4699" s="26">
        <f t="shared" si="238"/>
        <v>0</v>
      </c>
      <c r="J4699" s="7" t="str">
        <f t="shared" si="239"/>
        <v>PAGADO</v>
      </c>
      <c r="M4699" s="8"/>
    </row>
    <row r="4700" spans="3:13" customFormat="1" x14ac:dyDescent="0.25">
      <c r="C4700" s="9" t="s">
        <v>4369</v>
      </c>
      <c r="D4700" s="9" t="s">
        <v>3449</v>
      </c>
      <c r="E4700" s="10"/>
      <c r="F4700" s="6">
        <v>50</v>
      </c>
      <c r="G4700" s="6">
        <f t="shared" si="236"/>
        <v>50</v>
      </c>
      <c r="H4700" s="6">
        <v>50</v>
      </c>
      <c r="I4700" s="26">
        <f t="shared" si="238"/>
        <v>0</v>
      </c>
      <c r="J4700" s="7" t="str">
        <f t="shared" si="239"/>
        <v>PAGADO</v>
      </c>
      <c r="M4700" s="8"/>
    </row>
    <row r="4701" spans="3:13" customFormat="1" x14ac:dyDescent="0.25">
      <c r="C4701" s="9" t="s">
        <v>4455</v>
      </c>
      <c r="D4701" s="9" t="s">
        <v>3728</v>
      </c>
      <c r="E4701" s="10"/>
      <c r="F4701" s="6">
        <v>120</v>
      </c>
      <c r="G4701" s="6">
        <f t="shared" si="236"/>
        <v>120</v>
      </c>
      <c r="H4701" s="6">
        <v>120</v>
      </c>
      <c r="I4701" s="26">
        <f t="shared" si="238"/>
        <v>0</v>
      </c>
      <c r="J4701" s="7" t="str">
        <f t="shared" si="239"/>
        <v>PAGADO</v>
      </c>
      <c r="M4701" s="8"/>
    </row>
    <row r="4702" spans="3:13" customFormat="1" x14ac:dyDescent="0.25">
      <c r="C4702" s="9" t="s">
        <v>4456</v>
      </c>
      <c r="D4702" t="s">
        <v>4033</v>
      </c>
      <c r="E4702" s="10"/>
      <c r="F4702" s="6">
        <v>190</v>
      </c>
      <c r="G4702" s="6">
        <f t="shared" si="236"/>
        <v>190</v>
      </c>
      <c r="H4702" s="6">
        <v>190</v>
      </c>
      <c r="I4702" s="26">
        <f t="shared" si="238"/>
        <v>0</v>
      </c>
      <c r="J4702" s="7" t="str">
        <f t="shared" si="239"/>
        <v>PAGADO</v>
      </c>
      <c r="K4702" t="s">
        <v>1056</v>
      </c>
      <c r="M4702" s="8"/>
    </row>
    <row r="4703" spans="3:13" customFormat="1" x14ac:dyDescent="0.25">
      <c r="C4703" s="9" t="s">
        <v>4457</v>
      </c>
      <c r="D4703" s="9" t="s">
        <v>3101</v>
      </c>
      <c r="E4703" s="10"/>
      <c r="F4703" s="6">
        <v>80</v>
      </c>
      <c r="G4703" s="6">
        <f t="shared" si="236"/>
        <v>80</v>
      </c>
      <c r="H4703" s="6">
        <v>80</v>
      </c>
      <c r="I4703" s="26">
        <f t="shared" si="238"/>
        <v>0</v>
      </c>
      <c r="J4703" s="7" t="str">
        <f t="shared" si="239"/>
        <v>PAGADO</v>
      </c>
      <c r="K4703" s="33" t="s">
        <v>2640</v>
      </c>
      <c r="M4703" s="8"/>
    </row>
    <row r="4704" spans="3:13" customFormat="1" x14ac:dyDescent="0.25">
      <c r="C4704" s="9" t="s">
        <v>4458</v>
      </c>
      <c r="D4704" s="9" t="s">
        <v>4172</v>
      </c>
      <c r="E4704" s="10"/>
      <c r="F4704" s="6">
        <v>25</v>
      </c>
      <c r="G4704" s="6">
        <f t="shared" si="236"/>
        <v>25</v>
      </c>
      <c r="H4704" s="6">
        <v>25</v>
      </c>
      <c r="I4704" s="26">
        <f t="shared" si="238"/>
        <v>0</v>
      </c>
      <c r="J4704" s="7" t="str">
        <f t="shared" si="239"/>
        <v>PAGADO</v>
      </c>
      <c r="K4704" s="33" t="s">
        <v>1056</v>
      </c>
      <c r="M4704" s="8"/>
    </row>
    <row r="4705" spans="3:13" customFormat="1" x14ac:dyDescent="0.25">
      <c r="C4705" s="9" t="s">
        <v>4459</v>
      </c>
      <c r="D4705" s="9" t="s">
        <v>3198</v>
      </c>
      <c r="E4705" s="10"/>
      <c r="F4705" s="6">
        <v>50</v>
      </c>
      <c r="G4705" s="6">
        <f t="shared" si="236"/>
        <v>50</v>
      </c>
      <c r="H4705" s="6">
        <v>50</v>
      </c>
      <c r="I4705" s="26">
        <f t="shared" si="238"/>
        <v>0</v>
      </c>
      <c r="J4705" s="7" t="str">
        <f t="shared" si="239"/>
        <v>PAGADO</v>
      </c>
      <c r="K4705" s="9"/>
      <c r="M4705" s="8"/>
    </row>
    <row r="4706" spans="3:13" customFormat="1" x14ac:dyDescent="0.25">
      <c r="C4706" s="9" t="s">
        <v>4460</v>
      </c>
      <c r="D4706" s="9" t="s">
        <v>2018</v>
      </c>
      <c r="E4706" s="10"/>
      <c r="F4706" s="6">
        <v>40</v>
      </c>
      <c r="G4706" s="6">
        <f t="shared" si="236"/>
        <v>40</v>
      </c>
      <c r="H4706" s="6">
        <v>40</v>
      </c>
      <c r="I4706" s="26">
        <f t="shared" si="238"/>
        <v>0</v>
      </c>
      <c r="J4706" s="7" t="str">
        <f t="shared" si="239"/>
        <v>PAGADO</v>
      </c>
      <c r="K4706" s="33" t="s">
        <v>2640</v>
      </c>
      <c r="M4706" s="8"/>
    </row>
    <row r="4707" spans="3:13" customFormat="1" x14ac:dyDescent="0.25">
      <c r="C4707" s="9" t="s">
        <v>3598</v>
      </c>
      <c r="D4707" s="9" t="s">
        <v>4461</v>
      </c>
      <c r="E4707" s="10"/>
      <c r="F4707" s="6">
        <v>80</v>
      </c>
      <c r="G4707" s="6">
        <f t="shared" si="236"/>
        <v>80</v>
      </c>
      <c r="H4707" s="6">
        <f>40+40</f>
        <v>80</v>
      </c>
      <c r="I4707" s="26">
        <f t="shared" si="238"/>
        <v>0</v>
      </c>
      <c r="J4707" s="7" t="str">
        <f t="shared" si="239"/>
        <v>PAGADO</v>
      </c>
      <c r="M4707" s="8"/>
    </row>
    <row r="4708" spans="3:13" customFormat="1" x14ac:dyDescent="0.25">
      <c r="C4708" s="9" t="s">
        <v>4462</v>
      </c>
      <c r="D4708" s="9" t="s">
        <v>2983</v>
      </c>
      <c r="E4708" s="10"/>
      <c r="F4708" s="6">
        <v>30</v>
      </c>
      <c r="G4708" s="6">
        <f t="shared" si="236"/>
        <v>30</v>
      </c>
      <c r="H4708" s="6">
        <v>30</v>
      </c>
      <c r="I4708" s="26">
        <f t="shared" si="238"/>
        <v>0</v>
      </c>
      <c r="J4708" s="7" t="str">
        <f t="shared" si="239"/>
        <v>PAGADO</v>
      </c>
      <c r="M4708" s="8"/>
    </row>
    <row r="4709" spans="3:13" customFormat="1" x14ac:dyDescent="0.25">
      <c r="C4709" s="9" t="s">
        <v>4411</v>
      </c>
      <c r="D4709" s="9" t="s">
        <v>3599</v>
      </c>
      <c r="E4709" s="10"/>
      <c r="F4709" s="6">
        <v>75</v>
      </c>
      <c r="G4709" s="6">
        <f t="shared" si="236"/>
        <v>75</v>
      </c>
      <c r="H4709" s="6">
        <v>75</v>
      </c>
      <c r="I4709" s="26">
        <f t="shared" si="238"/>
        <v>0</v>
      </c>
      <c r="J4709" s="7" t="str">
        <f t="shared" si="239"/>
        <v>PAGADO</v>
      </c>
      <c r="M4709" s="8"/>
    </row>
    <row r="4710" spans="3:13" customFormat="1" x14ac:dyDescent="0.25">
      <c r="C4710" s="9" t="s">
        <v>4463</v>
      </c>
      <c r="D4710" s="9" t="s">
        <v>488</v>
      </c>
      <c r="E4710" s="10"/>
      <c r="F4710" s="6">
        <v>70</v>
      </c>
      <c r="G4710" s="6">
        <f t="shared" si="236"/>
        <v>70</v>
      </c>
      <c r="H4710" s="6">
        <v>70</v>
      </c>
      <c r="I4710" s="26">
        <f t="shared" si="238"/>
        <v>0</v>
      </c>
      <c r="J4710" s="7" t="str">
        <f t="shared" si="239"/>
        <v>PAGADO</v>
      </c>
      <c r="M4710" s="8"/>
    </row>
    <row r="4711" spans="3:13" customFormat="1" x14ac:dyDescent="0.25">
      <c r="C4711" s="9" t="s">
        <v>4464</v>
      </c>
      <c r="D4711" s="9" t="s">
        <v>1055</v>
      </c>
      <c r="E4711" s="10"/>
      <c r="F4711" s="6">
        <v>60</v>
      </c>
      <c r="G4711" s="6">
        <f t="shared" si="236"/>
        <v>60</v>
      </c>
      <c r="H4711" s="6">
        <v>60</v>
      </c>
      <c r="I4711" s="26">
        <f t="shared" si="238"/>
        <v>0</v>
      </c>
      <c r="J4711" s="7" t="str">
        <f t="shared" si="239"/>
        <v>PAGADO</v>
      </c>
      <c r="M4711" s="8"/>
    </row>
    <row r="4712" spans="3:13" customFormat="1" x14ac:dyDescent="0.25">
      <c r="C4712" s="9" t="s">
        <v>4465</v>
      </c>
      <c r="D4712" s="9" t="s">
        <v>1055</v>
      </c>
      <c r="E4712" s="10"/>
      <c r="F4712" s="6">
        <v>35</v>
      </c>
      <c r="G4712" s="6">
        <f t="shared" si="236"/>
        <v>35</v>
      </c>
      <c r="H4712" s="6">
        <v>35</v>
      </c>
      <c r="I4712" s="26">
        <f t="shared" si="238"/>
        <v>0</v>
      </c>
      <c r="J4712" s="7" t="str">
        <f t="shared" si="239"/>
        <v>PAGADO</v>
      </c>
      <c r="M4712" s="8"/>
    </row>
    <row r="4713" spans="3:13" customFormat="1" x14ac:dyDescent="0.25">
      <c r="C4713" s="9" t="s">
        <v>4466</v>
      </c>
      <c r="D4713" s="9" t="s">
        <v>4172</v>
      </c>
      <c r="E4713" s="10"/>
      <c r="F4713" s="6">
        <v>20</v>
      </c>
      <c r="G4713" s="6">
        <f t="shared" si="236"/>
        <v>20</v>
      </c>
      <c r="H4713" s="6">
        <v>20</v>
      </c>
      <c r="I4713" s="26">
        <f t="shared" si="238"/>
        <v>0</v>
      </c>
      <c r="J4713" s="7" t="str">
        <f t="shared" si="239"/>
        <v>PAGADO</v>
      </c>
      <c r="K4713" s="33" t="s">
        <v>1056</v>
      </c>
      <c r="M4713" s="8"/>
    </row>
    <row r="4714" spans="3:13" customFormat="1" x14ac:dyDescent="0.25">
      <c r="C4714" s="9" t="s">
        <v>4467</v>
      </c>
      <c r="D4714" s="9" t="s">
        <v>4172</v>
      </c>
      <c r="E4714" s="10"/>
      <c r="F4714" s="6">
        <v>20</v>
      </c>
      <c r="G4714" s="6">
        <f t="shared" si="236"/>
        <v>20</v>
      </c>
      <c r="H4714" s="6">
        <v>20</v>
      </c>
      <c r="I4714" s="26">
        <f t="shared" si="238"/>
        <v>0</v>
      </c>
      <c r="J4714" s="7" t="str">
        <f t="shared" si="239"/>
        <v>PAGADO</v>
      </c>
      <c r="K4714" s="33" t="s">
        <v>1056</v>
      </c>
      <c r="M4714" s="8"/>
    </row>
    <row r="4715" spans="3:13" customFormat="1" x14ac:dyDescent="0.25">
      <c r="C4715" t="s">
        <v>4468</v>
      </c>
      <c r="D4715" s="9" t="s">
        <v>3897</v>
      </c>
      <c r="E4715" s="10"/>
      <c r="F4715" s="6">
        <v>90</v>
      </c>
      <c r="G4715" s="6">
        <f t="shared" si="236"/>
        <v>90</v>
      </c>
      <c r="H4715" s="6">
        <v>90</v>
      </c>
      <c r="I4715" s="26">
        <f t="shared" si="238"/>
        <v>0</v>
      </c>
      <c r="J4715" s="7" t="str">
        <f t="shared" si="239"/>
        <v>PAGADO</v>
      </c>
      <c r="M4715" s="8"/>
    </row>
    <row r="4716" spans="3:13" customFormat="1" x14ac:dyDescent="0.25">
      <c r="C4716" s="9" t="s">
        <v>4469</v>
      </c>
      <c r="D4716" s="9" t="s">
        <v>488</v>
      </c>
      <c r="E4716" s="10"/>
      <c r="F4716" s="6">
        <v>460</v>
      </c>
      <c r="G4716" s="6">
        <f t="shared" si="236"/>
        <v>460</v>
      </c>
      <c r="H4716" s="6">
        <f>230+230</f>
        <v>460</v>
      </c>
      <c r="I4716" s="26">
        <f t="shared" si="238"/>
        <v>0</v>
      </c>
      <c r="J4716" s="7" t="str">
        <f t="shared" si="239"/>
        <v>PAGADO</v>
      </c>
      <c r="K4716" s="9" t="s">
        <v>570</v>
      </c>
      <c r="M4716" s="8"/>
    </row>
    <row r="4717" spans="3:13" customFormat="1" x14ac:dyDescent="0.25">
      <c r="C4717" s="9" t="s">
        <v>1814</v>
      </c>
      <c r="D4717" t="s">
        <v>2969</v>
      </c>
      <c r="E4717" s="10"/>
      <c r="F4717" s="6">
        <v>100</v>
      </c>
      <c r="G4717" s="6">
        <f t="shared" si="236"/>
        <v>100</v>
      </c>
      <c r="H4717" s="6">
        <v>100</v>
      </c>
      <c r="I4717" s="26">
        <f t="shared" si="238"/>
        <v>0</v>
      </c>
      <c r="J4717" s="7" t="str">
        <f t="shared" si="239"/>
        <v>PAGADO</v>
      </c>
      <c r="M4717" s="8"/>
    </row>
    <row r="4718" spans="3:13" customFormat="1" x14ac:dyDescent="0.25">
      <c r="C4718" s="9" t="s">
        <v>4470</v>
      </c>
      <c r="D4718" s="9" t="s">
        <v>3331</v>
      </c>
      <c r="E4718" s="10"/>
      <c r="F4718" s="6">
        <v>120</v>
      </c>
      <c r="G4718" s="6">
        <f t="shared" si="236"/>
        <v>120</v>
      </c>
      <c r="H4718" s="6">
        <f>40+40+20+20</f>
        <v>120</v>
      </c>
      <c r="I4718" s="26">
        <f t="shared" si="238"/>
        <v>0</v>
      </c>
      <c r="J4718" s="7" t="str">
        <f t="shared" si="239"/>
        <v>PAGADO</v>
      </c>
      <c r="K4718" s="9" t="s">
        <v>4471</v>
      </c>
      <c r="M4718" s="8"/>
    </row>
    <row r="4719" spans="3:13" customFormat="1" x14ac:dyDescent="0.25">
      <c r="C4719" s="9" t="s">
        <v>4472</v>
      </c>
      <c r="D4719" s="9" t="s">
        <v>488</v>
      </c>
      <c r="E4719" s="10"/>
      <c r="F4719" s="6">
        <v>40</v>
      </c>
      <c r="G4719" s="6">
        <f t="shared" si="236"/>
        <v>40</v>
      </c>
      <c r="H4719" s="6">
        <v>40</v>
      </c>
      <c r="I4719" s="26">
        <f t="shared" si="238"/>
        <v>0</v>
      </c>
      <c r="J4719" s="7" t="str">
        <f t="shared" si="239"/>
        <v>PAGADO</v>
      </c>
      <c r="M4719" s="8"/>
    </row>
    <row r="4720" spans="3:13" customFormat="1" x14ac:dyDescent="0.25">
      <c r="C4720" s="9" t="s">
        <v>4473</v>
      </c>
      <c r="D4720" s="9" t="s">
        <v>4474</v>
      </c>
      <c r="E4720" s="10"/>
      <c r="F4720" s="6">
        <v>45</v>
      </c>
      <c r="G4720" s="6">
        <f t="shared" si="236"/>
        <v>45</v>
      </c>
      <c r="H4720" s="6">
        <v>45</v>
      </c>
      <c r="I4720" s="26">
        <f t="shared" si="238"/>
        <v>0</v>
      </c>
      <c r="J4720" s="7" t="str">
        <f t="shared" si="239"/>
        <v>PAGADO</v>
      </c>
      <c r="M4720" s="8"/>
    </row>
    <row r="4721" spans="3:13" customFormat="1" x14ac:dyDescent="0.25">
      <c r="C4721" t="s">
        <v>4475</v>
      </c>
      <c r="D4721" t="s">
        <v>4033</v>
      </c>
      <c r="E4721" s="10"/>
      <c r="F4721" s="6">
        <v>120</v>
      </c>
      <c r="G4721" s="6">
        <f t="shared" si="236"/>
        <v>120</v>
      </c>
      <c r="H4721" s="6">
        <v>120</v>
      </c>
      <c r="I4721" s="26">
        <f t="shared" si="238"/>
        <v>0</v>
      </c>
      <c r="J4721" s="7" t="str">
        <f t="shared" si="239"/>
        <v>PAGADO</v>
      </c>
      <c r="K4721" t="s">
        <v>693</v>
      </c>
      <c r="M4721" s="8"/>
    </row>
    <row r="4722" spans="3:13" customFormat="1" x14ac:dyDescent="0.25">
      <c r="C4722" t="s">
        <v>4476</v>
      </c>
      <c r="D4722" t="s">
        <v>4033</v>
      </c>
      <c r="E4722" s="10"/>
      <c r="F4722" s="6">
        <v>65</v>
      </c>
      <c r="G4722" s="6">
        <f t="shared" si="236"/>
        <v>65</v>
      </c>
      <c r="H4722" s="6">
        <v>65</v>
      </c>
      <c r="I4722" s="26">
        <f t="shared" si="238"/>
        <v>0</v>
      </c>
      <c r="J4722" s="7" t="str">
        <f t="shared" si="239"/>
        <v>PAGADO</v>
      </c>
      <c r="K4722" t="s">
        <v>693</v>
      </c>
      <c r="M4722" s="8"/>
    </row>
    <row r="4723" spans="3:13" customFormat="1" x14ac:dyDescent="0.25">
      <c r="C4723" s="9" t="s">
        <v>3557</v>
      </c>
      <c r="D4723" t="s">
        <v>2979</v>
      </c>
      <c r="E4723" s="10"/>
      <c r="F4723" s="6">
        <v>65</v>
      </c>
      <c r="G4723" s="6">
        <f t="shared" si="236"/>
        <v>65</v>
      </c>
      <c r="H4723" s="6">
        <v>65</v>
      </c>
      <c r="I4723" s="26">
        <f t="shared" si="238"/>
        <v>0</v>
      </c>
      <c r="J4723" s="7" t="str">
        <f t="shared" si="239"/>
        <v>PAGADO</v>
      </c>
      <c r="M4723" s="8"/>
    </row>
    <row r="4724" spans="3:13" customFormat="1" x14ac:dyDescent="0.25">
      <c r="C4724" s="9" t="s">
        <v>4477</v>
      </c>
      <c r="D4724" s="9" t="s">
        <v>3352</v>
      </c>
      <c r="E4724" s="10"/>
      <c r="F4724" s="6">
        <v>270</v>
      </c>
      <c r="G4724" s="6">
        <f t="shared" si="236"/>
        <v>270</v>
      </c>
      <c r="H4724" s="6">
        <v>270</v>
      </c>
      <c r="I4724" s="26">
        <f t="shared" si="238"/>
        <v>0</v>
      </c>
      <c r="J4724" s="7" t="str">
        <f t="shared" si="239"/>
        <v>PAGADO</v>
      </c>
      <c r="M4724" s="8"/>
    </row>
    <row r="4725" spans="3:13" customFormat="1" x14ac:dyDescent="0.25">
      <c r="C4725" s="9" t="s">
        <v>4478</v>
      </c>
      <c r="D4725" s="9" t="s">
        <v>3449</v>
      </c>
      <c r="E4725" s="10"/>
      <c r="F4725" s="6">
        <v>80</v>
      </c>
      <c r="G4725" s="6">
        <f t="shared" si="236"/>
        <v>80</v>
      </c>
      <c r="H4725" s="6">
        <v>80</v>
      </c>
      <c r="I4725" s="26">
        <f t="shared" si="238"/>
        <v>0</v>
      </c>
      <c r="J4725" s="7" t="str">
        <f t="shared" si="239"/>
        <v>PAGADO</v>
      </c>
      <c r="M4725" s="8"/>
    </row>
    <row r="4726" spans="3:13" customFormat="1" x14ac:dyDescent="0.25">
      <c r="C4726" s="9" t="s">
        <v>4479</v>
      </c>
      <c r="D4726" s="9" t="s">
        <v>3612</v>
      </c>
      <c r="E4726" s="10"/>
      <c r="F4726" s="6">
        <v>25</v>
      </c>
      <c r="G4726" s="6">
        <f t="shared" si="236"/>
        <v>25</v>
      </c>
      <c r="H4726" s="6">
        <v>25</v>
      </c>
      <c r="I4726" s="26">
        <f t="shared" si="238"/>
        <v>0</v>
      </c>
      <c r="J4726" s="7" t="str">
        <f t="shared" si="239"/>
        <v>PAGADO</v>
      </c>
      <c r="M4726" s="8"/>
    </row>
    <row r="4727" spans="3:13" customFormat="1" x14ac:dyDescent="0.25">
      <c r="C4727" s="9" t="s">
        <v>4480</v>
      </c>
      <c r="D4727" s="9" t="s">
        <v>4407</v>
      </c>
      <c r="E4727" s="10"/>
      <c r="F4727" s="6">
        <v>100</v>
      </c>
      <c r="G4727" s="6">
        <f t="shared" si="236"/>
        <v>100</v>
      </c>
      <c r="H4727" s="6">
        <v>100</v>
      </c>
      <c r="I4727" s="26">
        <f t="shared" si="238"/>
        <v>0</v>
      </c>
      <c r="J4727" s="7" t="str">
        <f t="shared" si="239"/>
        <v>PAGADO</v>
      </c>
      <c r="M4727" s="8"/>
    </row>
    <row r="4728" spans="3:13" customFormat="1" x14ac:dyDescent="0.25">
      <c r="C4728" s="9" t="s">
        <v>4481</v>
      </c>
      <c r="D4728" s="9" t="s">
        <v>2906</v>
      </c>
      <c r="E4728" s="10"/>
      <c r="F4728" s="6">
        <v>45</v>
      </c>
      <c r="G4728" s="6">
        <f t="shared" si="236"/>
        <v>45</v>
      </c>
      <c r="H4728" s="6">
        <v>45</v>
      </c>
      <c r="I4728" s="26">
        <f t="shared" si="238"/>
        <v>0</v>
      </c>
      <c r="J4728" s="7" t="str">
        <f t="shared" si="239"/>
        <v>PAGADO</v>
      </c>
      <c r="M4728" s="8"/>
    </row>
    <row r="4729" spans="3:13" customFormat="1" x14ac:dyDescent="0.25">
      <c r="C4729" s="9" t="s">
        <v>4482</v>
      </c>
      <c r="D4729" s="9" t="s">
        <v>2906</v>
      </c>
      <c r="E4729" s="10"/>
      <c r="F4729" s="6">
        <v>70</v>
      </c>
      <c r="G4729" s="6">
        <f t="shared" si="236"/>
        <v>70</v>
      </c>
      <c r="H4729" s="6">
        <v>70</v>
      </c>
      <c r="I4729" s="26">
        <f t="shared" si="238"/>
        <v>0</v>
      </c>
      <c r="J4729" s="7" t="str">
        <f t="shared" si="239"/>
        <v>PAGADO</v>
      </c>
      <c r="M4729" s="8"/>
    </row>
    <row r="4730" spans="3:13" customFormat="1" x14ac:dyDescent="0.25">
      <c r="C4730" s="9" t="s">
        <v>2819</v>
      </c>
      <c r="D4730" s="9" t="s">
        <v>2548</v>
      </c>
      <c r="E4730" s="10"/>
      <c r="F4730" s="6">
        <v>120</v>
      </c>
      <c r="G4730" s="6">
        <f t="shared" si="236"/>
        <v>120</v>
      </c>
      <c r="H4730" s="6">
        <v>120</v>
      </c>
      <c r="I4730" s="26">
        <f t="shared" si="238"/>
        <v>0</v>
      </c>
      <c r="J4730" s="7" t="str">
        <f t="shared" si="239"/>
        <v>PAGADO</v>
      </c>
      <c r="M4730" s="8"/>
    </row>
    <row r="4731" spans="3:13" customFormat="1" x14ac:dyDescent="0.25">
      <c r="C4731" s="9" t="s">
        <v>4483</v>
      </c>
      <c r="D4731" s="9" t="s">
        <v>2548</v>
      </c>
      <c r="E4731" s="10"/>
      <c r="F4731" s="6">
        <v>65</v>
      </c>
      <c r="G4731" s="6">
        <f t="shared" si="236"/>
        <v>65</v>
      </c>
      <c r="H4731" s="6">
        <v>65</v>
      </c>
      <c r="I4731" s="26">
        <f t="shared" si="238"/>
        <v>0</v>
      </c>
      <c r="J4731" s="7" t="str">
        <f t="shared" si="239"/>
        <v>PAGADO</v>
      </c>
      <c r="M4731" s="8"/>
    </row>
    <row r="4732" spans="3:13" customFormat="1" x14ac:dyDescent="0.25">
      <c r="C4732" s="9" t="s">
        <v>4484</v>
      </c>
      <c r="D4732" s="9" t="s">
        <v>2018</v>
      </c>
      <c r="E4732" s="10"/>
      <c r="F4732" s="6">
        <v>15</v>
      </c>
      <c r="G4732" s="6">
        <f t="shared" si="236"/>
        <v>15</v>
      </c>
      <c r="H4732" s="6">
        <v>15</v>
      </c>
      <c r="I4732" s="26">
        <f t="shared" si="238"/>
        <v>0</v>
      </c>
      <c r="J4732" s="7" t="str">
        <f t="shared" si="239"/>
        <v>PAGADO</v>
      </c>
      <c r="M4732" s="8"/>
    </row>
    <row r="4733" spans="3:13" customFormat="1" x14ac:dyDescent="0.25">
      <c r="C4733" s="9" t="s">
        <v>4485</v>
      </c>
      <c r="D4733" t="s">
        <v>3833</v>
      </c>
      <c r="E4733" s="10"/>
      <c r="F4733" s="6">
        <v>65</v>
      </c>
      <c r="G4733" s="6">
        <f t="shared" si="236"/>
        <v>65</v>
      </c>
      <c r="H4733" s="6">
        <v>65</v>
      </c>
      <c r="I4733" s="26">
        <f t="shared" si="238"/>
        <v>0</v>
      </c>
      <c r="J4733" s="7" t="str">
        <f t="shared" si="239"/>
        <v>PAGADO</v>
      </c>
      <c r="M4733" s="8"/>
    </row>
    <row r="4734" spans="3:13" customFormat="1" x14ac:dyDescent="0.25">
      <c r="C4734" s="9" t="s">
        <v>4486</v>
      </c>
      <c r="D4734" t="s">
        <v>3833</v>
      </c>
      <c r="E4734" s="10"/>
      <c r="F4734" s="6">
        <v>65</v>
      </c>
      <c r="G4734" s="6">
        <f t="shared" ref="G4734:G4797" si="240">F4734-E4734</f>
        <v>65</v>
      </c>
      <c r="H4734" s="6">
        <v>65</v>
      </c>
      <c r="I4734" s="26">
        <f t="shared" si="238"/>
        <v>0</v>
      </c>
      <c r="J4734" s="7" t="str">
        <f t="shared" si="239"/>
        <v>PAGADO</v>
      </c>
      <c r="M4734" s="8"/>
    </row>
    <row r="4735" spans="3:13" customFormat="1" x14ac:dyDescent="0.25">
      <c r="C4735" s="9" t="s">
        <v>3737</v>
      </c>
      <c r="D4735" t="s">
        <v>3833</v>
      </c>
      <c r="E4735" s="10"/>
      <c r="F4735" s="6">
        <v>100</v>
      </c>
      <c r="G4735" s="6">
        <f t="shared" si="240"/>
        <v>100</v>
      </c>
      <c r="H4735" s="6">
        <f>50+50</f>
        <v>100</v>
      </c>
      <c r="I4735" s="26">
        <f t="shared" si="238"/>
        <v>0</v>
      </c>
      <c r="J4735" s="7" t="str">
        <f t="shared" si="239"/>
        <v>PAGADO</v>
      </c>
      <c r="K4735" s="33" t="s">
        <v>3506</v>
      </c>
      <c r="M4735" s="8"/>
    </row>
    <row r="4736" spans="3:13" customFormat="1" x14ac:dyDescent="0.25">
      <c r="C4736" s="9" t="s">
        <v>4487</v>
      </c>
      <c r="D4736" s="9" t="s">
        <v>597</v>
      </c>
      <c r="E4736" s="10"/>
      <c r="F4736" s="6">
        <v>190</v>
      </c>
      <c r="G4736" s="6">
        <f t="shared" si="240"/>
        <v>190</v>
      </c>
      <c r="H4736" s="6">
        <v>190</v>
      </c>
      <c r="I4736" s="26">
        <f t="shared" si="238"/>
        <v>0</v>
      </c>
      <c r="J4736" s="7" t="str">
        <f t="shared" si="239"/>
        <v>PAGADO</v>
      </c>
      <c r="M4736" s="8"/>
    </row>
    <row r="4737" spans="3:13" customFormat="1" x14ac:dyDescent="0.25">
      <c r="C4737" s="14" t="s">
        <v>4488</v>
      </c>
      <c r="D4737" s="9" t="s">
        <v>3262</v>
      </c>
      <c r="E4737" s="10"/>
      <c r="F4737" s="6">
        <v>220</v>
      </c>
      <c r="G4737" s="6">
        <f t="shared" si="240"/>
        <v>220</v>
      </c>
      <c r="H4737" s="6">
        <v>220</v>
      </c>
      <c r="I4737" s="26">
        <f t="shared" si="238"/>
        <v>0</v>
      </c>
      <c r="J4737" s="7" t="str">
        <f t="shared" si="239"/>
        <v>PAGADO</v>
      </c>
      <c r="K4737" s="33" t="s">
        <v>4489</v>
      </c>
      <c r="M4737" s="8"/>
    </row>
    <row r="4738" spans="3:13" customFormat="1" x14ac:dyDescent="0.25">
      <c r="C4738" s="9" t="s">
        <v>4490</v>
      </c>
      <c r="D4738" s="9" t="s">
        <v>2363</v>
      </c>
      <c r="E4738" s="10"/>
      <c r="F4738" s="6">
        <v>50</v>
      </c>
      <c r="G4738" s="6">
        <f t="shared" si="240"/>
        <v>50</v>
      </c>
      <c r="H4738" s="6">
        <v>50</v>
      </c>
      <c r="I4738" s="26">
        <f t="shared" si="238"/>
        <v>0</v>
      </c>
      <c r="J4738" s="7" t="str">
        <f t="shared" si="239"/>
        <v>PAGADO</v>
      </c>
      <c r="K4738" s="33" t="s">
        <v>693</v>
      </c>
      <c r="M4738" s="8"/>
    </row>
    <row r="4739" spans="3:13" customFormat="1" x14ac:dyDescent="0.25">
      <c r="C4739" s="9" t="s">
        <v>4491</v>
      </c>
      <c r="D4739" s="9" t="s">
        <v>2363</v>
      </c>
      <c r="E4739" s="10"/>
      <c r="F4739" s="6">
        <v>40</v>
      </c>
      <c r="G4739" s="6">
        <f t="shared" si="240"/>
        <v>40</v>
      </c>
      <c r="H4739" s="6">
        <v>40</v>
      </c>
      <c r="I4739" s="26">
        <f t="shared" si="238"/>
        <v>0</v>
      </c>
      <c r="J4739" s="7" t="str">
        <f t="shared" si="239"/>
        <v>PAGADO</v>
      </c>
      <c r="K4739" s="33" t="s">
        <v>693</v>
      </c>
      <c r="M4739" s="8"/>
    </row>
    <row r="4740" spans="3:13" customFormat="1" x14ac:dyDescent="0.25">
      <c r="C4740" s="9" t="s">
        <v>4492</v>
      </c>
      <c r="D4740" s="9" t="s">
        <v>2363</v>
      </c>
      <c r="E4740" s="10"/>
      <c r="F4740" s="6">
        <v>40</v>
      </c>
      <c r="G4740" s="6">
        <f t="shared" si="240"/>
        <v>40</v>
      </c>
      <c r="H4740" s="6">
        <v>40</v>
      </c>
      <c r="I4740" s="26">
        <f t="shared" si="238"/>
        <v>0</v>
      </c>
      <c r="J4740" s="7" t="str">
        <f t="shared" si="239"/>
        <v>PAGADO</v>
      </c>
      <c r="K4740" s="33" t="s">
        <v>693</v>
      </c>
      <c r="M4740" s="8"/>
    </row>
    <row r="4741" spans="3:13" customFormat="1" x14ac:dyDescent="0.25">
      <c r="C4741" t="s">
        <v>4493</v>
      </c>
      <c r="D4741" s="9" t="s">
        <v>1994</v>
      </c>
      <c r="E4741" s="10"/>
      <c r="F4741" s="6">
        <v>80</v>
      </c>
      <c r="G4741" s="6">
        <f t="shared" si="240"/>
        <v>80</v>
      </c>
      <c r="H4741" s="6">
        <v>80</v>
      </c>
      <c r="I4741" s="6">
        <f t="shared" si="238"/>
        <v>0</v>
      </c>
      <c r="J4741" s="7" t="str">
        <f t="shared" si="239"/>
        <v>PAGADO</v>
      </c>
      <c r="M4741" s="8"/>
    </row>
    <row r="4742" spans="3:13" customFormat="1" x14ac:dyDescent="0.25">
      <c r="C4742" t="s">
        <v>3605</v>
      </c>
      <c r="D4742" s="9" t="s">
        <v>4494</v>
      </c>
      <c r="E4742" s="10"/>
      <c r="F4742" s="6">
        <v>55</v>
      </c>
      <c r="G4742" s="6">
        <f t="shared" si="240"/>
        <v>55</v>
      </c>
      <c r="H4742" s="6">
        <v>55</v>
      </c>
      <c r="I4742" s="6">
        <f t="shared" si="238"/>
        <v>0</v>
      </c>
      <c r="J4742" s="7" t="str">
        <f t="shared" si="239"/>
        <v>PAGADO</v>
      </c>
      <c r="M4742" s="8"/>
    </row>
    <row r="4743" spans="3:13" customFormat="1" x14ac:dyDescent="0.25">
      <c r="C4743" t="s">
        <v>4495</v>
      </c>
      <c r="D4743" s="9" t="s">
        <v>4494</v>
      </c>
      <c r="E4743" s="10"/>
      <c r="F4743" s="6">
        <v>70</v>
      </c>
      <c r="G4743" s="6">
        <f t="shared" si="240"/>
        <v>70</v>
      </c>
      <c r="H4743" s="6">
        <v>70</v>
      </c>
      <c r="I4743" s="6">
        <f t="shared" si="238"/>
        <v>0</v>
      </c>
      <c r="J4743" s="7" t="str">
        <f t="shared" si="239"/>
        <v>PAGADO</v>
      </c>
      <c r="M4743" s="8"/>
    </row>
    <row r="4744" spans="3:13" customFormat="1" x14ac:dyDescent="0.25">
      <c r="C4744" t="s">
        <v>535</v>
      </c>
      <c r="D4744" s="9" t="s">
        <v>4496</v>
      </c>
      <c r="E4744" s="10"/>
      <c r="F4744" s="6">
        <v>80</v>
      </c>
      <c r="G4744" s="6">
        <f t="shared" si="240"/>
        <v>80</v>
      </c>
      <c r="H4744" s="6">
        <f>40+40</f>
        <v>80</v>
      </c>
      <c r="I4744" s="6">
        <f t="shared" si="238"/>
        <v>0</v>
      </c>
      <c r="J4744" s="7" t="str">
        <f t="shared" si="239"/>
        <v>PAGADO</v>
      </c>
      <c r="M4744" s="8"/>
    </row>
    <row r="4745" spans="3:13" customFormat="1" x14ac:dyDescent="0.25">
      <c r="C4745" t="s">
        <v>4497</v>
      </c>
      <c r="D4745" s="9" t="s">
        <v>4172</v>
      </c>
      <c r="E4745" s="10"/>
      <c r="F4745" s="6">
        <v>45</v>
      </c>
      <c r="G4745" s="6">
        <f t="shared" si="240"/>
        <v>45</v>
      </c>
      <c r="H4745" s="6">
        <v>45</v>
      </c>
      <c r="I4745" s="26">
        <f t="shared" si="238"/>
        <v>0</v>
      </c>
      <c r="J4745" s="7" t="str">
        <f t="shared" si="239"/>
        <v>PAGADO</v>
      </c>
      <c r="K4745" s="33" t="s">
        <v>1056</v>
      </c>
      <c r="M4745" s="8"/>
    </row>
    <row r="4746" spans="3:13" customFormat="1" x14ac:dyDescent="0.25">
      <c r="C4746" s="9" t="s">
        <v>4498</v>
      </c>
      <c r="D4746" s="9" t="s">
        <v>3331</v>
      </c>
      <c r="E4746" s="10"/>
      <c r="F4746" s="6">
        <v>45</v>
      </c>
      <c r="G4746" s="6">
        <f t="shared" si="240"/>
        <v>45</v>
      </c>
      <c r="H4746" s="6">
        <v>45</v>
      </c>
      <c r="I4746" s="26">
        <f t="shared" si="238"/>
        <v>0</v>
      </c>
      <c r="J4746" s="7" t="str">
        <f t="shared" si="239"/>
        <v>PAGADO</v>
      </c>
      <c r="M4746" s="8"/>
    </row>
    <row r="4747" spans="3:13" customFormat="1" x14ac:dyDescent="0.25">
      <c r="C4747" s="9" t="s">
        <v>4495</v>
      </c>
      <c r="D4747" t="s">
        <v>1309</v>
      </c>
      <c r="E4747" s="10"/>
      <c r="F4747" s="6">
        <v>70</v>
      </c>
      <c r="G4747" s="6">
        <f t="shared" si="240"/>
        <v>70</v>
      </c>
      <c r="H4747" s="6">
        <v>70</v>
      </c>
      <c r="I4747" s="26">
        <f t="shared" ref="I4747:I4810" si="241">F4747-H4747</f>
        <v>0</v>
      </c>
      <c r="J4747" s="7" t="str">
        <f t="shared" si="239"/>
        <v>PAGADO</v>
      </c>
      <c r="M4747" s="8"/>
    </row>
    <row r="4748" spans="3:13" customFormat="1" x14ac:dyDescent="0.25">
      <c r="C4748" s="9" t="s">
        <v>4499</v>
      </c>
      <c r="D4748" s="9" t="s">
        <v>3612</v>
      </c>
      <c r="E4748" s="10"/>
      <c r="F4748" s="6">
        <v>15</v>
      </c>
      <c r="G4748" s="6">
        <f t="shared" si="240"/>
        <v>15</v>
      </c>
      <c r="H4748" s="6">
        <v>15</v>
      </c>
      <c r="I4748" s="26">
        <f t="shared" si="241"/>
        <v>0</v>
      </c>
      <c r="J4748" s="7" t="str">
        <f t="shared" si="239"/>
        <v>PAGADO</v>
      </c>
      <c r="M4748" s="8"/>
    </row>
    <row r="4749" spans="3:13" customFormat="1" x14ac:dyDescent="0.25">
      <c r="C4749" s="9" t="s">
        <v>4500</v>
      </c>
      <c r="D4749" s="9" t="s">
        <v>3316</v>
      </c>
      <c r="E4749" s="10"/>
      <c r="F4749" s="6">
        <v>70</v>
      </c>
      <c r="G4749" s="6">
        <f t="shared" si="240"/>
        <v>70</v>
      </c>
      <c r="H4749" s="6">
        <v>70</v>
      </c>
      <c r="I4749" s="26">
        <f t="shared" si="241"/>
        <v>0</v>
      </c>
      <c r="J4749" s="7" t="str">
        <f t="shared" si="239"/>
        <v>PAGADO</v>
      </c>
      <c r="K4749" s="33" t="s">
        <v>3317</v>
      </c>
      <c r="M4749" s="8"/>
    </row>
    <row r="4750" spans="3:13" customFormat="1" x14ac:dyDescent="0.25">
      <c r="C4750" t="s">
        <v>4413</v>
      </c>
      <c r="D4750" s="9" t="s">
        <v>3497</v>
      </c>
      <c r="E4750" s="10"/>
      <c r="F4750" s="6">
        <v>90</v>
      </c>
      <c r="G4750" s="6">
        <f t="shared" si="240"/>
        <v>90</v>
      </c>
      <c r="H4750" s="6">
        <v>90</v>
      </c>
      <c r="I4750" s="26">
        <f t="shared" si="241"/>
        <v>0</v>
      </c>
      <c r="J4750" s="7" t="str">
        <f t="shared" si="239"/>
        <v>PAGADO</v>
      </c>
      <c r="M4750" s="8"/>
    </row>
    <row r="4751" spans="3:13" customFormat="1" x14ac:dyDescent="0.25">
      <c r="C4751" t="s">
        <v>4501</v>
      </c>
      <c r="D4751" s="9" t="s">
        <v>4502</v>
      </c>
      <c r="E4751" s="10"/>
      <c r="F4751" s="6">
        <v>60</v>
      </c>
      <c r="G4751" s="6">
        <f t="shared" si="240"/>
        <v>60</v>
      </c>
      <c r="H4751" s="6">
        <v>60</v>
      </c>
      <c r="I4751" s="26">
        <f t="shared" si="241"/>
        <v>0</v>
      </c>
      <c r="J4751" s="7" t="str">
        <f t="shared" ref="J4751:J4814" si="242">IF(I4751&gt;0,"DEBE","PAGADO")</f>
        <v>PAGADO</v>
      </c>
      <c r="M4751" s="8"/>
    </row>
    <row r="4752" spans="3:13" customFormat="1" x14ac:dyDescent="0.25">
      <c r="C4752" t="s">
        <v>430</v>
      </c>
      <c r="D4752" s="9" t="s">
        <v>4503</v>
      </c>
      <c r="E4752" s="10"/>
      <c r="F4752" s="6">
        <v>60</v>
      </c>
      <c r="G4752" s="6">
        <f t="shared" si="240"/>
        <v>60</v>
      </c>
      <c r="H4752" s="6">
        <v>60</v>
      </c>
      <c r="I4752" s="26">
        <f t="shared" si="241"/>
        <v>0</v>
      </c>
      <c r="J4752" s="7" t="str">
        <f t="shared" si="242"/>
        <v>PAGADO</v>
      </c>
      <c r="M4752" s="8"/>
    </row>
    <row r="4753" spans="3:13" customFormat="1" x14ac:dyDescent="0.25">
      <c r="C4753" t="s">
        <v>4146</v>
      </c>
      <c r="D4753" s="9" t="s">
        <v>4504</v>
      </c>
      <c r="E4753" s="10"/>
      <c r="F4753" s="6">
        <v>90</v>
      </c>
      <c r="G4753" s="6">
        <f t="shared" si="240"/>
        <v>90</v>
      </c>
      <c r="H4753" s="6">
        <v>90</v>
      </c>
      <c r="I4753" s="26">
        <f t="shared" si="241"/>
        <v>0</v>
      </c>
      <c r="J4753" s="7" t="str">
        <f t="shared" si="242"/>
        <v>PAGADO</v>
      </c>
      <c r="M4753" s="8"/>
    </row>
    <row r="4754" spans="3:13" customFormat="1" x14ac:dyDescent="0.25">
      <c r="C4754" s="9" t="s">
        <v>3627</v>
      </c>
      <c r="D4754" s="9" t="s">
        <v>3549</v>
      </c>
      <c r="E4754" s="10"/>
      <c r="F4754" s="6">
        <v>35</v>
      </c>
      <c r="G4754" s="6">
        <f t="shared" si="240"/>
        <v>35</v>
      </c>
      <c r="H4754" s="6">
        <v>35</v>
      </c>
      <c r="I4754" s="26">
        <f t="shared" si="241"/>
        <v>0</v>
      </c>
      <c r="J4754" s="7" t="str">
        <f t="shared" si="242"/>
        <v>PAGADO</v>
      </c>
      <c r="K4754" s="59" t="s">
        <v>4505</v>
      </c>
      <c r="M4754" s="8"/>
    </row>
    <row r="4755" spans="3:13" customFormat="1" x14ac:dyDescent="0.25">
      <c r="C4755" s="9" t="s">
        <v>4506</v>
      </c>
      <c r="D4755" s="9" t="s">
        <v>4163</v>
      </c>
      <c r="E4755" s="10"/>
      <c r="F4755" s="6">
        <v>80</v>
      </c>
      <c r="G4755" s="6">
        <f t="shared" si="240"/>
        <v>80</v>
      </c>
      <c r="H4755" s="6">
        <f>40+40</f>
        <v>80</v>
      </c>
      <c r="I4755" s="26">
        <f t="shared" si="241"/>
        <v>0</v>
      </c>
      <c r="J4755" s="7" t="str">
        <f t="shared" si="242"/>
        <v>PAGADO</v>
      </c>
      <c r="K4755" s="33" t="s">
        <v>2639</v>
      </c>
      <c r="M4755" s="8"/>
    </row>
    <row r="4756" spans="3:13" customFormat="1" x14ac:dyDescent="0.25">
      <c r="C4756" s="9" t="s">
        <v>4507</v>
      </c>
      <c r="D4756" s="9" t="s">
        <v>4163</v>
      </c>
      <c r="E4756" s="10"/>
      <c r="F4756" s="6">
        <v>80</v>
      </c>
      <c r="G4756" s="6">
        <f t="shared" si="240"/>
        <v>80</v>
      </c>
      <c r="H4756" s="6">
        <f>40+40</f>
        <v>80</v>
      </c>
      <c r="I4756" s="26">
        <f t="shared" si="241"/>
        <v>0</v>
      </c>
      <c r="J4756" s="7" t="str">
        <f t="shared" si="242"/>
        <v>PAGADO</v>
      </c>
      <c r="K4756" s="33" t="s">
        <v>2639</v>
      </c>
      <c r="M4756" s="8"/>
    </row>
    <row r="4757" spans="3:13" customFormat="1" x14ac:dyDescent="0.25">
      <c r="C4757" s="9" t="s">
        <v>3306</v>
      </c>
      <c r="D4757" s="9" t="s">
        <v>4508</v>
      </c>
      <c r="E4757" s="10"/>
      <c r="F4757" s="6">
        <v>85</v>
      </c>
      <c r="G4757" s="6">
        <f t="shared" si="240"/>
        <v>85</v>
      </c>
      <c r="H4757" s="6">
        <v>85</v>
      </c>
      <c r="I4757" s="26">
        <f t="shared" si="241"/>
        <v>0</v>
      </c>
      <c r="J4757" s="7" t="str">
        <f t="shared" si="242"/>
        <v>PAGADO</v>
      </c>
      <c r="M4757" s="8"/>
    </row>
    <row r="4758" spans="3:13" customFormat="1" x14ac:dyDescent="0.25">
      <c r="C4758" s="9" t="s">
        <v>4509</v>
      </c>
      <c r="D4758" s="9" t="s">
        <v>4508</v>
      </c>
      <c r="E4758" s="10"/>
      <c r="F4758" s="6">
        <v>60</v>
      </c>
      <c r="G4758" s="6">
        <f t="shared" si="240"/>
        <v>60</v>
      </c>
      <c r="H4758" s="6">
        <v>60</v>
      </c>
      <c r="I4758" s="26">
        <f t="shared" si="241"/>
        <v>0</v>
      </c>
      <c r="J4758" s="7" t="str">
        <f t="shared" si="242"/>
        <v>PAGADO</v>
      </c>
      <c r="M4758" s="8"/>
    </row>
    <row r="4759" spans="3:13" customFormat="1" x14ac:dyDescent="0.25">
      <c r="C4759" s="9" t="s">
        <v>4510</v>
      </c>
      <c r="D4759" s="9" t="s">
        <v>4163</v>
      </c>
      <c r="E4759" s="10"/>
      <c r="F4759" s="6">
        <v>35</v>
      </c>
      <c r="G4759" s="6">
        <f t="shared" si="240"/>
        <v>35</v>
      </c>
      <c r="H4759" s="6">
        <v>35</v>
      </c>
      <c r="I4759" s="26">
        <f t="shared" si="241"/>
        <v>0</v>
      </c>
      <c r="J4759" s="7" t="str">
        <f t="shared" si="242"/>
        <v>PAGADO</v>
      </c>
      <c r="K4759" s="59" t="s">
        <v>4505</v>
      </c>
      <c r="M4759" s="8"/>
    </row>
    <row r="4760" spans="3:13" customFormat="1" x14ac:dyDescent="0.25">
      <c r="C4760" s="9" t="s">
        <v>4511</v>
      </c>
      <c r="D4760" s="9" t="s">
        <v>3711</v>
      </c>
      <c r="E4760" s="10"/>
      <c r="F4760" s="6">
        <v>18</v>
      </c>
      <c r="G4760" s="6">
        <f t="shared" si="240"/>
        <v>18</v>
      </c>
      <c r="H4760" s="6">
        <v>18</v>
      </c>
      <c r="I4760" s="26">
        <f t="shared" si="241"/>
        <v>0</v>
      </c>
      <c r="J4760" s="7" t="str">
        <f t="shared" si="242"/>
        <v>PAGADO</v>
      </c>
      <c r="K4760" s="33" t="s">
        <v>2639</v>
      </c>
      <c r="M4760" s="8"/>
    </row>
    <row r="4761" spans="3:13" customFormat="1" x14ac:dyDescent="0.25">
      <c r="C4761" s="9" t="s">
        <v>4512</v>
      </c>
      <c r="D4761" s="9" t="s">
        <v>4273</v>
      </c>
      <c r="E4761" s="10"/>
      <c r="F4761" s="6">
        <v>120</v>
      </c>
      <c r="G4761" s="6">
        <f t="shared" si="240"/>
        <v>120</v>
      </c>
      <c r="H4761" s="6">
        <v>120</v>
      </c>
      <c r="I4761" s="26">
        <f t="shared" si="241"/>
        <v>0</v>
      </c>
      <c r="J4761" s="7" t="str">
        <f t="shared" si="242"/>
        <v>PAGADO</v>
      </c>
      <c r="K4761" s="59" t="s">
        <v>4505</v>
      </c>
      <c r="M4761" s="8"/>
    </row>
    <row r="4762" spans="3:13" customFormat="1" x14ac:dyDescent="0.25">
      <c r="C4762" s="9" t="s">
        <v>4513</v>
      </c>
      <c r="D4762" s="9" t="s">
        <v>3728</v>
      </c>
      <c r="E4762" s="10"/>
      <c r="F4762" s="6">
        <v>35</v>
      </c>
      <c r="G4762" s="6">
        <f t="shared" si="240"/>
        <v>35</v>
      </c>
      <c r="H4762" s="6">
        <v>35</v>
      </c>
      <c r="I4762" s="26">
        <f t="shared" si="241"/>
        <v>0</v>
      </c>
      <c r="J4762" s="7" t="str">
        <f t="shared" si="242"/>
        <v>PAGADO</v>
      </c>
      <c r="K4762" s="59" t="s">
        <v>4505</v>
      </c>
      <c r="M4762" s="8"/>
    </row>
    <row r="4763" spans="3:13" customFormat="1" x14ac:dyDescent="0.25">
      <c r="C4763" s="9" t="s">
        <v>4514</v>
      </c>
      <c r="D4763" s="9" t="s">
        <v>3641</v>
      </c>
      <c r="E4763" s="10"/>
      <c r="F4763" s="6">
        <v>70</v>
      </c>
      <c r="G4763" s="6">
        <f t="shared" si="240"/>
        <v>70</v>
      </c>
      <c r="H4763" s="6">
        <f>35+35</f>
        <v>70</v>
      </c>
      <c r="I4763" s="26">
        <f t="shared" si="241"/>
        <v>0</v>
      </c>
      <c r="J4763" s="7" t="str">
        <f t="shared" si="242"/>
        <v>PAGADO</v>
      </c>
      <c r="K4763" s="33" t="s">
        <v>2639</v>
      </c>
      <c r="M4763" s="8"/>
    </row>
    <row r="4764" spans="3:13" customFormat="1" x14ac:dyDescent="0.25">
      <c r="C4764" s="9" t="s">
        <v>2391</v>
      </c>
      <c r="D4764" s="9" t="s">
        <v>3135</v>
      </c>
      <c r="E4764" s="10"/>
      <c r="F4764" s="6">
        <v>60</v>
      </c>
      <c r="G4764" s="6">
        <f t="shared" si="240"/>
        <v>60</v>
      </c>
      <c r="H4764" s="6">
        <v>60</v>
      </c>
      <c r="I4764" s="26">
        <f t="shared" si="241"/>
        <v>0</v>
      </c>
      <c r="J4764" s="7" t="str">
        <f t="shared" si="242"/>
        <v>PAGADO</v>
      </c>
      <c r="K4764" s="59" t="s">
        <v>4505</v>
      </c>
      <c r="M4764" s="8"/>
    </row>
    <row r="4765" spans="3:13" customFormat="1" x14ac:dyDescent="0.25">
      <c r="C4765" s="9" t="s">
        <v>4515</v>
      </c>
      <c r="D4765" s="9" t="s">
        <v>3433</v>
      </c>
      <c r="E4765" s="10"/>
      <c r="F4765" s="6">
        <v>50</v>
      </c>
      <c r="G4765" s="6">
        <f t="shared" si="240"/>
        <v>50</v>
      </c>
      <c r="H4765" s="6">
        <v>50</v>
      </c>
      <c r="I4765" s="26">
        <f t="shared" si="241"/>
        <v>0</v>
      </c>
      <c r="J4765" s="7" t="str">
        <f t="shared" si="242"/>
        <v>PAGADO</v>
      </c>
      <c r="K4765" s="59" t="s">
        <v>4505</v>
      </c>
      <c r="M4765" s="8"/>
    </row>
    <row r="4766" spans="3:13" customFormat="1" x14ac:dyDescent="0.25">
      <c r="C4766" s="9" t="s">
        <v>4515</v>
      </c>
      <c r="D4766" s="9" t="s">
        <v>3612</v>
      </c>
      <c r="E4766" s="10"/>
      <c r="F4766" s="6">
        <v>50</v>
      </c>
      <c r="G4766" s="6">
        <f t="shared" si="240"/>
        <v>50</v>
      </c>
      <c r="H4766" s="6">
        <v>50</v>
      </c>
      <c r="I4766" s="26">
        <f t="shared" si="241"/>
        <v>0</v>
      </c>
      <c r="J4766" s="7" t="str">
        <f t="shared" si="242"/>
        <v>PAGADO</v>
      </c>
      <c r="K4766" s="59" t="s">
        <v>4505</v>
      </c>
      <c r="M4766" s="8"/>
    </row>
    <row r="4767" spans="3:13" customFormat="1" x14ac:dyDescent="0.25">
      <c r="C4767" s="9" t="s">
        <v>4515</v>
      </c>
      <c r="D4767" s="9" t="s">
        <v>238</v>
      </c>
      <c r="E4767" s="10"/>
      <c r="F4767" s="6">
        <v>50</v>
      </c>
      <c r="G4767" s="6">
        <f t="shared" si="240"/>
        <v>50</v>
      </c>
      <c r="H4767" s="6">
        <v>50</v>
      </c>
      <c r="I4767" s="26">
        <f t="shared" si="241"/>
        <v>0</v>
      </c>
      <c r="J4767" s="7" t="str">
        <f t="shared" si="242"/>
        <v>PAGADO</v>
      </c>
      <c r="K4767" s="59" t="s">
        <v>4505</v>
      </c>
      <c r="M4767" s="8"/>
    </row>
    <row r="4768" spans="3:13" customFormat="1" x14ac:dyDescent="0.25">
      <c r="C4768" s="9" t="s">
        <v>3627</v>
      </c>
      <c r="D4768" s="9" t="s">
        <v>2018</v>
      </c>
      <c r="E4768" s="10"/>
      <c r="F4768" s="6">
        <v>35</v>
      </c>
      <c r="G4768" s="6">
        <f t="shared" si="240"/>
        <v>35</v>
      </c>
      <c r="H4768" s="6">
        <v>35</v>
      </c>
      <c r="I4768" s="26">
        <f t="shared" si="241"/>
        <v>0</v>
      </c>
      <c r="J4768" s="7" t="str">
        <f t="shared" si="242"/>
        <v>PAGADO</v>
      </c>
      <c r="K4768" s="33" t="s">
        <v>4505</v>
      </c>
      <c r="M4768" s="8"/>
    </row>
    <row r="4769" spans="3:13" customFormat="1" x14ac:dyDescent="0.25">
      <c r="C4769" s="9" t="s">
        <v>3627</v>
      </c>
      <c r="D4769" s="9" t="s">
        <v>1360</v>
      </c>
      <c r="E4769" s="10"/>
      <c r="F4769" s="6">
        <v>35</v>
      </c>
      <c r="G4769" s="6">
        <f t="shared" si="240"/>
        <v>35</v>
      </c>
      <c r="H4769" s="6">
        <v>35</v>
      </c>
      <c r="I4769" s="26">
        <f t="shared" si="241"/>
        <v>0</v>
      </c>
      <c r="J4769" s="7" t="str">
        <f t="shared" si="242"/>
        <v>PAGADO</v>
      </c>
      <c r="K4769" s="59" t="s">
        <v>4505</v>
      </c>
      <c r="M4769" s="8"/>
    </row>
    <row r="4770" spans="3:13" customFormat="1" x14ac:dyDescent="0.25">
      <c r="C4770" s="9" t="s">
        <v>4516</v>
      </c>
      <c r="D4770" t="s">
        <v>2744</v>
      </c>
      <c r="E4770" s="10"/>
      <c r="F4770" s="6">
        <v>120</v>
      </c>
      <c r="G4770" s="6">
        <f t="shared" si="240"/>
        <v>120</v>
      </c>
      <c r="H4770" s="6">
        <v>120</v>
      </c>
      <c r="I4770" s="26">
        <f t="shared" si="241"/>
        <v>0</v>
      </c>
      <c r="J4770" s="7" t="str">
        <f t="shared" si="242"/>
        <v>PAGADO</v>
      </c>
      <c r="K4770" s="59" t="s">
        <v>4505</v>
      </c>
      <c r="M4770" s="8"/>
    </row>
    <row r="4771" spans="3:13" customFormat="1" x14ac:dyDescent="0.25">
      <c r="C4771" s="9" t="s">
        <v>4517</v>
      </c>
      <c r="D4771" s="9" t="s">
        <v>1145</v>
      </c>
      <c r="E4771" s="10"/>
      <c r="F4771" s="6">
        <v>25</v>
      </c>
      <c r="G4771" s="6">
        <f t="shared" si="240"/>
        <v>25</v>
      </c>
      <c r="H4771" s="6">
        <v>25</v>
      </c>
      <c r="I4771" s="26">
        <f t="shared" si="241"/>
        <v>0</v>
      </c>
      <c r="J4771" s="7" t="str">
        <f t="shared" si="242"/>
        <v>PAGADO</v>
      </c>
      <c r="K4771" s="59" t="s">
        <v>4505</v>
      </c>
      <c r="M4771" s="8"/>
    </row>
    <row r="4772" spans="3:13" customFormat="1" x14ac:dyDescent="0.25">
      <c r="C4772" s="9" t="s">
        <v>4518</v>
      </c>
      <c r="D4772" s="9" t="s">
        <v>1145</v>
      </c>
      <c r="E4772" s="10"/>
      <c r="F4772" s="6">
        <v>30</v>
      </c>
      <c r="G4772" s="6">
        <f t="shared" si="240"/>
        <v>30</v>
      </c>
      <c r="H4772" s="6">
        <v>30</v>
      </c>
      <c r="I4772" s="26">
        <f t="shared" si="241"/>
        <v>0</v>
      </c>
      <c r="J4772" s="7" t="str">
        <f t="shared" si="242"/>
        <v>PAGADO</v>
      </c>
      <c r="K4772" s="59" t="s">
        <v>4505</v>
      </c>
      <c r="M4772" s="8"/>
    </row>
    <row r="4773" spans="3:13" customFormat="1" x14ac:dyDescent="0.25">
      <c r="C4773" s="9" t="s">
        <v>4519</v>
      </c>
      <c r="D4773" s="9" t="s">
        <v>1451</v>
      </c>
      <c r="E4773" s="10"/>
      <c r="F4773" s="6">
        <v>35</v>
      </c>
      <c r="G4773" s="6">
        <f t="shared" si="240"/>
        <v>35</v>
      </c>
      <c r="H4773" s="6">
        <v>35</v>
      </c>
      <c r="I4773" s="26">
        <f t="shared" si="241"/>
        <v>0</v>
      </c>
      <c r="J4773" s="7" t="str">
        <f t="shared" si="242"/>
        <v>PAGADO</v>
      </c>
      <c r="K4773" s="59" t="s">
        <v>4505</v>
      </c>
      <c r="M4773" s="8"/>
    </row>
    <row r="4774" spans="3:13" customFormat="1" x14ac:dyDescent="0.25">
      <c r="C4774" s="9" t="s">
        <v>4517</v>
      </c>
      <c r="D4774" s="9" t="s">
        <v>1451</v>
      </c>
      <c r="E4774" s="10"/>
      <c r="F4774" s="6">
        <v>25</v>
      </c>
      <c r="G4774" s="6">
        <f t="shared" si="240"/>
        <v>25</v>
      </c>
      <c r="H4774" s="6">
        <v>25</v>
      </c>
      <c r="I4774" s="26">
        <f t="shared" si="241"/>
        <v>0</v>
      </c>
      <c r="J4774" s="7" t="str">
        <f t="shared" si="242"/>
        <v>PAGADO</v>
      </c>
      <c r="K4774" s="59" t="s">
        <v>4505</v>
      </c>
      <c r="M4774" s="8"/>
    </row>
    <row r="4775" spans="3:13" customFormat="1" x14ac:dyDescent="0.25">
      <c r="C4775" s="9" t="s">
        <v>4518</v>
      </c>
      <c r="D4775" s="9" t="s">
        <v>1451</v>
      </c>
      <c r="E4775" s="10"/>
      <c r="F4775" s="6">
        <v>30</v>
      </c>
      <c r="G4775" s="6">
        <f t="shared" si="240"/>
        <v>30</v>
      </c>
      <c r="H4775" s="6">
        <v>30</v>
      </c>
      <c r="I4775" s="26">
        <f t="shared" si="241"/>
        <v>0</v>
      </c>
      <c r="J4775" s="7" t="str">
        <f t="shared" si="242"/>
        <v>PAGADO</v>
      </c>
      <c r="K4775" s="59" t="s">
        <v>4505</v>
      </c>
      <c r="M4775" s="8"/>
    </row>
    <row r="4776" spans="3:13" customFormat="1" x14ac:dyDescent="0.25">
      <c r="C4776" s="9" t="s">
        <v>4520</v>
      </c>
      <c r="D4776" s="9" t="s">
        <v>45</v>
      </c>
      <c r="E4776" s="10"/>
      <c r="F4776" s="6">
        <v>35</v>
      </c>
      <c r="G4776" s="6">
        <f t="shared" si="240"/>
        <v>35</v>
      </c>
      <c r="H4776" s="6">
        <v>35</v>
      </c>
      <c r="I4776" s="26">
        <f t="shared" si="241"/>
        <v>0</v>
      </c>
      <c r="J4776" s="7" t="str">
        <f t="shared" si="242"/>
        <v>PAGADO</v>
      </c>
      <c r="K4776" s="59" t="s">
        <v>4505</v>
      </c>
      <c r="M4776" s="8"/>
    </row>
    <row r="4777" spans="3:13" customFormat="1" x14ac:dyDescent="0.25">
      <c r="C4777" s="9" t="s">
        <v>4521</v>
      </c>
      <c r="D4777" s="9" t="s">
        <v>4522</v>
      </c>
      <c r="E4777" s="10"/>
      <c r="F4777" s="6">
        <v>90</v>
      </c>
      <c r="G4777" s="6">
        <f t="shared" si="240"/>
        <v>90</v>
      </c>
      <c r="H4777" s="6">
        <v>90</v>
      </c>
      <c r="I4777" s="26">
        <f t="shared" si="241"/>
        <v>0</v>
      </c>
      <c r="J4777" s="7" t="str">
        <f t="shared" si="242"/>
        <v>PAGADO</v>
      </c>
      <c r="K4777" s="59" t="s">
        <v>4505</v>
      </c>
      <c r="M4777" s="8"/>
    </row>
    <row r="4778" spans="3:13" customFormat="1" x14ac:dyDescent="0.25">
      <c r="C4778" s="9" t="s">
        <v>4521</v>
      </c>
      <c r="D4778" s="9" t="s">
        <v>1451</v>
      </c>
      <c r="E4778" s="10"/>
      <c r="F4778" s="6">
        <v>90</v>
      </c>
      <c r="G4778" s="6">
        <f t="shared" si="240"/>
        <v>90</v>
      </c>
      <c r="H4778" s="6">
        <v>90</v>
      </c>
      <c r="I4778" s="26">
        <f t="shared" si="241"/>
        <v>0</v>
      </c>
      <c r="J4778" s="7" t="str">
        <f t="shared" si="242"/>
        <v>PAGADO</v>
      </c>
      <c r="K4778" s="59" t="s">
        <v>4505</v>
      </c>
      <c r="M4778" s="8"/>
    </row>
    <row r="4779" spans="3:13" customFormat="1" x14ac:dyDescent="0.25">
      <c r="C4779" s="9" t="s">
        <v>4523</v>
      </c>
      <c r="D4779" s="9" t="s">
        <v>18</v>
      </c>
      <c r="E4779" s="10"/>
      <c r="F4779" s="6">
        <v>120</v>
      </c>
      <c r="G4779" s="6">
        <f t="shared" si="240"/>
        <v>120</v>
      </c>
      <c r="H4779" s="6">
        <f>50+70</f>
        <v>120</v>
      </c>
      <c r="I4779" s="26">
        <f t="shared" si="241"/>
        <v>0</v>
      </c>
      <c r="J4779" s="7" t="str">
        <f t="shared" si="242"/>
        <v>PAGADO</v>
      </c>
      <c r="K4779" s="59" t="s">
        <v>4505</v>
      </c>
      <c r="M4779" s="8"/>
    </row>
    <row r="4780" spans="3:13" customFormat="1" x14ac:dyDescent="0.25">
      <c r="C4780" s="9" t="s">
        <v>4524</v>
      </c>
      <c r="D4780" s="9" t="s">
        <v>1309</v>
      </c>
      <c r="E4780" s="10"/>
      <c r="F4780" s="6">
        <v>60</v>
      </c>
      <c r="G4780" s="6">
        <f t="shared" si="240"/>
        <v>60</v>
      </c>
      <c r="H4780" s="6">
        <v>60</v>
      </c>
      <c r="I4780" s="26">
        <f t="shared" si="241"/>
        <v>0</v>
      </c>
      <c r="J4780" s="7" t="str">
        <f t="shared" si="242"/>
        <v>PAGADO</v>
      </c>
      <c r="K4780" s="9" t="s">
        <v>2714</v>
      </c>
      <c r="M4780" s="8"/>
    </row>
    <row r="4781" spans="3:13" customFormat="1" x14ac:dyDescent="0.25">
      <c r="C4781" s="9" t="s">
        <v>4524</v>
      </c>
      <c r="D4781" s="9" t="s">
        <v>3376</v>
      </c>
      <c r="E4781" s="10"/>
      <c r="F4781" s="6">
        <v>90</v>
      </c>
      <c r="G4781" s="6">
        <f t="shared" si="240"/>
        <v>90</v>
      </c>
      <c r="H4781" s="6">
        <v>90</v>
      </c>
      <c r="I4781" s="26">
        <f t="shared" si="241"/>
        <v>0</v>
      </c>
      <c r="J4781" s="7" t="str">
        <f t="shared" si="242"/>
        <v>PAGADO</v>
      </c>
      <c r="K4781" s="59" t="s">
        <v>4505</v>
      </c>
      <c r="M4781" s="8"/>
    </row>
    <row r="4782" spans="3:13" customFormat="1" x14ac:dyDescent="0.25">
      <c r="C4782" s="9" t="s">
        <v>4525</v>
      </c>
      <c r="D4782" s="9" t="s">
        <v>2878</v>
      </c>
      <c r="E4782" s="10"/>
      <c r="F4782" s="6">
        <f>35*5</f>
        <v>175</v>
      </c>
      <c r="G4782" s="6">
        <f t="shared" si="240"/>
        <v>175</v>
      </c>
      <c r="H4782" s="6">
        <v>175</v>
      </c>
      <c r="I4782" s="26">
        <f t="shared" si="241"/>
        <v>0</v>
      </c>
      <c r="J4782" s="7" t="str">
        <f t="shared" si="242"/>
        <v>PAGADO</v>
      </c>
      <c r="K4782" s="59" t="s">
        <v>4505</v>
      </c>
      <c r="M4782" s="8"/>
    </row>
    <row r="4783" spans="3:13" customFormat="1" x14ac:dyDescent="0.25">
      <c r="C4783" s="9" t="s">
        <v>4512</v>
      </c>
      <c r="D4783" s="9" t="s">
        <v>941</v>
      </c>
      <c r="E4783" s="10"/>
      <c r="F4783" s="6">
        <v>120</v>
      </c>
      <c r="G4783" s="6">
        <f t="shared" si="240"/>
        <v>120</v>
      </c>
      <c r="H4783" s="6">
        <v>120</v>
      </c>
      <c r="I4783" s="26">
        <f t="shared" si="241"/>
        <v>0</v>
      </c>
      <c r="J4783" s="7" t="str">
        <f t="shared" si="242"/>
        <v>PAGADO</v>
      </c>
      <c r="K4783" s="59" t="s">
        <v>4505</v>
      </c>
      <c r="M4783" s="8"/>
    </row>
    <row r="4784" spans="3:13" customFormat="1" x14ac:dyDescent="0.25">
      <c r="C4784" s="9" t="s">
        <v>3465</v>
      </c>
      <c r="D4784" s="9" t="s">
        <v>3198</v>
      </c>
      <c r="E4784" s="10"/>
      <c r="F4784" s="6">
        <v>40</v>
      </c>
      <c r="G4784" s="6">
        <f t="shared" si="240"/>
        <v>40</v>
      </c>
      <c r="H4784" s="6">
        <v>40</v>
      </c>
      <c r="I4784" s="26">
        <f t="shared" si="241"/>
        <v>0</v>
      </c>
      <c r="J4784" s="7" t="str">
        <f t="shared" si="242"/>
        <v>PAGADO</v>
      </c>
      <c r="K4784" s="59" t="s">
        <v>4505</v>
      </c>
      <c r="M4784" s="8"/>
    </row>
    <row r="4785" spans="3:13" customFormat="1" x14ac:dyDescent="0.25">
      <c r="C4785" s="9" t="s">
        <v>4526</v>
      </c>
      <c r="D4785" s="9" t="s">
        <v>1360</v>
      </c>
      <c r="E4785" s="10"/>
      <c r="F4785" s="6">
        <v>60</v>
      </c>
      <c r="G4785" s="6">
        <f t="shared" si="240"/>
        <v>60</v>
      </c>
      <c r="H4785" s="6">
        <v>60</v>
      </c>
      <c r="I4785" s="26">
        <f t="shared" si="241"/>
        <v>0</v>
      </c>
      <c r="J4785" s="7" t="str">
        <f t="shared" si="242"/>
        <v>PAGADO</v>
      </c>
      <c r="K4785" s="9" t="s">
        <v>2639</v>
      </c>
      <c r="M4785" s="8"/>
    </row>
    <row r="4786" spans="3:13" customFormat="1" x14ac:dyDescent="0.25">
      <c r="C4786" s="9" t="s">
        <v>4527</v>
      </c>
      <c r="D4786" s="9" t="s">
        <v>3549</v>
      </c>
      <c r="E4786" s="10"/>
      <c r="F4786" s="6">
        <v>40</v>
      </c>
      <c r="G4786" s="6">
        <f t="shared" si="240"/>
        <v>40</v>
      </c>
      <c r="H4786" s="6">
        <v>40</v>
      </c>
      <c r="I4786" s="26">
        <f t="shared" si="241"/>
        <v>0</v>
      </c>
      <c r="J4786" s="7" t="str">
        <f t="shared" si="242"/>
        <v>PAGADO</v>
      </c>
      <c r="M4786" s="8"/>
    </row>
    <row r="4787" spans="3:13" customFormat="1" x14ac:dyDescent="0.25">
      <c r="C4787" s="9" t="s">
        <v>3464</v>
      </c>
      <c r="D4787" s="9" t="s">
        <v>4528</v>
      </c>
      <c r="E4787" s="10"/>
      <c r="F4787" s="6">
        <v>45</v>
      </c>
      <c r="G4787" s="6">
        <f t="shared" si="240"/>
        <v>45</v>
      </c>
      <c r="H4787" s="6">
        <v>45</v>
      </c>
      <c r="I4787" s="26">
        <f t="shared" si="241"/>
        <v>0</v>
      </c>
      <c r="J4787" s="7" t="str">
        <f t="shared" si="242"/>
        <v>PAGADO</v>
      </c>
      <c r="M4787" s="8"/>
    </row>
    <row r="4788" spans="3:13" customFormat="1" x14ac:dyDescent="0.25">
      <c r="C4788" s="9" t="s">
        <v>1052</v>
      </c>
      <c r="D4788" s="9" t="s">
        <v>4529</v>
      </c>
      <c r="E4788" s="10"/>
      <c r="F4788" s="6">
        <v>60</v>
      </c>
      <c r="G4788" s="6">
        <f t="shared" si="240"/>
        <v>60</v>
      </c>
      <c r="H4788" s="6">
        <v>60</v>
      </c>
      <c r="I4788" s="26">
        <f t="shared" si="241"/>
        <v>0</v>
      </c>
      <c r="J4788" s="7" t="str">
        <f t="shared" si="242"/>
        <v>PAGADO</v>
      </c>
      <c r="M4788" s="8"/>
    </row>
    <row r="4789" spans="3:13" customFormat="1" x14ac:dyDescent="0.25">
      <c r="C4789" s="9" t="s">
        <v>4530</v>
      </c>
      <c r="D4789" s="9" t="s">
        <v>2906</v>
      </c>
      <c r="E4789" s="10"/>
      <c r="F4789" s="6">
        <v>70</v>
      </c>
      <c r="G4789" s="6">
        <f t="shared" si="240"/>
        <v>70</v>
      </c>
      <c r="H4789" s="6">
        <v>70</v>
      </c>
      <c r="I4789" s="26">
        <f t="shared" si="241"/>
        <v>0</v>
      </c>
      <c r="J4789" s="7" t="str">
        <f t="shared" si="242"/>
        <v>PAGADO</v>
      </c>
      <c r="K4789" s="33" t="s">
        <v>4531</v>
      </c>
      <c r="M4789" s="8"/>
    </row>
    <row r="4790" spans="3:13" customFormat="1" x14ac:dyDescent="0.25">
      <c r="C4790" s="9" t="s">
        <v>4532</v>
      </c>
      <c r="D4790" s="9" t="s">
        <v>816</v>
      </c>
      <c r="E4790" s="10"/>
      <c r="F4790" s="6">
        <v>350</v>
      </c>
      <c r="G4790" s="6">
        <f t="shared" si="240"/>
        <v>350</v>
      </c>
      <c r="H4790" s="6">
        <v>350</v>
      </c>
      <c r="I4790" s="26">
        <f t="shared" si="241"/>
        <v>0</v>
      </c>
      <c r="J4790" s="7" t="str">
        <f t="shared" si="242"/>
        <v>PAGADO</v>
      </c>
      <c r="M4790" s="8"/>
    </row>
    <row r="4791" spans="3:13" customFormat="1" x14ac:dyDescent="0.25">
      <c r="C4791" s="9" t="s">
        <v>4533</v>
      </c>
      <c r="D4791" s="9" t="s">
        <v>3012</v>
      </c>
      <c r="E4791" s="10"/>
      <c r="F4791" s="6">
        <v>60</v>
      </c>
      <c r="G4791" s="6">
        <f t="shared" si="240"/>
        <v>60</v>
      </c>
      <c r="H4791" s="6">
        <v>60</v>
      </c>
      <c r="I4791" s="26">
        <f t="shared" si="241"/>
        <v>0</v>
      </c>
      <c r="J4791" s="7" t="str">
        <f t="shared" si="242"/>
        <v>PAGADO</v>
      </c>
      <c r="M4791" s="8"/>
    </row>
    <row r="4792" spans="3:13" customFormat="1" x14ac:dyDescent="0.25">
      <c r="C4792" s="9" t="s">
        <v>4534</v>
      </c>
      <c r="D4792" s="9" t="s">
        <v>3012</v>
      </c>
      <c r="E4792" s="10"/>
      <c r="F4792" s="6">
        <v>40</v>
      </c>
      <c r="G4792" s="6">
        <f t="shared" si="240"/>
        <v>40</v>
      </c>
      <c r="H4792" s="6">
        <v>40</v>
      </c>
      <c r="I4792" s="26">
        <f t="shared" si="241"/>
        <v>0</v>
      </c>
      <c r="J4792" s="7" t="str">
        <f t="shared" si="242"/>
        <v>PAGADO</v>
      </c>
      <c r="M4792" s="8"/>
    </row>
    <row r="4793" spans="3:13" customFormat="1" x14ac:dyDescent="0.25">
      <c r="C4793" s="9" t="s">
        <v>4535</v>
      </c>
      <c r="D4793" s="9" t="s">
        <v>3012</v>
      </c>
      <c r="E4793" s="10"/>
      <c r="F4793" s="6">
        <v>70</v>
      </c>
      <c r="G4793" s="6">
        <f t="shared" si="240"/>
        <v>70</v>
      </c>
      <c r="H4793" s="6">
        <v>70</v>
      </c>
      <c r="I4793" s="26">
        <f t="shared" si="241"/>
        <v>0</v>
      </c>
      <c r="J4793" s="7" t="str">
        <f t="shared" si="242"/>
        <v>PAGADO</v>
      </c>
      <c r="M4793" s="8"/>
    </row>
    <row r="4794" spans="3:13" customFormat="1" x14ac:dyDescent="0.25">
      <c r="C4794" s="9" t="s">
        <v>4536</v>
      </c>
      <c r="D4794" s="9" t="s">
        <v>45</v>
      </c>
      <c r="E4794" s="10"/>
      <c r="F4794" s="6">
        <v>30</v>
      </c>
      <c r="G4794" s="6">
        <f t="shared" si="240"/>
        <v>30</v>
      </c>
      <c r="H4794" s="6">
        <v>30</v>
      </c>
      <c r="I4794" s="26">
        <f t="shared" si="241"/>
        <v>0</v>
      </c>
      <c r="J4794" s="7" t="str">
        <f t="shared" si="242"/>
        <v>PAGADO</v>
      </c>
      <c r="K4794" s="59" t="s">
        <v>4505</v>
      </c>
      <c r="M4794" s="8"/>
    </row>
    <row r="4795" spans="3:13" customFormat="1" x14ac:dyDescent="0.25">
      <c r="C4795" s="9" t="s">
        <v>233</v>
      </c>
      <c r="D4795" s="9" t="s">
        <v>2548</v>
      </c>
      <c r="E4795" s="10"/>
      <c r="F4795" s="6">
        <v>75</v>
      </c>
      <c r="G4795" s="6">
        <f t="shared" si="240"/>
        <v>75</v>
      </c>
      <c r="H4795" s="6">
        <v>75</v>
      </c>
      <c r="I4795" s="26">
        <f t="shared" si="241"/>
        <v>0</v>
      </c>
      <c r="J4795" s="7" t="str">
        <f t="shared" si="242"/>
        <v>PAGADO</v>
      </c>
      <c r="M4795" s="8"/>
    </row>
    <row r="4796" spans="3:13" customFormat="1" x14ac:dyDescent="0.25">
      <c r="C4796" s="9" t="s">
        <v>2391</v>
      </c>
      <c r="D4796" s="9" t="s">
        <v>3376</v>
      </c>
      <c r="E4796" s="10"/>
      <c r="F4796" s="6">
        <v>60</v>
      </c>
      <c r="G4796" s="6">
        <f t="shared" si="240"/>
        <v>60</v>
      </c>
      <c r="H4796" s="6">
        <v>60</v>
      </c>
      <c r="I4796" s="26">
        <f t="shared" si="241"/>
        <v>0</v>
      </c>
      <c r="J4796" s="7" t="str">
        <f t="shared" si="242"/>
        <v>PAGADO</v>
      </c>
      <c r="K4796" s="59" t="s">
        <v>4505</v>
      </c>
      <c r="M4796" s="8"/>
    </row>
    <row r="4797" spans="3:13" customFormat="1" x14ac:dyDescent="0.25">
      <c r="C4797" s="9" t="s">
        <v>4537</v>
      </c>
      <c r="D4797" s="9" t="s">
        <v>1451</v>
      </c>
      <c r="E4797" s="10"/>
      <c r="F4797" s="6">
        <v>30</v>
      </c>
      <c r="G4797" s="6">
        <f t="shared" si="240"/>
        <v>30</v>
      </c>
      <c r="H4797" s="6">
        <v>30</v>
      </c>
      <c r="I4797" s="26">
        <f t="shared" si="241"/>
        <v>0</v>
      </c>
      <c r="J4797" s="7" t="str">
        <f t="shared" si="242"/>
        <v>PAGADO</v>
      </c>
      <c r="K4797" s="59" t="s">
        <v>4505</v>
      </c>
      <c r="M4797" s="8"/>
    </row>
    <row r="4798" spans="3:13" customFormat="1" x14ac:dyDescent="0.25">
      <c r="C4798" s="9" t="s">
        <v>4538</v>
      </c>
      <c r="D4798" s="9" t="s">
        <v>2363</v>
      </c>
      <c r="E4798" s="10"/>
      <c r="F4798" s="6">
        <v>55</v>
      </c>
      <c r="G4798" s="6">
        <f t="shared" ref="G4798:G4861" si="243">F4798-E4798</f>
        <v>55</v>
      </c>
      <c r="H4798" s="6">
        <v>55</v>
      </c>
      <c r="I4798" s="26">
        <f t="shared" si="241"/>
        <v>0</v>
      </c>
      <c r="J4798" s="7" t="str">
        <f t="shared" si="242"/>
        <v>PAGADO</v>
      </c>
      <c r="K4798" s="33" t="s">
        <v>693</v>
      </c>
      <c r="M4798" s="8"/>
    </row>
    <row r="4799" spans="3:13" customFormat="1" x14ac:dyDescent="0.25">
      <c r="C4799" s="9" t="s">
        <v>4539</v>
      </c>
      <c r="D4799" s="9" t="s">
        <v>2018</v>
      </c>
      <c r="E4799" s="10"/>
      <c r="F4799" s="6">
        <v>40</v>
      </c>
      <c r="G4799" s="6">
        <f t="shared" si="243"/>
        <v>40</v>
      </c>
      <c r="H4799" s="6">
        <v>40</v>
      </c>
      <c r="I4799" s="26">
        <f t="shared" si="241"/>
        <v>0</v>
      </c>
      <c r="J4799" s="7" t="str">
        <f t="shared" si="242"/>
        <v>PAGADO</v>
      </c>
      <c r="K4799" s="33" t="s">
        <v>4505</v>
      </c>
      <c r="M4799" s="8"/>
    </row>
    <row r="4800" spans="3:13" customFormat="1" x14ac:dyDescent="0.25">
      <c r="C4800" s="9" t="s">
        <v>4540</v>
      </c>
      <c r="D4800" t="s">
        <v>1523</v>
      </c>
      <c r="E4800" s="10"/>
      <c r="F4800" s="6">
        <v>60</v>
      </c>
      <c r="G4800" s="6">
        <f t="shared" si="243"/>
        <v>60</v>
      </c>
      <c r="H4800" s="6">
        <v>60</v>
      </c>
      <c r="I4800" s="26">
        <f t="shared" si="241"/>
        <v>0</v>
      </c>
      <c r="J4800" s="7" t="str">
        <f t="shared" si="242"/>
        <v>PAGADO</v>
      </c>
      <c r="K4800" s="33" t="s">
        <v>4505</v>
      </c>
      <c r="M4800" s="8"/>
    </row>
    <row r="4801" spans="3:13" customFormat="1" x14ac:dyDescent="0.25">
      <c r="C4801" s="9" t="s">
        <v>4541</v>
      </c>
      <c r="D4801" s="9" t="s">
        <v>3989</v>
      </c>
      <c r="E4801" s="10"/>
      <c r="F4801" s="6">
        <v>60</v>
      </c>
      <c r="G4801" s="6">
        <f t="shared" si="243"/>
        <v>60</v>
      </c>
      <c r="H4801" s="6">
        <v>60</v>
      </c>
      <c r="I4801" s="26">
        <f t="shared" si="241"/>
        <v>0</v>
      </c>
      <c r="J4801" s="7" t="str">
        <f t="shared" si="242"/>
        <v>PAGADO</v>
      </c>
      <c r="K4801" s="33" t="s">
        <v>4542</v>
      </c>
      <c r="M4801" s="8"/>
    </row>
    <row r="4802" spans="3:13" customFormat="1" x14ac:dyDescent="0.25">
      <c r="C4802" s="9" t="s">
        <v>4543</v>
      </c>
      <c r="D4802" s="9" t="s">
        <v>18</v>
      </c>
      <c r="E4802" s="10"/>
      <c r="F4802" s="6">
        <v>130</v>
      </c>
      <c r="G4802" s="6">
        <f t="shared" si="243"/>
        <v>130</v>
      </c>
      <c r="H4802" s="6">
        <f>65+50+15</f>
        <v>130</v>
      </c>
      <c r="I4802" s="26">
        <f t="shared" si="241"/>
        <v>0</v>
      </c>
      <c r="J4802" s="7" t="str">
        <f t="shared" si="242"/>
        <v>PAGADO</v>
      </c>
      <c r="M4802" s="8"/>
    </row>
    <row r="4803" spans="3:13" customFormat="1" x14ac:dyDescent="0.25">
      <c r="C4803" s="9" t="s">
        <v>4544</v>
      </c>
      <c r="D4803" s="9" t="s">
        <v>18</v>
      </c>
      <c r="E4803" s="10"/>
      <c r="F4803" s="6">
        <v>80</v>
      </c>
      <c r="G4803" s="6">
        <f t="shared" si="243"/>
        <v>80</v>
      </c>
      <c r="H4803" s="6">
        <f>20+50+10</f>
        <v>80</v>
      </c>
      <c r="I4803" s="26">
        <f t="shared" si="241"/>
        <v>0</v>
      </c>
      <c r="J4803" s="7" t="str">
        <f t="shared" si="242"/>
        <v>PAGADO</v>
      </c>
      <c r="M4803" s="8"/>
    </row>
    <row r="4804" spans="3:13" customFormat="1" x14ac:dyDescent="0.25">
      <c r="C4804" s="9" t="s">
        <v>4545</v>
      </c>
      <c r="D4804" s="9" t="s">
        <v>18</v>
      </c>
      <c r="E4804" s="10"/>
      <c r="F4804" s="6">
        <v>15</v>
      </c>
      <c r="G4804" s="6">
        <f t="shared" si="243"/>
        <v>15</v>
      </c>
      <c r="H4804" s="6">
        <v>15</v>
      </c>
      <c r="I4804" s="26">
        <f t="shared" si="241"/>
        <v>0</v>
      </c>
      <c r="J4804" s="7" t="str">
        <f t="shared" si="242"/>
        <v>PAGADO</v>
      </c>
      <c r="M4804" s="8"/>
    </row>
    <row r="4805" spans="3:13" customFormat="1" x14ac:dyDescent="0.25">
      <c r="C4805" s="9" t="s">
        <v>4546</v>
      </c>
      <c r="D4805" s="9" t="s">
        <v>3897</v>
      </c>
      <c r="E4805" s="10"/>
      <c r="F4805" s="6">
        <v>60</v>
      </c>
      <c r="G4805" s="6">
        <f t="shared" si="243"/>
        <v>60</v>
      </c>
      <c r="H4805" s="6">
        <v>60</v>
      </c>
      <c r="I4805" s="26">
        <f t="shared" si="241"/>
        <v>0</v>
      </c>
      <c r="J4805" s="7" t="str">
        <f t="shared" si="242"/>
        <v>PAGADO</v>
      </c>
      <c r="M4805" s="8"/>
    </row>
    <row r="4806" spans="3:13" customFormat="1" x14ac:dyDescent="0.25">
      <c r="C4806" s="9" t="s">
        <v>4547</v>
      </c>
      <c r="D4806" s="9" t="s">
        <v>2213</v>
      </c>
      <c r="E4806" s="10"/>
      <c r="F4806" s="6">
        <v>150</v>
      </c>
      <c r="G4806" s="6">
        <f t="shared" si="243"/>
        <v>150</v>
      </c>
      <c r="H4806" s="6">
        <v>150</v>
      </c>
      <c r="I4806" s="26">
        <f t="shared" si="241"/>
        <v>0</v>
      </c>
      <c r="J4806" s="7" t="str">
        <f t="shared" si="242"/>
        <v>PAGADO</v>
      </c>
      <c r="M4806" s="8"/>
    </row>
    <row r="4807" spans="3:13" customFormat="1" x14ac:dyDescent="0.25">
      <c r="C4807" s="9" t="s">
        <v>2881</v>
      </c>
      <c r="D4807" s="9" t="s">
        <v>2213</v>
      </c>
      <c r="E4807" s="10"/>
      <c r="F4807" s="6">
        <v>120</v>
      </c>
      <c r="G4807" s="6">
        <f t="shared" si="243"/>
        <v>120</v>
      </c>
      <c r="H4807" s="6">
        <v>120</v>
      </c>
      <c r="I4807" s="26">
        <f t="shared" si="241"/>
        <v>0</v>
      </c>
      <c r="J4807" s="7" t="str">
        <f t="shared" si="242"/>
        <v>PAGADO</v>
      </c>
      <c r="M4807" s="8"/>
    </row>
    <row r="4808" spans="3:13" customFormat="1" x14ac:dyDescent="0.25">
      <c r="C4808" s="9" t="s">
        <v>4548</v>
      </c>
      <c r="D4808" s="9" t="s">
        <v>2213</v>
      </c>
      <c r="E4808" s="10"/>
      <c r="F4808" s="6">
        <v>80</v>
      </c>
      <c r="G4808" s="6">
        <f t="shared" si="243"/>
        <v>80</v>
      </c>
      <c r="H4808" s="6">
        <v>80</v>
      </c>
      <c r="I4808" s="26">
        <f t="shared" si="241"/>
        <v>0</v>
      </c>
      <c r="J4808" s="7" t="str">
        <f t="shared" si="242"/>
        <v>PAGADO</v>
      </c>
      <c r="M4808" s="8"/>
    </row>
    <row r="4809" spans="3:13" customFormat="1" x14ac:dyDescent="0.25">
      <c r="C4809" s="9" t="s">
        <v>4549</v>
      </c>
      <c r="D4809" s="9" t="s">
        <v>2213</v>
      </c>
      <c r="E4809" s="10"/>
      <c r="F4809" s="6">
        <v>65</v>
      </c>
      <c r="G4809" s="6">
        <f t="shared" si="243"/>
        <v>65</v>
      </c>
      <c r="H4809" s="6">
        <v>65</v>
      </c>
      <c r="I4809" s="26">
        <f t="shared" si="241"/>
        <v>0</v>
      </c>
      <c r="J4809" s="7" t="str">
        <f t="shared" si="242"/>
        <v>PAGADO</v>
      </c>
      <c r="M4809" s="8"/>
    </row>
    <row r="4810" spans="3:13" customFormat="1" x14ac:dyDescent="0.25">
      <c r="C4810" s="9" t="s">
        <v>4550</v>
      </c>
      <c r="D4810" s="9" t="s">
        <v>4551</v>
      </c>
      <c r="E4810" s="10"/>
      <c r="F4810" s="6">
        <v>65</v>
      </c>
      <c r="G4810" s="6">
        <f t="shared" si="243"/>
        <v>65</v>
      </c>
      <c r="H4810" s="6">
        <v>65</v>
      </c>
      <c r="I4810" s="26">
        <f t="shared" si="241"/>
        <v>0</v>
      </c>
      <c r="J4810" s="7" t="str">
        <f t="shared" si="242"/>
        <v>PAGADO</v>
      </c>
      <c r="M4810" s="8"/>
    </row>
    <row r="4811" spans="3:13" customFormat="1" x14ac:dyDescent="0.25">
      <c r="C4811" t="s">
        <v>4552</v>
      </c>
      <c r="D4811" s="9" t="s">
        <v>3865</v>
      </c>
      <c r="E4811" s="10"/>
      <c r="F4811" s="6">
        <v>140</v>
      </c>
      <c r="G4811" s="6">
        <f t="shared" si="243"/>
        <v>140</v>
      </c>
      <c r="H4811" s="6">
        <f>80+60</f>
        <v>140</v>
      </c>
      <c r="I4811" s="26">
        <f t="shared" ref="I4811:I4874" si="244">F4811-H4811</f>
        <v>0</v>
      </c>
      <c r="J4811" s="7" t="str">
        <f t="shared" si="242"/>
        <v>PAGADO</v>
      </c>
      <c r="K4811" s="28" t="s">
        <v>2712</v>
      </c>
      <c r="M4811" s="8"/>
    </row>
    <row r="4812" spans="3:13" customFormat="1" x14ac:dyDescent="0.25">
      <c r="C4812" s="9" t="s">
        <v>4553</v>
      </c>
      <c r="D4812" s="9" t="s">
        <v>2906</v>
      </c>
      <c r="E4812" s="10"/>
      <c r="F4812" s="6">
        <v>10</v>
      </c>
      <c r="G4812" s="6">
        <f t="shared" si="243"/>
        <v>10</v>
      </c>
      <c r="H4812" s="6">
        <v>10</v>
      </c>
      <c r="I4812" s="26">
        <f t="shared" si="244"/>
        <v>0</v>
      </c>
      <c r="J4812" s="7" t="str">
        <f t="shared" si="242"/>
        <v>PAGADO</v>
      </c>
      <c r="K4812" s="33" t="s">
        <v>4531</v>
      </c>
      <c r="M4812" s="8"/>
    </row>
    <row r="4813" spans="3:13" customFormat="1" x14ac:dyDescent="0.25">
      <c r="C4813" s="9" t="s">
        <v>4554</v>
      </c>
      <c r="D4813" s="9" t="s">
        <v>2906</v>
      </c>
      <c r="E4813" s="10"/>
      <c r="F4813" s="6">
        <v>15</v>
      </c>
      <c r="G4813" s="6">
        <f t="shared" si="243"/>
        <v>15</v>
      </c>
      <c r="H4813" s="6">
        <v>15</v>
      </c>
      <c r="I4813" s="26">
        <f t="shared" si="244"/>
        <v>0</v>
      </c>
      <c r="J4813" s="7" t="str">
        <f t="shared" si="242"/>
        <v>PAGADO</v>
      </c>
      <c r="K4813" s="33" t="s">
        <v>4531</v>
      </c>
      <c r="M4813" s="8"/>
    </row>
    <row r="4814" spans="3:13" customFormat="1" x14ac:dyDescent="0.25">
      <c r="C4814" s="9" t="s">
        <v>4555</v>
      </c>
      <c r="D4814" t="s">
        <v>4033</v>
      </c>
      <c r="E4814" s="10"/>
      <c r="F4814" s="6">
        <v>65</v>
      </c>
      <c r="G4814" s="6">
        <f t="shared" si="243"/>
        <v>65</v>
      </c>
      <c r="H4814" s="6">
        <v>65</v>
      </c>
      <c r="I4814" s="26">
        <f t="shared" si="244"/>
        <v>0</v>
      </c>
      <c r="J4814" s="7" t="str">
        <f t="shared" si="242"/>
        <v>PAGADO</v>
      </c>
      <c r="K4814" t="s">
        <v>693</v>
      </c>
      <c r="M4814" s="8"/>
    </row>
    <row r="4815" spans="3:13" customFormat="1" x14ac:dyDescent="0.25">
      <c r="C4815" s="9" t="s">
        <v>4556</v>
      </c>
      <c r="D4815" s="9" t="s">
        <v>1535</v>
      </c>
      <c r="E4815" s="10"/>
      <c r="F4815" s="6">
        <v>200</v>
      </c>
      <c r="G4815" s="6">
        <f t="shared" si="243"/>
        <v>200</v>
      </c>
      <c r="H4815" s="6">
        <v>200</v>
      </c>
      <c r="I4815" s="26">
        <f t="shared" si="244"/>
        <v>0</v>
      </c>
      <c r="J4815" s="7" t="str">
        <f t="shared" ref="J4815:J4878" si="245">IF(I4815&gt;0,"DEBE","PAGADO")</f>
        <v>PAGADO</v>
      </c>
      <c r="M4815" s="8"/>
    </row>
    <row r="4816" spans="3:13" customFormat="1" x14ac:dyDescent="0.25">
      <c r="C4816" s="9" t="s">
        <v>4557</v>
      </c>
      <c r="D4816" s="9" t="s">
        <v>3352</v>
      </c>
      <c r="E4816" s="10"/>
      <c r="F4816" s="6">
        <v>60</v>
      </c>
      <c r="G4816" s="6">
        <f t="shared" si="243"/>
        <v>60</v>
      </c>
      <c r="H4816" s="6">
        <v>60</v>
      </c>
      <c r="I4816" s="26">
        <f t="shared" si="244"/>
        <v>0</v>
      </c>
      <c r="J4816" s="7" t="str">
        <f t="shared" si="245"/>
        <v>PAGADO</v>
      </c>
      <c r="M4816" s="8"/>
    </row>
    <row r="4817" spans="3:13" customFormat="1" x14ac:dyDescent="0.25">
      <c r="C4817" s="9" t="s">
        <v>4558</v>
      </c>
      <c r="D4817" s="9" t="s">
        <v>3352</v>
      </c>
      <c r="E4817" s="10"/>
      <c r="F4817" s="6">
        <v>100</v>
      </c>
      <c r="G4817" s="6">
        <f t="shared" si="243"/>
        <v>100</v>
      </c>
      <c r="H4817" s="6">
        <v>100</v>
      </c>
      <c r="I4817" s="26">
        <f t="shared" si="244"/>
        <v>0</v>
      </c>
      <c r="J4817" s="7" t="str">
        <f t="shared" si="245"/>
        <v>PAGADO</v>
      </c>
      <c r="M4817" s="8"/>
    </row>
    <row r="4818" spans="3:13" customFormat="1" x14ac:dyDescent="0.25">
      <c r="C4818" s="9" t="s">
        <v>4559</v>
      </c>
      <c r="D4818" s="9" t="s">
        <v>3352</v>
      </c>
      <c r="E4818" s="10"/>
      <c r="F4818" s="6">
        <v>60</v>
      </c>
      <c r="G4818" s="6">
        <f t="shared" si="243"/>
        <v>60</v>
      </c>
      <c r="H4818" s="6">
        <v>60</v>
      </c>
      <c r="I4818" s="26">
        <f t="shared" si="244"/>
        <v>0</v>
      </c>
      <c r="J4818" s="7" t="str">
        <f t="shared" si="245"/>
        <v>PAGADO</v>
      </c>
      <c r="M4818" s="8"/>
    </row>
    <row r="4819" spans="3:13" customFormat="1" x14ac:dyDescent="0.25">
      <c r="C4819" s="9" t="s">
        <v>4560</v>
      </c>
      <c r="D4819" s="9" t="s">
        <v>3352</v>
      </c>
      <c r="E4819" s="10"/>
      <c r="F4819" s="6">
        <v>60</v>
      </c>
      <c r="G4819" s="6">
        <f t="shared" si="243"/>
        <v>60</v>
      </c>
      <c r="H4819" s="6">
        <v>60</v>
      </c>
      <c r="I4819" s="26">
        <f t="shared" si="244"/>
        <v>0</v>
      </c>
      <c r="J4819" s="7" t="str">
        <f t="shared" si="245"/>
        <v>PAGADO</v>
      </c>
      <c r="M4819" s="8"/>
    </row>
    <row r="4820" spans="3:13" customFormat="1" x14ac:dyDescent="0.25">
      <c r="C4820" s="9" t="s">
        <v>4561</v>
      </c>
      <c r="D4820" s="9" t="s">
        <v>3352</v>
      </c>
      <c r="E4820" s="10"/>
      <c r="F4820" s="6">
        <v>60</v>
      </c>
      <c r="G4820" s="6">
        <f t="shared" si="243"/>
        <v>60</v>
      </c>
      <c r="H4820" s="6">
        <v>60</v>
      </c>
      <c r="I4820" s="26">
        <f t="shared" si="244"/>
        <v>0</v>
      </c>
      <c r="J4820" s="7" t="str">
        <f t="shared" si="245"/>
        <v>PAGADO</v>
      </c>
      <c r="M4820" s="8"/>
    </row>
    <row r="4821" spans="3:13" customFormat="1" x14ac:dyDescent="0.25">
      <c r="C4821" s="9" t="s">
        <v>3631</v>
      </c>
      <c r="D4821" s="9" t="s">
        <v>3352</v>
      </c>
      <c r="E4821" s="10"/>
      <c r="F4821" s="6">
        <v>50</v>
      </c>
      <c r="G4821" s="6">
        <f t="shared" si="243"/>
        <v>50</v>
      </c>
      <c r="H4821" s="6">
        <v>50</v>
      </c>
      <c r="I4821" s="26">
        <f t="shared" si="244"/>
        <v>0</v>
      </c>
      <c r="J4821" s="7" t="str">
        <f t="shared" si="245"/>
        <v>PAGADO</v>
      </c>
      <c r="M4821" s="8"/>
    </row>
    <row r="4822" spans="3:13" customFormat="1" x14ac:dyDescent="0.25">
      <c r="C4822" s="9" t="s">
        <v>4562</v>
      </c>
      <c r="D4822" s="9" t="s">
        <v>3352</v>
      </c>
      <c r="E4822" s="10"/>
      <c r="F4822" s="6">
        <v>50</v>
      </c>
      <c r="G4822" s="6">
        <f t="shared" si="243"/>
        <v>50</v>
      </c>
      <c r="H4822" s="6">
        <v>50</v>
      </c>
      <c r="I4822" s="26">
        <f t="shared" si="244"/>
        <v>0</v>
      </c>
      <c r="J4822" s="7" t="str">
        <f t="shared" si="245"/>
        <v>PAGADO</v>
      </c>
      <c r="M4822" s="8"/>
    </row>
    <row r="4823" spans="3:13" customFormat="1" x14ac:dyDescent="0.25">
      <c r="C4823" s="9" t="s">
        <v>4563</v>
      </c>
      <c r="D4823" s="9" t="s">
        <v>3352</v>
      </c>
      <c r="E4823" s="10"/>
      <c r="F4823" s="6">
        <v>55</v>
      </c>
      <c r="G4823" s="6">
        <f t="shared" si="243"/>
        <v>55</v>
      </c>
      <c r="H4823" s="6">
        <v>55</v>
      </c>
      <c r="I4823" s="26">
        <f t="shared" si="244"/>
        <v>0</v>
      </c>
      <c r="J4823" s="7" t="str">
        <f t="shared" si="245"/>
        <v>PAGADO</v>
      </c>
      <c r="M4823" s="8"/>
    </row>
    <row r="4824" spans="3:13" customFormat="1" x14ac:dyDescent="0.25">
      <c r="C4824" s="9" t="s">
        <v>4564</v>
      </c>
      <c r="D4824" s="9" t="s">
        <v>3352</v>
      </c>
      <c r="E4824" s="10"/>
      <c r="F4824" s="6">
        <v>90</v>
      </c>
      <c r="G4824" s="6">
        <f t="shared" si="243"/>
        <v>90</v>
      </c>
      <c r="H4824" s="6">
        <v>90</v>
      </c>
      <c r="I4824" s="16">
        <f t="shared" si="244"/>
        <v>0</v>
      </c>
      <c r="J4824" s="7" t="str">
        <f t="shared" si="245"/>
        <v>PAGADO</v>
      </c>
      <c r="K4824" s="33" t="s">
        <v>2639</v>
      </c>
      <c r="M4824" s="8"/>
    </row>
    <row r="4825" spans="3:13" customFormat="1" x14ac:dyDescent="0.25">
      <c r="C4825" s="9" t="s">
        <v>4565</v>
      </c>
      <c r="D4825" s="9" t="s">
        <v>3352</v>
      </c>
      <c r="E4825" s="10"/>
      <c r="F4825" s="6">
        <v>80</v>
      </c>
      <c r="G4825" s="6">
        <f t="shared" si="243"/>
        <v>80</v>
      </c>
      <c r="H4825" s="6">
        <v>80</v>
      </c>
      <c r="I4825" s="16">
        <f t="shared" si="244"/>
        <v>0</v>
      </c>
      <c r="J4825" s="7" t="str">
        <f t="shared" si="245"/>
        <v>PAGADO</v>
      </c>
      <c r="K4825" s="33" t="s">
        <v>2639</v>
      </c>
      <c r="M4825" s="8"/>
    </row>
    <row r="4826" spans="3:13" customFormat="1" x14ac:dyDescent="0.25">
      <c r="C4826" s="9" t="s">
        <v>4566</v>
      </c>
      <c r="D4826" s="9" t="s">
        <v>3352</v>
      </c>
      <c r="E4826" s="10"/>
      <c r="F4826" s="6">
        <v>50</v>
      </c>
      <c r="G4826" s="6">
        <f t="shared" si="243"/>
        <v>50</v>
      </c>
      <c r="H4826" s="6">
        <v>50</v>
      </c>
      <c r="I4826" s="26">
        <f t="shared" si="244"/>
        <v>0</v>
      </c>
      <c r="J4826" s="7" t="str">
        <f t="shared" si="245"/>
        <v>PAGADO</v>
      </c>
      <c r="M4826" s="8"/>
    </row>
    <row r="4827" spans="3:13" customFormat="1" x14ac:dyDescent="0.25">
      <c r="C4827" s="9" t="s">
        <v>4567</v>
      </c>
      <c r="D4827" s="9" t="s">
        <v>4568</v>
      </c>
      <c r="E4827" s="10"/>
      <c r="F4827" s="6">
        <v>200</v>
      </c>
      <c r="G4827" s="6">
        <f t="shared" si="243"/>
        <v>200</v>
      </c>
      <c r="H4827" s="6">
        <v>200</v>
      </c>
      <c r="I4827" s="26">
        <f t="shared" si="244"/>
        <v>0</v>
      </c>
      <c r="J4827" s="7" t="str">
        <f t="shared" si="245"/>
        <v>PAGADO</v>
      </c>
      <c r="M4827" s="8"/>
    </row>
    <row r="4828" spans="3:13" customFormat="1" x14ac:dyDescent="0.25">
      <c r="C4828" s="9" t="s">
        <v>4569</v>
      </c>
      <c r="D4828" s="9" t="s">
        <v>4570</v>
      </c>
      <c r="E4828" s="10"/>
      <c r="F4828" s="6">
        <v>50</v>
      </c>
      <c r="G4828" s="6">
        <f t="shared" si="243"/>
        <v>50</v>
      </c>
      <c r="H4828" s="6">
        <v>50</v>
      </c>
      <c r="I4828" s="26">
        <f t="shared" si="244"/>
        <v>0</v>
      </c>
      <c r="J4828" s="7" t="str">
        <f t="shared" si="245"/>
        <v>PAGADO</v>
      </c>
      <c r="M4828" s="8"/>
    </row>
    <row r="4829" spans="3:13" customFormat="1" x14ac:dyDescent="0.25">
      <c r="C4829" s="9" t="s">
        <v>4571</v>
      </c>
      <c r="D4829" t="s">
        <v>4033</v>
      </c>
      <c r="E4829" s="10"/>
      <c r="F4829" s="6">
        <v>160</v>
      </c>
      <c r="G4829" s="6">
        <f t="shared" si="243"/>
        <v>160</v>
      </c>
      <c r="H4829" s="6">
        <v>160</v>
      </c>
      <c r="I4829" s="26">
        <f t="shared" si="244"/>
        <v>0</v>
      </c>
      <c r="J4829" s="7" t="str">
        <f t="shared" si="245"/>
        <v>PAGADO</v>
      </c>
      <c r="K4829" t="s">
        <v>693</v>
      </c>
      <c r="M4829" s="8"/>
    </row>
    <row r="4830" spans="3:13" customFormat="1" x14ac:dyDescent="0.25">
      <c r="C4830" s="9" t="s">
        <v>4572</v>
      </c>
      <c r="D4830" t="s">
        <v>4573</v>
      </c>
      <c r="E4830" s="10"/>
      <c r="F4830" s="6">
        <v>60</v>
      </c>
      <c r="G4830" s="6">
        <f t="shared" si="243"/>
        <v>60</v>
      </c>
      <c r="H4830" s="6">
        <v>60</v>
      </c>
      <c r="I4830" s="26">
        <f t="shared" si="244"/>
        <v>0</v>
      </c>
      <c r="J4830" s="7" t="str">
        <f t="shared" si="245"/>
        <v>PAGADO</v>
      </c>
      <c r="M4830" s="8"/>
    </row>
    <row r="4831" spans="3:13" customFormat="1" x14ac:dyDescent="0.25">
      <c r="C4831" s="9" t="s">
        <v>2648</v>
      </c>
      <c r="D4831" t="s">
        <v>1849</v>
      </c>
      <c r="E4831" s="10"/>
      <c r="F4831" s="6">
        <v>70</v>
      </c>
      <c r="G4831" s="6">
        <f t="shared" si="243"/>
        <v>70</v>
      </c>
      <c r="H4831" s="6">
        <v>70</v>
      </c>
      <c r="I4831" s="26">
        <f t="shared" si="244"/>
        <v>0</v>
      </c>
      <c r="J4831" s="7" t="str">
        <f t="shared" si="245"/>
        <v>PAGADO</v>
      </c>
      <c r="K4831" s="9" t="s">
        <v>2714</v>
      </c>
      <c r="M4831" s="8"/>
    </row>
    <row r="4832" spans="3:13" customFormat="1" x14ac:dyDescent="0.25">
      <c r="C4832" s="9" t="s">
        <v>4574</v>
      </c>
      <c r="D4832" s="9" t="s">
        <v>3029</v>
      </c>
      <c r="E4832" s="10"/>
      <c r="F4832" s="6">
        <v>20</v>
      </c>
      <c r="G4832" s="6">
        <f t="shared" si="243"/>
        <v>20</v>
      </c>
      <c r="H4832" s="6">
        <v>20</v>
      </c>
      <c r="I4832" s="26">
        <f t="shared" si="244"/>
        <v>0</v>
      </c>
      <c r="J4832" s="7" t="str">
        <f t="shared" si="245"/>
        <v>PAGADO</v>
      </c>
      <c r="M4832" s="8"/>
    </row>
    <row r="4833" spans="3:13" customFormat="1" x14ac:dyDescent="0.25">
      <c r="C4833" s="9" t="s">
        <v>691</v>
      </c>
      <c r="D4833" s="9" t="s">
        <v>2903</v>
      </c>
      <c r="E4833" s="10"/>
      <c r="F4833" s="6">
        <v>60</v>
      </c>
      <c r="G4833" s="6">
        <f t="shared" si="243"/>
        <v>60</v>
      </c>
      <c r="H4833" s="6">
        <v>60</v>
      </c>
      <c r="I4833" s="26">
        <f t="shared" si="244"/>
        <v>0</v>
      </c>
      <c r="J4833" s="7" t="str">
        <f t="shared" si="245"/>
        <v>PAGADO</v>
      </c>
      <c r="M4833" s="8"/>
    </row>
    <row r="4834" spans="3:13" customFormat="1" x14ac:dyDescent="0.25">
      <c r="C4834" s="9" t="s">
        <v>4575</v>
      </c>
      <c r="D4834" s="9" t="s">
        <v>3370</v>
      </c>
      <c r="E4834" s="10"/>
      <c r="F4834" s="6">
        <v>70</v>
      </c>
      <c r="G4834" s="6">
        <f t="shared" si="243"/>
        <v>70</v>
      </c>
      <c r="H4834" s="6">
        <v>70</v>
      </c>
      <c r="I4834" s="26">
        <f t="shared" si="244"/>
        <v>0</v>
      </c>
      <c r="J4834" s="7" t="str">
        <f t="shared" si="245"/>
        <v>PAGADO</v>
      </c>
      <c r="K4834" s="9" t="s">
        <v>2639</v>
      </c>
      <c r="M4834" s="8"/>
    </row>
    <row r="4835" spans="3:13" customFormat="1" x14ac:dyDescent="0.25">
      <c r="C4835" s="9" t="s">
        <v>4576</v>
      </c>
      <c r="D4835" t="s">
        <v>2930</v>
      </c>
      <c r="E4835" s="10"/>
      <c r="F4835" s="6">
        <v>65</v>
      </c>
      <c r="G4835" s="6">
        <f t="shared" si="243"/>
        <v>65</v>
      </c>
      <c r="H4835" s="6">
        <f>35+30</f>
        <v>65</v>
      </c>
      <c r="I4835" s="26">
        <f t="shared" si="244"/>
        <v>0</v>
      </c>
      <c r="J4835" s="7" t="str">
        <f t="shared" si="245"/>
        <v>PAGADO</v>
      </c>
      <c r="K4835" s="9" t="s">
        <v>3506</v>
      </c>
      <c r="M4835" s="8"/>
    </row>
    <row r="4836" spans="3:13" customFormat="1" x14ac:dyDescent="0.25">
      <c r="C4836" s="9" t="s">
        <v>4304</v>
      </c>
      <c r="D4836" s="9" t="s">
        <v>4577</v>
      </c>
      <c r="E4836" s="10"/>
      <c r="F4836" s="6">
        <v>60</v>
      </c>
      <c r="G4836" s="6">
        <f t="shared" si="243"/>
        <v>60</v>
      </c>
      <c r="H4836" s="6">
        <v>60</v>
      </c>
      <c r="I4836" s="26">
        <f t="shared" si="244"/>
        <v>0</v>
      </c>
      <c r="J4836" s="7" t="str">
        <f t="shared" si="245"/>
        <v>PAGADO</v>
      </c>
      <c r="M4836" s="8"/>
    </row>
    <row r="4837" spans="3:13" customFormat="1" x14ac:dyDescent="0.25">
      <c r="C4837" s="9" t="s">
        <v>4578</v>
      </c>
      <c r="D4837" s="9" t="s">
        <v>4579</v>
      </c>
      <c r="E4837" s="10"/>
      <c r="F4837" s="6">
        <v>160</v>
      </c>
      <c r="G4837" s="6">
        <f t="shared" si="243"/>
        <v>160</v>
      </c>
      <c r="H4837" s="6">
        <v>160</v>
      </c>
      <c r="I4837" s="26">
        <f t="shared" si="244"/>
        <v>0</v>
      </c>
      <c r="J4837" s="7" t="str">
        <f t="shared" si="245"/>
        <v>PAGADO</v>
      </c>
      <c r="M4837" s="8"/>
    </row>
    <row r="4838" spans="3:13" customFormat="1" x14ac:dyDescent="0.25">
      <c r="C4838" s="14" t="s">
        <v>4580</v>
      </c>
      <c r="D4838" s="22" t="s">
        <v>3213</v>
      </c>
      <c r="E4838" s="15"/>
      <c r="F4838" s="16">
        <v>340</v>
      </c>
      <c r="G4838" s="16">
        <f t="shared" si="243"/>
        <v>340</v>
      </c>
      <c r="H4838" s="16">
        <v>340</v>
      </c>
      <c r="I4838" s="83">
        <f t="shared" si="244"/>
        <v>0</v>
      </c>
      <c r="J4838" s="17" t="str">
        <f t="shared" si="245"/>
        <v>PAGADO</v>
      </c>
      <c r="K4838" s="18" t="s">
        <v>2712</v>
      </c>
      <c r="M4838" s="82"/>
    </row>
    <row r="4839" spans="3:13" customFormat="1" x14ac:dyDescent="0.25">
      <c r="C4839" s="9" t="s">
        <v>4581</v>
      </c>
      <c r="D4839" s="9" t="s">
        <v>2878</v>
      </c>
      <c r="E4839" s="10"/>
      <c r="F4839" s="6">
        <v>60</v>
      </c>
      <c r="G4839" s="6">
        <f t="shared" si="243"/>
        <v>60</v>
      </c>
      <c r="H4839" s="6">
        <v>60</v>
      </c>
      <c r="I4839" s="26">
        <f t="shared" si="244"/>
        <v>0</v>
      </c>
      <c r="J4839" s="7" t="str">
        <f t="shared" si="245"/>
        <v>PAGADO</v>
      </c>
      <c r="M4839" s="8"/>
    </row>
    <row r="4840" spans="3:13" customFormat="1" x14ac:dyDescent="0.25">
      <c r="C4840" s="9" t="s">
        <v>4582</v>
      </c>
      <c r="D4840" s="9" t="s">
        <v>597</v>
      </c>
      <c r="E4840" s="10"/>
      <c r="F4840" s="6">
        <v>25</v>
      </c>
      <c r="G4840" s="6">
        <f t="shared" si="243"/>
        <v>25</v>
      </c>
      <c r="H4840" s="6">
        <f>10+10+5</f>
        <v>25</v>
      </c>
      <c r="I4840" s="16">
        <f t="shared" si="244"/>
        <v>0</v>
      </c>
      <c r="J4840" s="7" t="str">
        <f t="shared" si="245"/>
        <v>PAGADO</v>
      </c>
      <c r="K4840" s="33" t="s">
        <v>2639</v>
      </c>
      <c r="M4840" s="8"/>
    </row>
    <row r="4841" spans="3:13" customFormat="1" x14ac:dyDescent="0.25">
      <c r="C4841" s="9" t="s">
        <v>4583</v>
      </c>
      <c r="D4841" s="9" t="s">
        <v>597</v>
      </c>
      <c r="E4841" s="10"/>
      <c r="F4841" s="6">
        <v>80</v>
      </c>
      <c r="G4841" s="6">
        <f t="shared" si="243"/>
        <v>80</v>
      </c>
      <c r="H4841" s="6">
        <f>40+40</f>
        <v>80</v>
      </c>
      <c r="I4841" s="26">
        <f t="shared" si="244"/>
        <v>0</v>
      </c>
      <c r="J4841" s="7" t="str">
        <f t="shared" si="245"/>
        <v>PAGADO</v>
      </c>
      <c r="K4841" s="33" t="s">
        <v>2712</v>
      </c>
      <c r="M4841" s="8"/>
    </row>
    <row r="4842" spans="3:13" customFormat="1" x14ac:dyDescent="0.25">
      <c r="C4842" s="9" t="s">
        <v>1777</v>
      </c>
      <c r="D4842" t="s">
        <v>80</v>
      </c>
      <c r="E4842" s="10"/>
      <c r="F4842" s="6">
        <v>60</v>
      </c>
      <c r="G4842" s="6">
        <f t="shared" si="243"/>
        <v>60</v>
      </c>
      <c r="H4842" s="6">
        <v>60</v>
      </c>
      <c r="I4842" s="26">
        <f t="shared" si="244"/>
        <v>0</v>
      </c>
      <c r="J4842" s="7" t="str">
        <f t="shared" si="245"/>
        <v>PAGADO</v>
      </c>
      <c r="M4842" s="8"/>
    </row>
    <row r="4843" spans="3:13" customFormat="1" x14ac:dyDescent="0.25">
      <c r="C4843" s="9" t="s">
        <v>1026</v>
      </c>
      <c r="D4843" t="s">
        <v>80</v>
      </c>
      <c r="E4843" s="10"/>
      <c r="F4843" s="6">
        <v>60</v>
      </c>
      <c r="G4843" s="6">
        <f t="shared" si="243"/>
        <v>60</v>
      </c>
      <c r="H4843" s="6">
        <v>60</v>
      </c>
      <c r="I4843" s="26">
        <f t="shared" si="244"/>
        <v>0</v>
      </c>
      <c r="J4843" s="7" t="str">
        <f t="shared" si="245"/>
        <v>PAGADO</v>
      </c>
      <c r="M4843" s="8"/>
    </row>
    <row r="4844" spans="3:13" customFormat="1" x14ac:dyDescent="0.25">
      <c r="C4844" s="9" t="s">
        <v>3627</v>
      </c>
      <c r="D4844" s="9" t="s">
        <v>4454</v>
      </c>
      <c r="E4844" s="10"/>
      <c r="F4844" s="6">
        <v>35</v>
      </c>
      <c r="G4844" s="6">
        <f t="shared" si="243"/>
        <v>35</v>
      </c>
      <c r="H4844" s="6">
        <v>35</v>
      </c>
      <c r="I4844" s="26">
        <f t="shared" si="244"/>
        <v>0</v>
      </c>
      <c r="J4844" s="7" t="str">
        <f t="shared" si="245"/>
        <v>PAGADO</v>
      </c>
      <c r="M4844" s="8"/>
    </row>
    <row r="4845" spans="3:13" customFormat="1" x14ac:dyDescent="0.25">
      <c r="C4845" s="9" t="s">
        <v>4584</v>
      </c>
      <c r="D4845" s="9" t="s">
        <v>3463</v>
      </c>
      <c r="E4845" s="10"/>
      <c r="F4845" s="6">
        <v>60</v>
      </c>
      <c r="G4845" s="6">
        <f t="shared" si="243"/>
        <v>60</v>
      </c>
      <c r="H4845" s="6">
        <f>30+30</f>
        <v>60</v>
      </c>
      <c r="I4845" s="26">
        <f t="shared" si="244"/>
        <v>0</v>
      </c>
      <c r="J4845" s="7" t="str">
        <f t="shared" si="245"/>
        <v>PAGADO</v>
      </c>
      <c r="M4845" s="8"/>
    </row>
    <row r="4846" spans="3:13" customFormat="1" x14ac:dyDescent="0.25">
      <c r="C4846" s="9" t="s">
        <v>4527</v>
      </c>
      <c r="D4846" s="9" t="s">
        <v>4273</v>
      </c>
      <c r="E4846" s="10"/>
      <c r="F4846" s="6">
        <v>40</v>
      </c>
      <c r="G4846" s="6">
        <f t="shared" si="243"/>
        <v>40</v>
      </c>
      <c r="H4846" s="6">
        <v>40</v>
      </c>
      <c r="I4846" s="26">
        <f t="shared" si="244"/>
        <v>0</v>
      </c>
      <c r="J4846" s="7" t="str">
        <f t="shared" si="245"/>
        <v>PAGADO</v>
      </c>
      <c r="M4846" s="8"/>
    </row>
    <row r="4847" spans="3:13" customFormat="1" x14ac:dyDescent="0.25">
      <c r="C4847" s="9" t="s">
        <v>4585</v>
      </c>
      <c r="D4847" s="9" t="s">
        <v>3742</v>
      </c>
      <c r="E4847" s="10"/>
      <c r="F4847" s="6">
        <v>70</v>
      </c>
      <c r="G4847" s="6">
        <f t="shared" si="243"/>
        <v>70</v>
      </c>
      <c r="H4847" s="6">
        <v>70</v>
      </c>
      <c r="I4847" s="26">
        <f t="shared" si="244"/>
        <v>0</v>
      </c>
      <c r="J4847" s="7" t="str">
        <f t="shared" si="245"/>
        <v>PAGADO</v>
      </c>
      <c r="K4847" s="33" t="s">
        <v>2714</v>
      </c>
      <c r="M4847" s="8"/>
    </row>
    <row r="4848" spans="3:13" customFormat="1" x14ac:dyDescent="0.25">
      <c r="C4848" s="41" t="s">
        <v>4586</v>
      </c>
      <c r="D4848" s="41" t="s">
        <v>4587</v>
      </c>
      <c r="E4848" s="87"/>
      <c r="F4848" s="58">
        <v>160</v>
      </c>
      <c r="G4848" s="58">
        <f t="shared" si="243"/>
        <v>160</v>
      </c>
      <c r="H4848" s="58">
        <v>160</v>
      </c>
      <c r="I4848" s="58">
        <f t="shared" si="244"/>
        <v>0</v>
      </c>
      <c r="J4848" s="88" t="str">
        <f t="shared" si="245"/>
        <v>PAGADO</v>
      </c>
      <c r="K4848" s="41" t="s">
        <v>693</v>
      </c>
      <c r="L4848" s="41"/>
      <c r="M4848" s="8"/>
    </row>
    <row r="4849" spans="3:13" customFormat="1" x14ac:dyDescent="0.25">
      <c r="C4849" s="41" t="s">
        <v>4588</v>
      </c>
      <c r="D4849" s="41" t="s">
        <v>4587</v>
      </c>
      <c r="E4849" s="87"/>
      <c r="F4849" s="58">
        <v>70</v>
      </c>
      <c r="G4849" s="58">
        <f t="shared" si="243"/>
        <v>70</v>
      </c>
      <c r="H4849" s="58">
        <v>70</v>
      </c>
      <c r="I4849" s="58">
        <f t="shared" si="244"/>
        <v>0</v>
      </c>
      <c r="J4849" s="88" t="str">
        <f t="shared" si="245"/>
        <v>PAGADO</v>
      </c>
      <c r="K4849" s="41" t="s">
        <v>693</v>
      </c>
      <c r="L4849" s="41"/>
      <c r="M4849" s="8"/>
    </row>
    <row r="4850" spans="3:13" customFormat="1" x14ac:dyDescent="0.25">
      <c r="C4850" s="9" t="s">
        <v>4589</v>
      </c>
      <c r="D4850" s="9" t="s">
        <v>4590</v>
      </c>
      <c r="E4850" s="10"/>
      <c r="F4850" s="6">
        <v>60</v>
      </c>
      <c r="G4850" s="6">
        <f t="shared" si="243"/>
        <v>60</v>
      </c>
      <c r="H4850" s="6">
        <v>60</v>
      </c>
      <c r="I4850" s="26">
        <f t="shared" si="244"/>
        <v>0</v>
      </c>
      <c r="J4850" s="7" t="str">
        <f t="shared" si="245"/>
        <v>PAGADO</v>
      </c>
      <c r="M4850" s="8"/>
    </row>
    <row r="4851" spans="3:13" customFormat="1" x14ac:dyDescent="0.25">
      <c r="C4851" s="9" t="s">
        <v>4591</v>
      </c>
      <c r="D4851" s="9" t="s">
        <v>4592</v>
      </c>
      <c r="E4851" s="10"/>
      <c r="F4851" s="6">
        <v>50</v>
      </c>
      <c r="G4851" s="6">
        <f t="shared" si="243"/>
        <v>50</v>
      </c>
      <c r="H4851" s="6">
        <v>50</v>
      </c>
      <c r="I4851" s="26">
        <f t="shared" si="244"/>
        <v>0</v>
      </c>
      <c r="J4851" s="7" t="str">
        <f t="shared" si="245"/>
        <v>PAGADO</v>
      </c>
      <c r="K4851" s="33" t="s">
        <v>2639</v>
      </c>
      <c r="M4851" s="8"/>
    </row>
    <row r="4852" spans="3:13" customFormat="1" x14ac:dyDescent="0.25">
      <c r="C4852" s="9" t="s">
        <v>4593</v>
      </c>
      <c r="D4852" s="9" t="s">
        <v>4592</v>
      </c>
      <c r="E4852" s="10"/>
      <c r="F4852" s="6">
        <v>50</v>
      </c>
      <c r="G4852" s="6">
        <f t="shared" si="243"/>
        <v>50</v>
      </c>
      <c r="H4852" s="6">
        <v>50</v>
      </c>
      <c r="I4852" s="26">
        <f t="shared" si="244"/>
        <v>0</v>
      </c>
      <c r="J4852" s="7" t="str">
        <f t="shared" si="245"/>
        <v>PAGADO</v>
      </c>
      <c r="K4852" s="33" t="s">
        <v>2639</v>
      </c>
      <c r="M4852" s="8"/>
    </row>
    <row r="4853" spans="3:13" customFormat="1" x14ac:dyDescent="0.25">
      <c r="C4853" s="9" t="s">
        <v>4594</v>
      </c>
      <c r="D4853" s="9" t="s">
        <v>4592</v>
      </c>
      <c r="E4853" s="10"/>
      <c r="F4853" s="6">
        <v>50</v>
      </c>
      <c r="G4853" s="6">
        <f t="shared" si="243"/>
        <v>50</v>
      </c>
      <c r="H4853" s="6">
        <v>50</v>
      </c>
      <c r="I4853" s="26">
        <f t="shared" si="244"/>
        <v>0</v>
      </c>
      <c r="J4853" s="7" t="str">
        <f t="shared" si="245"/>
        <v>PAGADO</v>
      </c>
      <c r="K4853" s="33" t="s">
        <v>2639</v>
      </c>
      <c r="M4853" s="8"/>
    </row>
    <row r="4854" spans="3:13" customFormat="1" x14ac:dyDescent="0.25">
      <c r="C4854" s="9" t="s">
        <v>4595</v>
      </c>
      <c r="D4854" s="9" t="s">
        <v>4592</v>
      </c>
      <c r="E4854" s="10"/>
      <c r="F4854" s="6">
        <v>30</v>
      </c>
      <c r="G4854" s="6">
        <f t="shared" si="243"/>
        <v>30</v>
      </c>
      <c r="H4854" s="6">
        <v>30</v>
      </c>
      <c r="I4854" s="26">
        <f t="shared" si="244"/>
        <v>0</v>
      </c>
      <c r="J4854" s="7" t="str">
        <f t="shared" si="245"/>
        <v>PAGADO</v>
      </c>
      <c r="M4854" s="8"/>
    </row>
    <row r="4855" spans="3:13" customFormat="1" x14ac:dyDescent="0.25">
      <c r="C4855" s="9" t="s">
        <v>4596</v>
      </c>
      <c r="D4855" s="9" t="s">
        <v>18</v>
      </c>
      <c r="E4855" s="10"/>
      <c r="F4855" s="6">
        <v>90</v>
      </c>
      <c r="G4855" s="6">
        <f t="shared" si="243"/>
        <v>90</v>
      </c>
      <c r="H4855" s="6">
        <f>50+40</f>
        <v>90</v>
      </c>
      <c r="I4855" s="26">
        <f t="shared" si="244"/>
        <v>0</v>
      </c>
      <c r="J4855" s="7" t="str">
        <f t="shared" si="245"/>
        <v>PAGADO</v>
      </c>
      <c r="M4855" s="8"/>
    </row>
    <row r="4856" spans="3:13" customFormat="1" x14ac:dyDescent="0.25">
      <c r="C4856" s="9" t="s">
        <v>4597</v>
      </c>
      <c r="D4856" t="s">
        <v>1849</v>
      </c>
      <c r="E4856" s="10"/>
      <c r="F4856" s="6">
        <v>70</v>
      </c>
      <c r="G4856" s="6">
        <f t="shared" si="243"/>
        <v>70</v>
      </c>
      <c r="H4856" s="6">
        <v>70</v>
      </c>
      <c r="I4856" s="26">
        <f t="shared" si="244"/>
        <v>0</v>
      </c>
      <c r="J4856" s="7" t="str">
        <f t="shared" si="245"/>
        <v>PAGADO</v>
      </c>
      <c r="K4856" s="9" t="s">
        <v>2714</v>
      </c>
      <c r="M4856" s="8"/>
    </row>
    <row r="4857" spans="3:13" customFormat="1" x14ac:dyDescent="0.25">
      <c r="C4857" s="9" t="s">
        <v>4317</v>
      </c>
      <c r="D4857" t="s">
        <v>4598</v>
      </c>
      <c r="E4857" s="10"/>
      <c r="F4857" s="6">
        <v>75</v>
      </c>
      <c r="G4857" s="6">
        <f t="shared" si="243"/>
        <v>75</v>
      </c>
      <c r="H4857" s="6">
        <v>75</v>
      </c>
      <c r="I4857" s="26">
        <f t="shared" si="244"/>
        <v>0</v>
      </c>
      <c r="J4857" s="7" t="str">
        <f t="shared" si="245"/>
        <v>PAGADO</v>
      </c>
      <c r="M4857" s="8"/>
    </row>
    <row r="4858" spans="3:13" customFormat="1" x14ac:dyDescent="0.25">
      <c r="C4858" s="9" t="s">
        <v>4411</v>
      </c>
      <c r="D4858" t="s">
        <v>4598</v>
      </c>
      <c r="E4858" s="10"/>
      <c r="F4858" s="6">
        <v>70</v>
      </c>
      <c r="G4858" s="6">
        <f t="shared" si="243"/>
        <v>70</v>
      </c>
      <c r="H4858" s="6">
        <v>70</v>
      </c>
      <c r="I4858" s="26">
        <f t="shared" si="244"/>
        <v>0</v>
      </c>
      <c r="J4858" s="7" t="str">
        <f t="shared" si="245"/>
        <v>PAGADO</v>
      </c>
      <c r="M4858" s="8"/>
    </row>
    <row r="4859" spans="3:13" customFormat="1" x14ac:dyDescent="0.25">
      <c r="C4859" s="9" t="s">
        <v>4599</v>
      </c>
      <c r="D4859" s="9" t="s">
        <v>4592</v>
      </c>
      <c r="E4859" s="10"/>
      <c r="F4859" s="6">
        <v>70</v>
      </c>
      <c r="G4859" s="6">
        <f t="shared" si="243"/>
        <v>70</v>
      </c>
      <c r="H4859" s="6">
        <f>35+35</f>
        <v>70</v>
      </c>
      <c r="I4859" s="26">
        <f t="shared" si="244"/>
        <v>0</v>
      </c>
      <c r="J4859" s="7" t="str">
        <f t="shared" si="245"/>
        <v>PAGADO</v>
      </c>
      <c r="K4859" s="9" t="s">
        <v>3506</v>
      </c>
      <c r="M4859" s="8"/>
    </row>
    <row r="4860" spans="3:13" customFormat="1" x14ac:dyDescent="0.25">
      <c r="C4860" s="9" t="s">
        <v>2224</v>
      </c>
      <c r="D4860" s="9" t="s">
        <v>4592</v>
      </c>
      <c r="E4860" s="10"/>
      <c r="F4860" s="6">
        <v>70</v>
      </c>
      <c r="G4860" s="6">
        <f t="shared" si="243"/>
        <v>70</v>
      </c>
      <c r="H4860" s="6">
        <v>70</v>
      </c>
      <c r="I4860" s="26">
        <f t="shared" si="244"/>
        <v>0</v>
      </c>
      <c r="J4860" s="7" t="str">
        <f t="shared" si="245"/>
        <v>PAGADO</v>
      </c>
      <c r="M4860" s="8"/>
    </row>
    <row r="4861" spans="3:13" customFormat="1" x14ac:dyDescent="0.25">
      <c r="C4861" s="9" t="s">
        <v>4600</v>
      </c>
      <c r="D4861" s="9" t="s">
        <v>4592</v>
      </c>
      <c r="E4861" s="10"/>
      <c r="F4861" s="6">
        <v>60</v>
      </c>
      <c r="G4861" s="6">
        <f t="shared" si="243"/>
        <v>60</v>
      </c>
      <c r="H4861" s="6">
        <v>60</v>
      </c>
      <c r="I4861" s="26">
        <f t="shared" si="244"/>
        <v>0</v>
      </c>
      <c r="J4861" s="7" t="str">
        <f t="shared" si="245"/>
        <v>PAGADO</v>
      </c>
      <c r="M4861" s="8"/>
    </row>
    <row r="4862" spans="3:13" customFormat="1" x14ac:dyDescent="0.25">
      <c r="C4862" s="9" t="s">
        <v>4601</v>
      </c>
      <c r="D4862" s="9" t="s">
        <v>1309</v>
      </c>
      <c r="E4862" s="10"/>
      <c r="F4862" s="6">
        <v>10</v>
      </c>
      <c r="G4862" s="6">
        <f t="shared" ref="G4862:G4925" si="246">F4862-E4862</f>
        <v>10</v>
      </c>
      <c r="H4862" s="6">
        <v>10</v>
      </c>
      <c r="I4862" s="26">
        <f t="shared" si="244"/>
        <v>0</v>
      </c>
      <c r="J4862" s="7" t="str">
        <f t="shared" si="245"/>
        <v>PAGADO</v>
      </c>
      <c r="K4862" s="33" t="s">
        <v>3506</v>
      </c>
      <c r="M4862" s="8"/>
    </row>
    <row r="4863" spans="3:13" customFormat="1" x14ac:dyDescent="0.25">
      <c r="C4863" s="9" t="s">
        <v>4602</v>
      </c>
      <c r="D4863" s="9" t="s">
        <v>4418</v>
      </c>
      <c r="E4863" s="10"/>
      <c r="F4863" s="6">
        <v>60</v>
      </c>
      <c r="G4863" s="6">
        <f t="shared" si="246"/>
        <v>60</v>
      </c>
      <c r="H4863" s="6">
        <f>30+30</f>
        <v>60</v>
      </c>
      <c r="I4863" s="26">
        <f t="shared" si="244"/>
        <v>0</v>
      </c>
      <c r="J4863" s="7" t="str">
        <f t="shared" si="245"/>
        <v>PAGADO</v>
      </c>
      <c r="K4863" s="33" t="s">
        <v>2639</v>
      </c>
      <c r="M4863" s="8"/>
    </row>
    <row r="4864" spans="3:13" customFormat="1" x14ac:dyDescent="0.25">
      <c r="C4864" s="9" t="s">
        <v>4603</v>
      </c>
      <c r="D4864" s="9" t="s">
        <v>1078</v>
      </c>
      <c r="E4864" s="10"/>
      <c r="F4864" s="6">
        <v>190</v>
      </c>
      <c r="G4864" s="6">
        <f t="shared" si="246"/>
        <v>190</v>
      </c>
      <c r="H4864" s="6">
        <f>95+95</f>
        <v>190</v>
      </c>
      <c r="I4864" s="26">
        <f t="shared" si="244"/>
        <v>0</v>
      </c>
      <c r="J4864" s="7" t="str">
        <f t="shared" si="245"/>
        <v>PAGADO</v>
      </c>
      <c r="K4864" s="9" t="s">
        <v>3506</v>
      </c>
      <c r="M4864" s="8"/>
    </row>
    <row r="4865" spans="1:11" x14ac:dyDescent="0.25">
      <c r="A4865"/>
      <c r="C4865" t="s">
        <v>4604</v>
      </c>
      <c r="D4865" s="9" t="s">
        <v>2739</v>
      </c>
      <c r="F4865" s="6">
        <v>20</v>
      </c>
      <c r="G4865" s="6">
        <f t="shared" si="246"/>
        <v>20</v>
      </c>
      <c r="H4865" s="6">
        <v>20</v>
      </c>
      <c r="I4865" s="26">
        <f t="shared" si="244"/>
        <v>0</v>
      </c>
      <c r="J4865" s="7" t="str">
        <f t="shared" si="245"/>
        <v>PAGADO</v>
      </c>
    </row>
    <row r="4866" spans="1:11" x14ac:dyDescent="0.25">
      <c r="A4866"/>
      <c r="C4866" t="s">
        <v>4605</v>
      </c>
      <c r="D4866" s="9" t="s">
        <v>2739</v>
      </c>
      <c r="F4866" s="6">
        <v>60</v>
      </c>
      <c r="G4866" s="6">
        <f t="shared" si="246"/>
        <v>60</v>
      </c>
      <c r="H4866" s="6">
        <v>60</v>
      </c>
      <c r="I4866" s="26">
        <f t="shared" si="244"/>
        <v>0</v>
      </c>
      <c r="J4866" s="7" t="str">
        <f t="shared" si="245"/>
        <v>PAGADO</v>
      </c>
    </row>
    <row r="4867" spans="1:11" x14ac:dyDescent="0.25">
      <c r="A4867"/>
      <c r="C4867" s="9" t="s">
        <v>4606</v>
      </c>
      <c r="D4867" t="s">
        <v>2935</v>
      </c>
      <c r="F4867" s="6">
        <v>50</v>
      </c>
      <c r="G4867" s="6">
        <f t="shared" si="246"/>
        <v>50</v>
      </c>
      <c r="H4867" s="6">
        <v>50</v>
      </c>
      <c r="I4867" s="26">
        <f t="shared" si="244"/>
        <v>0</v>
      </c>
      <c r="J4867" s="7" t="str">
        <f t="shared" si="245"/>
        <v>PAGADO</v>
      </c>
    </row>
    <row r="4868" spans="1:11" x14ac:dyDescent="0.25">
      <c r="A4868"/>
      <c r="C4868" s="9" t="s">
        <v>4607</v>
      </c>
      <c r="D4868" s="9" t="s">
        <v>4551</v>
      </c>
      <c r="F4868" s="6">
        <v>70</v>
      </c>
      <c r="G4868" s="6">
        <f t="shared" si="246"/>
        <v>70</v>
      </c>
      <c r="H4868" s="6">
        <v>70</v>
      </c>
      <c r="I4868" s="26">
        <f t="shared" si="244"/>
        <v>0</v>
      </c>
      <c r="J4868" s="7" t="str">
        <f t="shared" si="245"/>
        <v>PAGADO</v>
      </c>
    </row>
    <row r="4869" spans="1:11" x14ac:dyDescent="0.25">
      <c r="A4869" s="89">
        <v>45989</v>
      </c>
      <c r="C4869" s="9" t="s">
        <v>4608</v>
      </c>
      <c r="D4869" s="9" t="s">
        <v>4172</v>
      </c>
      <c r="F4869" s="6">
        <v>20</v>
      </c>
      <c r="G4869" s="6">
        <f t="shared" si="246"/>
        <v>20</v>
      </c>
      <c r="H4869" s="6">
        <f>10+10</f>
        <v>20</v>
      </c>
      <c r="I4869" s="26">
        <f t="shared" si="244"/>
        <v>0</v>
      </c>
      <c r="J4869" s="7" t="str">
        <f t="shared" si="245"/>
        <v>PAGADO</v>
      </c>
      <c r="K4869" s="33" t="s">
        <v>2712</v>
      </c>
    </row>
    <row r="4870" spans="1:11" x14ac:dyDescent="0.25">
      <c r="A4870"/>
      <c r="C4870" s="9" t="s">
        <v>4609</v>
      </c>
      <c r="D4870" s="9" t="s">
        <v>4172</v>
      </c>
      <c r="F4870" s="6">
        <v>140</v>
      </c>
      <c r="G4870" s="6">
        <f t="shared" si="246"/>
        <v>140</v>
      </c>
      <c r="H4870" s="6">
        <f>70+70</f>
        <v>140</v>
      </c>
      <c r="I4870" s="26">
        <f t="shared" si="244"/>
        <v>0</v>
      </c>
      <c r="J4870" s="7" t="str">
        <f t="shared" si="245"/>
        <v>PAGADO</v>
      </c>
      <c r="K4870" s="33" t="s">
        <v>2712</v>
      </c>
    </row>
    <row r="4871" spans="1:11" x14ac:dyDescent="0.25">
      <c r="A4871"/>
      <c r="C4871" s="9" t="s">
        <v>4610</v>
      </c>
      <c r="D4871" s="9" t="s">
        <v>4172</v>
      </c>
      <c r="F4871" s="6">
        <v>100</v>
      </c>
      <c r="G4871" s="6">
        <f t="shared" si="246"/>
        <v>100</v>
      </c>
      <c r="H4871" s="6">
        <f>50+50</f>
        <v>100</v>
      </c>
      <c r="I4871" s="26">
        <f t="shared" si="244"/>
        <v>0</v>
      </c>
      <c r="J4871" s="7" t="str">
        <f t="shared" si="245"/>
        <v>PAGADO</v>
      </c>
      <c r="K4871" s="28" t="s">
        <v>2712</v>
      </c>
    </row>
    <row r="4872" spans="1:11" x14ac:dyDescent="0.25">
      <c r="A4872"/>
      <c r="C4872" s="9" t="s">
        <v>4611</v>
      </c>
      <c r="D4872" s="9" t="s">
        <v>3728</v>
      </c>
      <c r="F4872" s="6">
        <v>60</v>
      </c>
      <c r="G4872" s="6">
        <f t="shared" si="246"/>
        <v>60</v>
      </c>
      <c r="H4872" s="6">
        <f>30+30</f>
        <v>60</v>
      </c>
      <c r="I4872" s="26">
        <f t="shared" si="244"/>
        <v>0</v>
      </c>
      <c r="J4872" s="7" t="str">
        <f t="shared" si="245"/>
        <v>PAGADO</v>
      </c>
      <c r="K4872" s="33" t="s">
        <v>2712</v>
      </c>
    </row>
    <row r="4873" spans="1:11" x14ac:dyDescent="0.25">
      <c r="A4873"/>
      <c r="C4873" s="9" t="s">
        <v>4612</v>
      </c>
      <c r="D4873" s="9" t="s">
        <v>2018</v>
      </c>
      <c r="F4873" s="6">
        <v>70</v>
      </c>
      <c r="G4873" s="6">
        <f t="shared" si="246"/>
        <v>70</v>
      </c>
      <c r="H4873" s="6">
        <v>70</v>
      </c>
      <c r="I4873" s="26">
        <f t="shared" si="244"/>
        <v>0</v>
      </c>
      <c r="J4873" s="7" t="str">
        <f t="shared" si="245"/>
        <v>PAGADO</v>
      </c>
      <c r="K4873" s="33" t="s">
        <v>2712</v>
      </c>
    </row>
    <row r="4874" spans="1:11" x14ac:dyDescent="0.25">
      <c r="A4874"/>
      <c r="C4874" s="9" t="s">
        <v>2243</v>
      </c>
      <c r="D4874" s="9" t="s">
        <v>2906</v>
      </c>
      <c r="F4874" s="6">
        <v>80</v>
      </c>
      <c r="G4874" s="6">
        <f t="shared" si="246"/>
        <v>80</v>
      </c>
      <c r="H4874" s="6">
        <f>40+40</f>
        <v>80</v>
      </c>
      <c r="I4874" s="26">
        <f t="shared" si="244"/>
        <v>0</v>
      </c>
      <c r="J4874" s="7" t="str">
        <f t="shared" si="245"/>
        <v>PAGADO</v>
      </c>
      <c r="K4874" s="33" t="s">
        <v>2712</v>
      </c>
    </row>
    <row r="4875" spans="1:11" x14ac:dyDescent="0.25">
      <c r="A4875"/>
      <c r="C4875" s="9" t="s">
        <v>4613</v>
      </c>
      <c r="D4875" s="9" t="s">
        <v>2906</v>
      </c>
      <c r="F4875" s="6">
        <v>70</v>
      </c>
      <c r="G4875" s="6">
        <f t="shared" si="246"/>
        <v>70</v>
      </c>
      <c r="H4875" s="6">
        <f>35+35</f>
        <v>70</v>
      </c>
      <c r="I4875" s="26">
        <f t="shared" ref="I4875:I4938" si="247">F4875-H4875</f>
        <v>0</v>
      </c>
      <c r="J4875" s="7" t="str">
        <f t="shared" si="245"/>
        <v>PAGADO</v>
      </c>
      <c r="K4875" s="33" t="s">
        <v>2712</v>
      </c>
    </row>
    <row r="4876" spans="1:11" x14ac:dyDescent="0.25">
      <c r="A4876"/>
      <c r="C4876" s="9" t="s">
        <v>3302</v>
      </c>
      <c r="D4876" s="9" t="s">
        <v>2906</v>
      </c>
      <c r="F4876" s="6">
        <v>70</v>
      </c>
      <c r="G4876" s="6">
        <f t="shared" si="246"/>
        <v>70</v>
      </c>
      <c r="H4876" s="6">
        <f>35+35</f>
        <v>70</v>
      </c>
      <c r="I4876" s="26">
        <f t="shared" si="247"/>
        <v>0</v>
      </c>
      <c r="J4876" s="7" t="str">
        <f t="shared" si="245"/>
        <v>PAGADO</v>
      </c>
      <c r="K4876" s="33" t="s">
        <v>2712</v>
      </c>
    </row>
    <row r="4877" spans="1:11" x14ac:dyDescent="0.25">
      <c r="A4877"/>
      <c r="C4877" s="9" t="s">
        <v>4614</v>
      </c>
      <c r="D4877" s="9" t="s">
        <v>3198</v>
      </c>
      <c r="F4877" s="6">
        <v>80</v>
      </c>
      <c r="G4877" s="6">
        <f t="shared" si="246"/>
        <v>80</v>
      </c>
      <c r="H4877" s="39">
        <v>80</v>
      </c>
      <c r="I4877" s="26">
        <f t="shared" si="247"/>
        <v>0</v>
      </c>
      <c r="J4877" s="7" t="str">
        <f t="shared" si="245"/>
        <v>PAGADO</v>
      </c>
      <c r="K4877" s="33" t="s">
        <v>2712</v>
      </c>
    </row>
    <row r="4878" spans="1:11" x14ac:dyDescent="0.25">
      <c r="A4878"/>
      <c r="C4878" s="9" t="s">
        <v>4615</v>
      </c>
      <c r="D4878" s="9" t="s">
        <v>2906</v>
      </c>
      <c r="F4878" s="6">
        <v>70</v>
      </c>
      <c r="G4878" s="6">
        <f t="shared" si="246"/>
        <v>70</v>
      </c>
      <c r="H4878" s="6">
        <f>35+35</f>
        <v>70</v>
      </c>
      <c r="I4878" s="26">
        <f t="shared" si="247"/>
        <v>0</v>
      </c>
      <c r="J4878" s="7" t="str">
        <f t="shared" si="245"/>
        <v>PAGADO</v>
      </c>
      <c r="K4878" s="33" t="s">
        <v>2712</v>
      </c>
    </row>
    <row r="4879" spans="1:11" x14ac:dyDescent="0.25">
      <c r="A4879"/>
      <c r="C4879" s="9" t="s">
        <v>4616</v>
      </c>
      <c r="D4879" s="9" t="s">
        <v>3198</v>
      </c>
      <c r="F4879" s="6">
        <v>180</v>
      </c>
      <c r="G4879" s="6">
        <f t="shared" si="246"/>
        <v>180</v>
      </c>
      <c r="H4879" s="39">
        <v>180</v>
      </c>
      <c r="I4879" s="26">
        <f t="shared" si="247"/>
        <v>0</v>
      </c>
      <c r="J4879" s="7" t="str">
        <f t="shared" ref="J4879:J4942" si="248">IF(I4879&gt;0,"DEBE","PAGADO")</f>
        <v>PAGADO</v>
      </c>
      <c r="K4879" s="33" t="s">
        <v>2712</v>
      </c>
    </row>
    <row r="4880" spans="1:11" x14ac:dyDescent="0.25">
      <c r="A4880"/>
      <c r="C4880" s="9" t="s">
        <v>4617</v>
      </c>
      <c r="D4880" s="9" t="s">
        <v>238</v>
      </c>
      <c r="F4880" s="6">
        <v>50</v>
      </c>
      <c r="G4880" s="6">
        <f t="shared" si="246"/>
        <v>50</v>
      </c>
      <c r="H4880" s="6">
        <v>50</v>
      </c>
      <c r="I4880" s="26">
        <f t="shared" si="247"/>
        <v>0</v>
      </c>
      <c r="J4880" s="7" t="str">
        <f t="shared" si="248"/>
        <v>PAGADO</v>
      </c>
      <c r="K4880" s="33" t="s">
        <v>2712</v>
      </c>
    </row>
    <row r="4881" spans="3:13" customFormat="1" x14ac:dyDescent="0.25">
      <c r="C4881" s="9" t="s">
        <v>4618</v>
      </c>
      <c r="D4881" s="9" t="s">
        <v>3198</v>
      </c>
      <c r="E4881" s="10"/>
      <c r="F4881" s="6">
        <v>60</v>
      </c>
      <c r="G4881" s="6">
        <f t="shared" si="246"/>
        <v>60</v>
      </c>
      <c r="H4881" s="39">
        <v>60</v>
      </c>
      <c r="I4881" s="26">
        <f t="shared" si="247"/>
        <v>0</v>
      </c>
      <c r="J4881" s="7" t="str">
        <f t="shared" si="248"/>
        <v>PAGADO</v>
      </c>
      <c r="K4881" s="33" t="s">
        <v>2712</v>
      </c>
      <c r="M4881" s="8"/>
    </row>
    <row r="4882" spans="3:13" customFormat="1" x14ac:dyDescent="0.25">
      <c r="C4882" s="9" t="s">
        <v>4619</v>
      </c>
      <c r="D4882" s="9" t="s">
        <v>238</v>
      </c>
      <c r="E4882" s="10"/>
      <c r="F4882" s="6">
        <v>90</v>
      </c>
      <c r="G4882" s="6">
        <f t="shared" si="246"/>
        <v>90</v>
      </c>
      <c r="H4882" s="6">
        <v>90</v>
      </c>
      <c r="I4882" s="26">
        <f t="shared" si="247"/>
        <v>0</v>
      </c>
      <c r="J4882" s="7" t="str">
        <f t="shared" si="248"/>
        <v>PAGADO</v>
      </c>
      <c r="K4882" s="33" t="s">
        <v>2712</v>
      </c>
      <c r="M4882" s="8"/>
    </row>
    <row r="4883" spans="3:13" customFormat="1" x14ac:dyDescent="0.25">
      <c r="C4883" s="9" t="s">
        <v>4620</v>
      </c>
      <c r="D4883" s="9" t="s">
        <v>3666</v>
      </c>
      <c r="E4883" s="10"/>
      <c r="F4883" s="6">
        <v>130</v>
      </c>
      <c r="G4883" s="6">
        <f t="shared" si="246"/>
        <v>130</v>
      </c>
      <c r="H4883" s="6">
        <f>65+65</f>
        <v>130</v>
      </c>
      <c r="I4883" s="26">
        <f t="shared" si="247"/>
        <v>0</v>
      </c>
      <c r="J4883" s="7" t="str">
        <f t="shared" si="248"/>
        <v>PAGADO</v>
      </c>
      <c r="K4883" s="33" t="s">
        <v>2712</v>
      </c>
      <c r="M4883" s="8"/>
    </row>
    <row r="4884" spans="3:13" customFormat="1" x14ac:dyDescent="0.25">
      <c r="C4884" s="9" t="s">
        <v>4621</v>
      </c>
      <c r="D4884" s="9" t="s">
        <v>3612</v>
      </c>
      <c r="E4884" s="10"/>
      <c r="F4884" s="6">
        <f>12*5</f>
        <v>60</v>
      </c>
      <c r="G4884" s="6">
        <f t="shared" si="246"/>
        <v>60</v>
      </c>
      <c r="H4884" s="6">
        <v>60</v>
      </c>
      <c r="I4884" s="26">
        <f t="shared" si="247"/>
        <v>0</v>
      </c>
      <c r="J4884" s="7" t="str">
        <f t="shared" si="248"/>
        <v>PAGADO</v>
      </c>
      <c r="K4884" s="59" t="s">
        <v>4505</v>
      </c>
      <c r="M4884" s="8"/>
    </row>
    <row r="4885" spans="3:13" customFormat="1" x14ac:dyDescent="0.25">
      <c r="C4885" s="9" t="s">
        <v>4622</v>
      </c>
      <c r="D4885" s="9" t="s">
        <v>1510</v>
      </c>
      <c r="E4885" s="10"/>
      <c r="F4885" s="26">
        <v>80</v>
      </c>
      <c r="G4885" s="26">
        <f t="shared" si="246"/>
        <v>80</v>
      </c>
      <c r="H4885" s="26">
        <f>40+40</f>
        <v>80</v>
      </c>
      <c r="I4885" s="26">
        <f t="shared" si="247"/>
        <v>0</v>
      </c>
      <c r="J4885" s="7" t="str">
        <f t="shared" si="248"/>
        <v>PAGADO</v>
      </c>
      <c r="K4885" s="33" t="s">
        <v>2712</v>
      </c>
      <c r="M4885" s="8"/>
    </row>
    <row r="4886" spans="3:13" customFormat="1" x14ac:dyDescent="0.25">
      <c r="C4886" s="9" t="s">
        <v>4623</v>
      </c>
      <c r="D4886" s="9" t="s">
        <v>1510</v>
      </c>
      <c r="E4886" s="10"/>
      <c r="F4886" s="26">
        <v>180</v>
      </c>
      <c r="G4886" s="26">
        <f t="shared" si="246"/>
        <v>180</v>
      </c>
      <c r="H4886" s="26">
        <f>90+90</f>
        <v>180</v>
      </c>
      <c r="I4886" s="26">
        <f t="shared" si="247"/>
        <v>0</v>
      </c>
      <c r="J4886" s="7" t="str">
        <f t="shared" si="248"/>
        <v>PAGADO</v>
      </c>
      <c r="K4886" s="33" t="s">
        <v>2712</v>
      </c>
      <c r="M4886" s="8"/>
    </row>
    <row r="4887" spans="3:13" customFormat="1" x14ac:dyDescent="0.25">
      <c r="C4887" s="9" t="s">
        <v>4624</v>
      </c>
      <c r="D4887" s="9" t="s">
        <v>1510</v>
      </c>
      <c r="E4887" s="10"/>
      <c r="F4887" s="26">
        <v>70</v>
      </c>
      <c r="G4887" s="26">
        <f t="shared" si="246"/>
        <v>70</v>
      </c>
      <c r="H4887" s="26">
        <f>35+35</f>
        <v>70</v>
      </c>
      <c r="I4887" s="26">
        <f t="shared" si="247"/>
        <v>0</v>
      </c>
      <c r="J4887" s="7" t="str">
        <f t="shared" si="248"/>
        <v>PAGADO</v>
      </c>
      <c r="K4887" s="33" t="s">
        <v>2712</v>
      </c>
      <c r="M4887" s="8"/>
    </row>
    <row r="4888" spans="3:13" customFormat="1" x14ac:dyDescent="0.25">
      <c r="C4888" s="9" t="s">
        <v>4625</v>
      </c>
      <c r="D4888" s="9" t="s">
        <v>1510</v>
      </c>
      <c r="E4888" s="10"/>
      <c r="F4888" s="26">
        <v>65</v>
      </c>
      <c r="G4888" s="26">
        <f t="shared" si="246"/>
        <v>65</v>
      </c>
      <c r="H4888" s="26">
        <f>32.5+32.5</f>
        <v>65</v>
      </c>
      <c r="I4888" s="26">
        <f t="shared" si="247"/>
        <v>0</v>
      </c>
      <c r="J4888" s="7" t="str">
        <f t="shared" si="248"/>
        <v>PAGADO</v>
      </c>
      <c r="K4888" s="33" t="s">
        <v>2712</v>
      </c>
      <c r="M4888" s="8"/>
    </row>
    <row r="4889" spans="3:13" customFormat="1" x14ac:dyDescent="0.25">
      <c r="C4889" s="9" t="s">
        <v>4626</v>
      </c>
      <c r="D4889" s="9" t="s">
        <v>1510</v>
      </c>
      <c r="E4889" s="10"/>
      <c r="F4889" s="26">
        <v>65</v>
      </c>
      <c r="G4889" s="26">
        <f t="shared" si="246"/>
        <v>65</v>
      </c>
      <c r="H4889" s="26">
        <f>32.5+32.5</f>
        <v>65</v>
      </c>
      <c r="I4889" s="26">
        <f t="shared" si="247"/>
        <v>0</v>
      </c>
      <c r="J4889" s="7" t="str">
        <f t="shared" si="248"/>
        <v>PAGADO</v>
      </c>
      <c r="K4889" s="33" t="s">
        <v>2712</v>
      </c>
      <c r="M4889" s="8"/>
    </row>
    <row r="4890" spans="3:13" customFormat="1" x14ac:dyDescent="0.25">
      <c r="C4890" s="9" t="s">
        <v>4627</v>
      </c>
      <c r="D4890" s="9" t="s">
        <v>1510</v>
      </c>
      <c r="E4890" s="10"/>
      <c r="F4890" s="26">
        <v>70</v>
      </c>
      <c r="G4890" s="26">
        <f t="shared" si="246"/>
        <v>70</v>
      </c>
      <c r="H4890" s="26">
        <f>35+35</f>
        <v>70</v>
      </c>
      <c r="I4890" s="26">
        <f t="shared" si="247"/>
        <v>0</v>
      </c>
      <c r="J4890" s="7" t="str">
        <f t="shared" si="248"/>
        <v>PAGADO</v>
      </c>
      <c r="K4890" s="33" t="s">
        <v>2712</v>
      </c>
      <c r="M4890" s="8"/>
    </row>
    <row r="4891" spans="3:13" customFormat="1" x14ac:dyDescent="0.25">
      <c r="C4891" s="9" t="s">
        <v>4628</v>
      </c>
      <c r="D4891" s="9" t="s">
        <v>1510</v>
      </c>
      <c r="E4891" s="10"/>
      <c r="F4891" s="26">
        <v>60</v>
      </c>
      <c r="G4891" s="26">
        <f t="shared" si="246"/>
        <v>60</v>
      </c>
      <c r="H4891" s="26">
        <f>30+30</f>
        <v>60</v>
      </c>
      <c r="I4891" s="26">
        <f t="shared" si="247"/>
        <v>0</v>
      </c>
      <c r="J4891" s="7" t="str">
        <f t="shared" si="248"/>
        <v>PAGADO</v>
      </c>
      <c r="K4891" s="33" t="s">
        <v>2712</v>
      </c>
      <c r="M4891" s="8"/>
    </row>
    <row r="4892" spans="3:13" customFormat="1" x14ac:dyDescent="0.25">
      <c r="C4892" s="9" t="s">
        <v>4616</v>
      </c>
      <c r="D4892" s="9" t="s">
        <v>1510</v>
      </c>
      <c r="E4892" s="10"/>
      <c r="F4892" s="26">
        <v>180</v>
      </c>
      <c r="G4892" s="26">
        <f t="shared" si="246"/>
        <v>180</v>
      </c>
      <c r="H4892" s="26">
        <f>90+90</f>
        <v>180</v>
      </c>
      <c r="I4892" s="26">
        <f t="shared" si="247"/>
        <v>0</v>
      </c>
      <c r="J4892" s="7" t="str">
        <f t="shared" si="248"/>
        <v>PAGADO</v>
      </c>
      <c r="K4892" s="33" t="s">
        <v>2712</v>
      </c>
      <c r="M4892" s="8"/>
    </row>
    <row r="4893" spans="3:13" customFormat="1" x14ac:dyDescent="0.25">
      <c r="C4893" s="9" t="s">
        <v>4612</v>
      </c>
      <c r="D4893" s="9" t="s">
        <v>1510</v>
      </c>
      <c r="E4893" s="10"/>
      <c r="F4893" s="26">
        <v>70</v>
      </c>
      <c r="G4893" s="26">
        <f t="shared" si="246"/>
        <v>70</v>
      </c>
      <c r="H4893" s="26">
        <f>35+35</f>
        <v>70</v>
      </c>
      <c r="I4893" s="26">
        <f t="shared" si="247"/>
        <v>0</v>
      </c>
      <c r="J4893" s="7" t="str">
        <f t="shared" si="248"/>
        <v>PAGADO</v>
      </c>
      <c r="K4893" s="33" t="s">
        <v>2712</v>
      </c>
      <c r="M4893" s="8"/>
    </row>
    <row r="4894" spans="3:13" customFormat="1" x14ac:dyDescent="0.25">
      <c r="C4894" s="9" t="s">
        <v>4629</v>
      </c>
      <c r="D4894" s="9" t="s">
        <v>1510</v>
      </c>
      <c r="E4894" s="10"/>
      <c r="F4894" s="26">
        <v>120</v>
      </c>
      <c r="G4894" s="26">
        <f t="shared" si="246"/>
        <v>120</v>
      </c>
      <c r="H4894" s="26">
        <f>60+60</f>
        <v>120</v>
      </c>
      <c r="I4894" s="26">
        <f t="shared" si="247"/>
        <v>0</v>
      </c>
      <c r="J4894" s="7" t="str">
        <f t="shared" si="248"/>
        <v>PAGADO</v>
      </c>
      <c r="K4894" s="33" t="s">
        <v>2712</v>
      </c>
      <c r="M4894" s="8"/>
    </row>
    <row r="4895" spans="3:13" customFormat="1" x14ac:dyDescent="0.25">
      <c r="C4895" s="9" t="s">
        <v>4630</v>
      </c>
      <c r="D4895" s="9" t="s">
        <v>1510</v>
      </c>
      <c r="E4895" s="10"/>
      <c r="F4895" s="26">
        <v>60</v>
      </c>
      <c r="G4895" s="26">
        <f t="shared" si="246"/>
        <v>60</v>
      </c>
      <c r="H4895" s="26">
        <f>30+30</f>
        <v>60</v>
      </c>
      <c r="I4895" s="26">
        <f t="shared" si="247"/>
        <v>0</v>
      </c>
      <c r="J4895" s="7" t="str">
        <f t="shared" si="248"/>
        <v>PAGADO</v>
      </c>
      <c r="K4895" s="33" t="s">
        <v>2712</v>
      </c>
      <c r="M4895" s="8"/>
    </row>
    <row r="4896" spans="3:13" customFormat="1" x14ac:dyDescent="0.25">
      <c r="C4896" s="9" t="s">
        <v>4618</v>
      </c>
      <c r="D4896" s="9" t="s">
        <v>1510</v>
      </c>
      <c r="E4896" s="10"/>
      <c r="F4896" s="26">
        <v>60</v>
      </c>
      <c r="G4896" s="26">
        <f t="shared" si="246"/>
        <v>60</v>
      </c>
      <c r="H4896" s="26">
        <f>30+30</f>
        <v>60</v>
      </c>
      <c r="I4896" s="26">
        <f t="shared" si="247"/>
        <v>0</v>
      </c>
      <c r="J4896" s="7" t="str">
        <f t="shared" si="248"/>
        <v>PAGADO</v>
      </c>
      <c r="K4896" s="33" t="s">
        <v>2712</v>
      </c>
      <c r="M4896" s="8"/>
    </row>
    <row r="4897" spans="3:13" customFormat="1" x14ac:dyDescent="0.25">
      <c r="C4897" s="9" t="s">
        <v>3361</v>
      </c>
      <c r="D4897" s="9" t="s">
        <v>1510</v>
      </c>
      <c r="E4897" s="10"/>
      <c r="F4897" s="26">
        <v>70</v>
      </c>
      <c r="G4897" s="26">
        <f t="shared" si="246"/>
        <v>70</v>
      </c>
      <c r="H4897" s="26">
        <f>35+35</f>
        <v>70</v>
      </c>
      <c r="I4897" s="26">
        <f t="shared" si="247"/>
        <v>0</v>
      </c>
      <c r="J4897" s="7" t="str">
        <f t="shared" si="248"/>
        <v>PAGADO</v>
      </c>
      <c r="K4897" s="33" t="s">
        <v>2712</v>
      </c>
      <c r="M4897" s="8"/>
    </row>
    <row r="4898" spans="3:13" customFormat="1" x14ac:dyDescent="0.25">
      <c r="C4898" s="9" t="s">
        <v>4261</v>
      </c>
      <c r="D4898" s="9" t="s">
        <v>1510</v>
      </c>
      <c r="E4898" s="10"/>
      <c r="F4898" s="26">
        <v>80</v>
      </c>
      <c r="G4898" s="26">
        <f t="shared" si="246"/>
        <v>80</v>
      </c>
      <c r="H4898" s="26">
        <f>40+40</f>
        <v>80</v>
      </c>
      <c r="I4898" s="26">
        <f t="shared" si="247"/>
        <v>0</v>
      </c>
      <c r="J4898" s="7" t="str">
        <f t="shared" si="248"/>
        <v>PAGADO</v>
      </c>
      <c r="K4898" s="33" t="s">
        <v>2712</v>
      </c>
      <c r="M4898" s="8"/>
    </row>
    <row r="4899" spans="3:13" customFormat="1" x14ac:dyDescent="0.25">
      <c r="C4899" s="9" t="s">
        <v>4631</v>
      </c>
      <c r="D4899" s="9" t="s">
        <v>488</v>
      </c>
      <c r="E4899" s="10"/>
      <c r="F4899" s="6">
        <v>60</v>
      </c>
      <c r="G4899" s="6">
        <f t="shared" si="246"/>
        <v>60</v>
      </c>
      <c r="H4899" s="6">
        <v>60</v>
      </c>
      <c r="I4899" s="27">
        <f t="shared" si="247"/>
        <v>0</v>
      </c>
      <c r="J4899" s="7" t="str">
        <f t="shared" si="248"/>
        <v>PAGADO</v>
      </c>
      <c r="K4899" s="33" t="s">
        <v>2712</v>
      </c>
      <c r="M4899" s="8"/>
    </row>
    <row r="4900" spans="3:13" customFormat="1" x14ac:dyDescent="0.25">
      <c r="C4900" s="9" t="s">
        <v>4632</v>
      </c>
      <c r="D4900" s="9" t="s">
        <v>488</v>
      </c>
      <c r="E4900" s="10"/>
      <c r="F4900" s="6">
        <v>90</v>
      </c>
      <c r="G4900" s="6">
        <f t="shared" si="246"/>
        <v>90</v>
      </c>
      <c r="H4900" s="6">
        <f>45+45</f>
        <v>90</v>
      </c>
      <c r="I4900" s="26">
        <f t="shared" si="247"/>
        <v>0</v>
      </c>
      <c r="J4900" s="7" t="str">
        <f t="shared" si="248"/>
        <v>PAGADO</v>
      </c>
      <c r="K4900" s="28" t="s">
        <v>2712</v>
      </c>
      <c r="M4900" s="8"/>
    </row>
    <row r="4901" spans="3:13" customFormat="1" x14ac:dyDescent="0.25">
      <c r="C4901" s="9" t="s">
        <v>4633</v>
      </c>
      <c r="D4901" s="9" t="s">
        <v>2018</v>
      </c>
      <c r="E4901" s="10"/>
      <c r="F4901" s="6">
        <v>55</v>
      </c>
      <c r="G4901" s="6">
        <f t="shared" si="246"/>
        <v>55</v>
      </c>
      <c r="H4901" s="6">
        <v>55</v>
      </c>
      <c r="I4901" s="26">
        <f t="shared" si="247"/>
        <v>0</v>
      </c>
      <c r="J4901" s="7" t="str">
        <f t="shared" si="248"/>
        <v>PAGADO</v>
      </c>
      <c r="K4901" s="33" t="s">
        <v>2712</v>
      </c>
      <c r="M4901" s="8"/>
    </row>
    <row r="4902" spans="3:13" customFormat="1" x14ac:dyDescent="0.25">
      <c r="C4902" s="9" t="s">
        <v>4634</v>
      </c>
      <c r="D4902" s="9" t="s">
        <v>488</v>
      </c>
      <c r="E4902" s="10"/>
      <c r="F4902" s="6">
        <v>180</v>
      </c>
      <c r="G4902" s="6">
        <f t="shared" si="246"/>
        <v>180</v>
      </c>
      <c r="H4902" s="6">
        <v>180</v>
      </c>
      <c r="I4902" s="27">
        <f t="shared" si="247"/>
        <v>0</v>
      </c>
      <c r="J4902" s="7" t="str">
        <f t="shared" si="248"/>
        <v>PAGADO</v>
      </c>
      <c r="K4902" s="33" t="s">
        <v>2712</v>
      </c>
      <c r="M4902" s="8"/>
    </row>
    <row r="4903" spans="3:13" customFormat="1" x14ac:dyDescent="0.25">
      <c r="C4903" s="9" t="s">
        <v>4627</v>
      </c>
      <c r="D4903" s="9" t="s">
        <v>1523</v>
      </c>
      <c r="E4903" s="10"/>
      <c r="F4903" s="6">
        <v>70</v>
      </c>
      <c r="G4903" s="6">
        <f t="shared" si="246"/>
        <v>70</v>
      </c>
      <c r="H4903" s="6">
        <v>70</v>
      </c>
      <c r="I4903" s="26">
        <f t="shared" si="247"/>
        <v>0</v>
      </c>
      <c r="J4903" s="7" t="str">
        <f t="shared" si="248"/>
        <v>PAGADO</v>
      </c>
      <c r="K4903" s="33" t="s">
        <v>2712</v>
      </c>
      <c r="M4903" s="8"/>
    </row>
    <row r="4904" spans="3:13" customFormat="1" x14ac:dyDescent="0.25">
      <c r="C4904" s="9" t="s">
        <v>4635</v>
      </c>
      <c r="D4904" s="9" t="s">
        <v>1523</v>
      </c>
      <c r="E4904" s="10"/>
      <c r="F4904" s="6">
        <v>60</v>
      </c>
      <c r="G4904" s="6">
        <f t="shared" si="246"/>
        <v>60</v>
      </c>
      <c r="H4904" s="6">
        <v>60</v>
      </c>
      <c r="I4904" s="26">
        <f t="shared" si="247"/>
        <v>0</v>
      </c>
      <c r="J4904" s="7" t="str">
        <f t="shared" si="248"/>
        <v>PAGADO</v>
      </c>
      <c r="K4904" s="33" t="s">
        <v>2712</v>
      </c>
      <c r="M4904" s="8"/>
    </row>
    <row r="4905" spans="3:13" customFormat="1" x14ac:dyDescent="0.25">
      <c r="C4905" s="9" t="s">
        <v>4636</v>
      </c>
      <c r="D4905" s="9" t="s">
        <v>1523</v>
      </c>
      <c r="E4905" s="10"/>
      <c r="F4905" s="6">
        <v>60</v>
      </c>
      <c r="G4905" s="6">
        <f t="shared" si="246"/>
        <v>60</v>
      </c>
      <c r="H4905" s="6">
        <v>60</v>
      </c>
      <c r="I4905" s="26">
        <f t="shared" si="247"/>
        <v>0</v>
      </c>
      <c r="J4905" s="7" t="str">
        <f t="shared" si="248"/>
        <v>PAGADO</v>
      </c>
      <c r="K4905" s="33" t="s">
        <v>2712</v>
      </c>
      <c r="M4905" s="8"/>
    </row>
    <row r="4906" spans="3:13" customFormat="1" x14ac:dyDescent="0.25">
      <c r="C4906" s="9" t="s">
        <v>4616</v>
      </c>
      <c r="D4906" s="9" t="s">
        <v>3653</v>
      </c>
      <c r="E4906" s="10"/>
      <c r="F4906" s="6">
        <v>180</v>
      </c>
      <c r="G4906" s="6">
        <f t="shared" si="246"/>
        <v>180</v>
      </c>
      <c r="H4906" s="6">
        <f>90+90</f>
        <v>180</v>
      </c>
      <c r="I4906" s="26">
        <f t="shared" si="247"/>
        <v>0</v>
      </c>
      <c r="J4906" s="7" t="str">
        <f t="shared" si="248"/>
        <v>PAGADO</v>
      </c>
      <c r="K4906" s="33" t="s">
        <v>2712</v>
      </c>
      <c r="M4906" s="8"/>
    </row>
    <row r="4907" spans="3:13" customFormat="1" x14ac:dyDescent="0.25">
      <c r="C4907" s="9" t="s">
        <v>4635</v>
      </c>
      <c r="D4907" s="9" t="s">
        <v>3736</v>
      </c>
      <c r="E4907" s="10"/>
      <c r="F4907" s="6">
        <v>60</v>
      </c>
      <c r="G4907" s="6">
        <f t="shared" si="246"/>
        <v>60</v>
      </c>
      <c r="H4907" s="6">
        <v>60</v>
      </c>
      <c r="I4907" s="26">
        <f t="shared" si="247"/>
        <v>0</v>
      </c>
      <c r="J4907" s="7" t="str">
        <f t="shared" si="248"/>
        <v>PAGADO</v>
      </c>
      <c r="K4907" s="33" t="s">
        <v>2712</v>
      </c>
      <c r="M4907" s="8"/>
    </row>
    <row r="4908" spans="3:13" customFormat="1" x14ac:dyDescent="0.25">
      <c r="C4908" s="9" t="s">
        <v>4636</v>
      </c>
      <c r="D4908" s="9" t="s">
        <v>3736</v>
      </c>
      <c r="E4908" s="10"/>
      <c r="F4908" s="6">
        <v>60</v>
      </c>
      <c r="G4908" s="6">
        <f t="shared" si="246"/>
        <v>60</v>
      </c>
      <c r="H4908" s="6">
        <v>60</v>
      </c>
      <c r="I4908" s="26">
        <f t="shared" si="247"/>
        <v>0</v>
      </c>
      <c r="J4908" s="7" t="str">
        <f t="shared" si="248"/>
        <v>PAGADO</v>
      </c>
      <c r="K4908" s="33" t="s">
        <v>2712</v>
      </c>
      <c r="M4908" s="8"/>
    </row>
    <row r="4909" spans="3:13" customFormat="1" x14ac:dyDescent="0.25">
      <c r="C4909" s="9" t="s">
        <v>4626</v>
      </c>
      <c r="D4909" s="9" t="s">
        <v>4502</v>
      </c>
      <c r="E4909" s="10"/>
      <c r="F4909" s="6">
        <v>65</v>
      </c>
      <c r="G4909" s="6">
        <f t="shared" si="246"/>
        <v>65</v>
      </c>
      <c r="H4909" s="6">
        <f>32+33</f>
        <v>65</v>
      </c>
      <c r="I4909" s="26">
        <f t="shared" si="247"/>
        <v>0</v>
      </c>
      <c r="J4909" s="7" t="str">
        <f t="shared" si="248"/>
        <v>PAGADO</v>
      </c>
      <c r="K4909" s="33" t="s">
        <v>2712</v>
      </c>
      <c r="M4909" s="8"/>
    </row>
    <row r="4910" spans="3:13" customFormat="1" x14ac:dyDescent="0.25">
      <c r="C4910" s="9" t="s">
        <v>4637</v>
      </c>
      <c r="D4910" s="9" t="s">
        <v>4598</v>
      </c>
      <c r="E4910" s="10"/>
      <c r="F4910" s="6">
        <v>60</v>
      </c>
      <c r="G4910" s="6">
        <f t="shared" si="246"/>
        <v>60</v>
      </c>
      <c r="H4910" s="6">
        <v>60</v>
      </c>
      <c r="I4910" s="26">
        <f t="shared" si="247"/>
        <v>0</v>
      </c>
      <c r="J4910" s="7" t="str">
        <f t="shared" si="248"/>
        <v>PAGADO</v>
      </c>
      <c r="K4910" s="33" t="s">
        <v>2712</v>
      </c>
      <c r="M4910" s="8"/>
    </row>
    <row r="4911" spans="3:13" customFormat="1" x14ac:dyDescent="0.25">
      <c r="C4911" s="9" t="s">
        <v>4638</v>
      </c>
      <c r="D4911" s="9" t="s">
        <v>4263</v>
      </c>
      <c r="E4911" s="10"/>
      <c r="F4911" s="6">
        <v>50</v>
      </c>
      <c r="G4911" s="6">
        <f t="shared" si="246"/>
        <v>50</v>
      </c>
      <c r="H4911" s="6">
        <f>25+25</f>
        <v>50</v>
      </c>
      <c r="I4911" s="26">
        <f t="shared" si="247"/>
        <v>0</v>
      </c>
      <c r="J4911" s="7" t="str">
        <f t="shared" si="248"/>
        <v>PAGADO</v>
      </c>
      <c r="K4911" s="33" t="s">
        <v>2712</v>
      </c>
      <c r="M4911" s="8"/>
    </row>
    <row r="4912" spans="3:13" customFormat="1" x14ac:dyDescent="0.25">
      <c r="C4912" s="14" t="s">
        <v>4639</v>
      </c>
      <c r="D4912" s="14" t="s">
        <v>3444</v>
      </c>
      <c r="E4912" s="15"/>
      <c r="F4912" s="16">
        <v>160</v>
      </c>
      <c r="G4912" s="16">
        <f t="shared" si="246"/>
        <v>160</v>
      </c>
      <c r="H4912" s="16">
        <v>160</v>
      </c>
      <c r="I4912" s="16">
        <f t="shared" si="247"/>
        <v>0</v>
      </c>
      <c r="J4912" s="17" t="str">
        <f t="shared" si="248"/>
        <v>PAGADO</v>
      </c>
      <c r="K4912" s="59" t="s">
        <v>2712</v>
      </c>
      <c r="M4912" s="8"/>
    </row>
    <row r="4913" spans="3:13" customFormat="1" x14ac:dyDescent="0.25">
      <c r="C4913" s="14" t="s">
        <v>4634</v>
      </c>
      <c r="D4913" s="14" t="s">
        <v>3444</v>
      </c>
      <c r="E4913" s="15"/>
      <c r="F4913" s="16">
        <v>180</v>
      </c>
      <c r="G4913" s="16">
        <f t="shared" si="246"/>
        <v>180</v>
      </c>
      <c r="H4913" s="16">
        <v>180</v>
      </c>
      <c r="I4913" s="16">
        <f t="shared" si="247"/>
        <v>0</v>
      </c>
      <c r="J4913" s="17" t="str">
        <f t="shared" si="248"/>
        <v>PAGADO</v>
      </c>
      <c r="K4913" s="59" t="s">
        <v>2712</v>
      </c>
      <c r="M4913" s="8"/>
    </row>
    <row r="4914" spans="3:13" customFormat="1" x14ac:dyDescent="0.25">
      <c r="C4914" s="14" t="s">
        <v>4640</v>
      </c>
      <c r="D4914" s="14" t="s">
        <v>3444</v>
      </c>
      <c r="E4914" s="15"/>
      <c r="F4914" s="16">
        <v>70</v>
      </c>
      <c r="G4914" s="16">
        <f t="shared" si="246"/>
        <v>70</v>
      </c>
      <c r="H4914" s="16">
        <v>70</v>
      </c>
      <c r="I4914" s="16">
        <f t="shared" si="247"/>
        <v>0</v>
      </c>
      <c r="J4914" s="17" t="str">
        <f t="shared" si="248"/>
        <v>PAGADO</v>
      </c>
      <c r="K4914" s="59" t="s">
        <v>2712</v>
      </c>
      <c r="M4914" s="8"/>
    </row>
    <row r="4915" spans="3:13" customFormat="1" x14ac:dyDescent="0.25">
      <c r="C4915" s="14" t="s">
        <v>4641</v>
      </c>
      <c r="D4915" s="14" t="s">
        <v>3444</v>
      </c>
      <c r="E4915" s="15"/>
      <c r="F4915" s="16">
        <v>60</v>
      </c>
      <c r="G4915" s="16">
        <f t="shared" si="246"/>
        <v>60</v>
      </c>
      <c r="H4915" s="16">
        <v>60</v>
      </c>
      <c r="I4915" s="16">
        <f t="shared" si="247"/>
        <v>0</v>
      </c>
      <c r="J4915" s="17" t="str">
        <f t="shared" si="248"/>
        <v>PAGADO</v>
      </c>
      <c r="K4915" s="59" t="s">
        <v>2712</v>
      </c>
      <c r="M4915" s="8"/>
    </row>
    <row r="4916" spans="3:13" customFormat="1" x14ac:dyDescent="0.25">
      <c r="C4916" s="9" t="s">
        <v>4612</v>
      </c>
      <c r="D4916" s="9" t="s">
        <v>1309</v>
      </c>
      <c r="E4916" s="10"/>
      <c r="F4916" s="6">
        <v>70</v>
      </c>
      <c r="G4916" s="6">
        <f t="shared" si="246"/>
        <v>70</v>
      </c>
      <c r="H4916" s="6">
        <v>70</v>
      </c>
      <c r="I4916" s="26">
        <f t="shared" si="247"/>
        <v>0</v>
      </c>
      <c r="J4916" s="7" t="str">
        <f t="shared" si="248"/>
        <v>PAGADO</v>
      </c>
      <c r="K4916" s="33" t="s">
        <v>2712</v>
      </c>
      <c r="M4916" s="8"/>
    </row>
    <row r="4917" spans="3:13" customFormat="1" x14ac:dyDescent="0.25">
      <c r="C4917" s="9" t="s">
        <v>4642</v>
      </c>
      <c r="D4917" s="9" t="s">
        <v>45</v>
      </c>
      <c r="E4917" s="10"/>
      <c r="F4917" s="6">
        <v>55</v>
      </c>
      <c r="G4917" s="6">
        <f t="shared" si="246"/>
        <v>55</v>
      </c>
      <c r="H4917" s="6">
        <v>55</v>
      </c>
      <c r="I4917" s="26">
        <f t="shared" si="247"/>
        <v>0</v>
      </c>
      <c r="J4917" s="7" t="str">
        <f t="shared" si="248"/>
        <v>PAGADO</v>
      </c>
      <c r="K4917" s="9" t="s">
        <v>2712</v>
      </c>
      <c r="M4917" s="8"/>
    </row>
    <row r="4918" spans="3:13" customFormat="1" x14ac:dyDescent="0.25">
      <c r="C4918" s="9" t="s">
        <v>4643</v>
      </c>
      <c r="D4918" s="9" t="s">
        <v>4598</v>
      </c>
      <c r="E4918" s="10"/>
      <c r="F4918" s="6">
        <v>15</v>
      </c>
      <c r="G4918" s="6">
        <f t="shared" si="246"/>
        <v>15</v>
      </c>
      <c r="H4918" s="6">
        <v>15</v>
      </c>
      <c r="I4918" s="26">
        <f t="shared" si="247"/>
        <v>0</v>
      </c>
      <c r="J4918" s="7" t="str">
        <f t="shared" si="248"/>
        <v>PAGADO</v>
      </c>
      <c r="K4918" s="33" t="s">
        <v>2712</v>
      </c>
      <c r="M4918" s="8"/>
    </row>
    <row r="4919" spans="3:13" customFormat="1" x14ac:dyDescent="0.25">
      <c r="C4919" s="9" t="s">
        <v>4644</v>
      </c>
      <c r="D4919" s="9" t="s">
        <v>1736</v>
      </c>
      <c r="E4919" s="10"/>
      <c r="F4919" s="6">
        <v>30</v>
      </c>
      <c r="G4919" s="6">
        <f t="shared" si="246"/>
        <v>30</v>
      </c>
      <c r="H4919" s="6">
        <f>15+15</f>
        <v>30</v>
      </c>
      <c r="I4919" s="26">
        <f t="shared" si="247"/>
        <v>0</v>
      </c>
      <c r="J4919" s="7" t="str">
        <f t="shared" si="248"/>
        <v>PAGADO</v>
      </c>
      <c r="K4919" s="59" t="s">
        <v>2712</v>
      </c>
      <c r="M4919" s="8"/>
    </row>
    <row r="4920" spans="3:13" customFormat="1" x14ac:dyDescent="0.25">
      <c r="C4920" s="9" t="s">
        <v>4645</v>
      </c>
      <c r="D4920" s="9" t="s">
        <v>3449</v>
      </c>
      <c r="E4920" s="10"/>
      <c r="F4920" s="6">
        <v>55</v>
      </c>
      <c r="G4920" s="6">
        <f t="shared" si="246"/>
        <v>55</v>
      </c>
      <c r="H4920" s="6">
        <f>27.5+27.5</f>
        <v>55</v>
      </c>
      <c r="I4920" s="26">
        <f t="shared" si="247"/>
        <v>0</v>
      </c>
      <c r="J4920" s="7" t="str">
        <f t="shared" si="248"/>
        <v>PAGADO</v>
      </c>
      <c r="K4920" s="33" t="s">
        <v>2712</v>
      </c>
      <c r="M4920" s="8"/>
    </row>
    <row r="4921" spans="3:13" customFormat="1" x14ac:dyDescent="0.25">
      <c r="C4921" s="9" t="s">
        <v>1558</v>
      </c>
      <c r="D4921" s="9" t="s">
        <v>3449</v>
      </c>
      <c r="E4921" s="10"/>
      <c r="F4921" s="6">
        <v>55</v>
      </c>
      <c r="G4921" s="6">
        <f t="shared" si="246"/>
        <v>55</v>
      </c>
      <c r="H4921" s="6">
        <f>27.5+27.5</f>
        <v>55</v>
      </c>
      <c r="I4921" s="26">
        <f t="shared" si="247"/>
        <v>0</v>
      </c>
      <c r="J4921" s="7" t="str">
        <f t="shared" si="248"/>
        <v>PAGADO</v>
      </c>
      <c r="K4921" s="33" t="s">
        <v>2712</v>
      </c>
      <c r="M4921" s="8"/>
    </row>
    <row r="4922" spans="3:13" customFormat="1" x14ac:dyDescent="0.25">
      <c r="C4922" s="9" t="s">
        <v>4646</v>
      </c>
      <c r="D4922" s="9" t="s">
        <v>3449</v>
      </c>
      <c r="E4922" s="10"/>
      <c r="F4922" s="6">
        <v>70</v>
      </c>
      <c r="G4922" s="6">
        <f t="shared" si="246"/>
        <v>70</v>
      </c>
      <c r="H4922" s="6">
        <f>35+35</f>
        <v>70</v>
      </c>
      <c r="I4922" s="26">
        <f t="shared" si="247"/>
        <v>0</v>
      </c>
      <c r="J4922" s="7" t="str">
        <f t="shared" si="248"/>
        <v>PAGADO</v>
      </c>
      <c r="K4922" s="28" t="s">
        <v>2712</v>
      </c>
      <c r="M4922" s="8"/>
    </row>
    <row r="4923" spans="3:13" customFormat="1" x14ac:dyDescent="0.25">
      <c r="C4923" s="9" t="s">
        <v>4620</v>
      </c>
      <c r="D4923" s="9" t="s">
        <v>1399</v>
      </c>
      <c r="E4923" s="10"/>
      <c r="F4923" s="6">
        <v>130</v>
      </c>
      <c r="G4923" s="6">
        <f t="shared" si="246"/>
        <v>130</v>
      </c>
      <c r="H4923" s="6">
        <f>65+65</f>
        <v>130</v>
      </c>
      <c r="I4923" s="26">
        <f t="shared" si="247"/>
        <v>0</v>
      </c>
      <c r="J4923" s="7" t="str">
        <f t="shared" si="248"/>
        <v>PAGADO</v>
      </c>
      <c r="K4923" s="33" t="s">
        <v>2712</v>
      </c>
      <c r="M4923" s="8"/>
    </row>
    <row r="4924" spans="3:13" customFormat="1" x14ac:dyDescent="0.25">
      <c r="C4924" s="9" t="s">
        <v>4647</v>
      </c>
      <c r="D4924" s="9" t="s">
        <v>1606</v>
      </c>
      <c r="E4924" s="10"/>
      <c r="F4924" s="6">
        <v>55</v>
      </c>
      <c r="G4924" s="6">
        <f t="shared" si="246"/>
        <v>55</v>
      </c>
      <c r="H4924" s="6">
        <v>55</v>
      </c>
      <c r="I4924" s="26">
        <f t="shared" si="247"/>
        <v>0</v>
      </c>
      <c r="J4924" s="7" t="str">
        <f t="shared" si="248"/>
        <v>PAGADO</v>
      </c>
      <c r="K4924" s="33" t="s">
        <v>2712</v>
      </c>
      <c r="M4924" s="8"/>
    </row>
    <row r="4925" spans="3:13" customFormat="1" x14ac:dyDescent="0.25">
      <c r="C4925" s="9" t="s">
        <v>4642</v>
      </c>
      <c r="D4925" s="9" t="s">
        <v>1606</v>
      </c>
      <c r="E4925" s="10"/>
      <c r="F4925" s="6">
        <v>55</v>
      </c>
      <c r="G4925" s="6">
        <f t="shared" si="246"/>
        <v>55</v>
      </c>
      <c r="H4925" s="6">
        <v>55</v>
      </c>
      <c r="I4925" s="26">
        <f t="shared" si="247"/>
        <v>0</v>
      </c>
      <c r="J4925" s="7" t="str">
        <f t="shared" si="248"/>
        <v>PAGADO</v>
      </c>
      <c r="K4925" s="33" t="s">
        <v>2712</v>
      </c>
      <c r="M4925" s="8"/>
    </row>
    <row r="4926" spans="3:13" customFormat="1" x14ac:dyDescent="0.25">
      <c r="C4926" s="9" t="s">
        <v>4640</v>
      </c>
      <c r="D4926" s="9" t="s">
        <v>3352</v>
      </c>
      <c r="E4926" s="10"/>
      <c r="F4926" s="26">
        <v>70</v>
      </c>
      <c r="G4926" s="26">
        <f t="shared" ref="G4926:G4989" si="249">F4926-E4926</f>
        <v>70</v>
      </c>
      <c r="H4926" s="26">
        <v>70</v>
      </c>
      <c r="I4926" s="26">
        <f t="shared" si="247"/>
        <v>0</v>
      </c>
      <c r="J4926" s="7" t="str">
        <f t="shared" si="248"/>
        <v>PAGADO</v>
      </c>
      <c r="K4926" s="33" t="s">
        <v>2712</v>
      </c>
      <c r="M4926" s="8"/>
    </row>
    <row r="4927" spans="3:13" customFormat="1" x14ac:dyDescent="0.25">
      <c r="C4927" s="9" t="s">
        <v>3224</v>
      </c>
      <c r="D4927" s="9" t="s">
        <v>3352</v>
      </c>
      <c r="E4927" s="10"/>
      <c r="F4927" s="26">
        <v>60</v>
      </c>
      <c r="G4927" s="26">
        <f t="shared" si="249"/>
        <v>60</v>
      </c>
      <c r="H4927" s="26">
        <v>60</v>
      </c>
      <c r="I4927" s="26">
        <f t="shared" si="247"/>
        <v>0</v>
      </c>
      <c r="J4927" s="7" t="str">
        <f t="shared" si="248"/>
        <v>PAGADO</v>
      </c>
      <c r="K4927" s="33" t="s">
        <v>2712</v>
      </c>
      <c r="M4927" s="8"/>
    </row>
    <row r="4928" spans="3:13" customFormat="1" x14ac:dyDescent="0.25">
      <c r="C4928" s="9" t="s">
        <v>4648</v>
      </c>
      <c r="D4928" s="9" t="s">
        <v>3352</v>
      </c>
      <c r="E4928" s="10"/>
      <c r="F4928" s="26">
        <v>60</v>
      </c>
      <c r="G4928" s="26">
        <f t="shared" si="249"/>
        <v>60</v>
      </c>
      <c r="H4928" s="26">
        <v>60</v>
      </c>
      <c r="I4928" s="26">
        <f t="shared" si="247"/>
        <v>0</v>
      </c>
      <c r="J4928" s="7" t="str">
        <f t="shared" si="248"/>
        <v>PAGADO</v>
      </c>
      <c r="K4928" s="33" t="s">
        <v>2712</v>
      </c>
      <c r="M4928" s="8"/>
    </row>
    <row r="4929" spans="3:13" customFormat="1" x14ac:dyDescent="0.25">
      <c r="C4929" s="9" t="s">
        <v>4609</v>
      </c>
      <c r="D4929" s="9" t="s">
        <v>1309</v>
      </c>
      <c r="E4929" s="10"/>
      <c r="F4929" s="6">
        <v>140</v>
      </c>
      <c r="G4929" s="6">
        <f t="shared" si="249"/>
        <v>140</v>
      </c>
      <c r="H4929" s="6">
        <v>140</v>
      </c>
      <c r="I4929" s="26">
        <f t="shared" si="247"/>
        <v>0</v>
      </c>
      <c r="J4929" s="7" t="str">
        <f t="shared" si="248"/>
        <v>PAGADO</v>
      </c>
      <c r="K4929" s="33" t="s">
        <v>2712</v>
      </c>
      <c r="M4929" s="8"/>
    </row>
    <row r="4930" spans="3:13" customFormat="1" x14ac:dyDescent="0.25">
      <c r="C4930" s="9" t="s">
        <v>4609</v>
      </c>
      <c r="D4930" t="s">
        <v>3142</v>
      </c>
      <c r="E4930" s="10"/>
      <c r="F4930" s="6">
        <v>140</v>
      </c>
      <c r="G4930" s="6">
        <f t="shared" si="249"/>
        <v>140</v>
      </c>
      <c r="H4930" s="6">
        <f>70+70</f>
        <v>140</v>
      </c>
      <c r="I4930" s="26">
        <f t="shared" si="247"/>
        <v>0</v>
      </c>
      <c r="J4930" s="7" t="str">
        <f t="shared" si="248"/>
        <v>PAGADO</v>
      </c>
      <c r="K4930" s="33" t="s">
        <v>2712</v>
      </c>
      <c r="M4930" s="8"/>
    </row>
    <row r="4931" spans="3:13" customFormat="1" x14ac:dyDescent="0.25">
      <c r="C4931" s="9" t="s">
        <v>4649</v>
      </c>
      <c r="D4931" s="9" t="s">
        <v>2278</v>
      </c>
      <c r="E4931" s="10"/>
      <c r="F4931" s="6">
        <v>65</v>
      </c>
      <c r="G4931" s="6">
        <f t="shared" si="249"/>
        <v>65</v>
      </c>
      <c r="H4931" s="6">
        <f>35+30</f>
        <v>65</v>
      </c>
      <c r="I4931" s="26">
        <f t="shared" si="247"/>
        <v>0</v>
      </c>
      <c r="J4931" s="7" t="str">
        <f t="shared" si="248"/>
        <v>PAGADO</v>
      </c>
      <c r="K4931" s="33" t="s">
        <v>2712</v>
      </c>
      <c r="M4931" s="8"/>
    </row>
    <row r="4932" spans="3:13" customFormat="1" x14ac:dyDescent="0.25">
      <c r="C4932" s="9" t="s">
        <v>4650</v>
      </c>
      <c r="D4932" s="9" t="s">
        <v>2392</v>
      </c>
      <c r="E4932" s="10"/>
      <c r="F4932" s="6">
        <v>65</v>
      </c>
      <c r="G4932" s="6">
        <f t="shared" si="249"/>
        <v>65</v>
      </c>
      <c r="H4932" s="6">
        <f>35+30</f>
        <v>65</v>
      </c>
      <c r="I4932" s="26">
        <f t="shared" si="247"/>
        <v>0</v>
      </c>
      <c r="J4932" s="7" t="str">
        <f t="shared" si="248"/>
        <v>PAGADO</v>
      </c>
      <c r="K4932" s="33" t="s">
        <v>2712</v>
      </c>
      <c r="M4932" s="8"/>
    </row>
    <row r="4933" spans="3:13" customFormat="1" x14ac:dyDescent="0.25">
      <c r="C4933" s="9" t="s">
        <v>4651</v>
      </c>
      <c r="D4933" s="9" t="s">
        <v>2935</v>
      </c>
      <c r="E4933" s="10"/>
      <c r="F4933" s="6">
        <v>60</v>
      </c>
      <c r="G4933" s="6">
        <f t="shared" si="249"/>
        <v>60</v>
      </c>
      <c r="H4933" s="6">
        <v>60</v>
      </c>
      <c r="I4933" s="26">
        <f t="shared" si="247"/>
        <v>0</v>
      </c>
      <c r="J4933" s="7" t="str">
        <f t="shared" si="248"/>
        <v>PAGADO</v>
      </c>
      <c r="K4933" s="33" t="s">
        <v>2712</v>
      </c>
      <c r="M4933" s="8"/>
    </row>
    <row r="4934" spans="3:13" customFormat="1" x14ac:dyDescent="0.25">
      <c r="C4934" s="9" t="s">
        <v>4652</v>
      </c>
      <c r="D4934" s="9" t="s">
        <v>2935</v>
      </c>
      <c r="E4934" s="10"/>
      <c r="F4934" s="6">
        <v>60</v>
      </c>
      <c r="G4934" s="6">
        <f t="shared" si="249"/>
        <v>60</v>
      </c>
      <c r="H4934" s="6">
        <v>60</v>
      </c>
      <c r="I4934" s="26">
        <f t="shared" si="247"/>
        <v>0</v>
      </c>
      <c r="J4934" s="7" t="str">
        <f t="shared" si="248"/>
        <v>PAGADO</v>
      </c>
      <c r="K4934" s="33" t="s">
        <v>2712</v>
      </c>
      <c r="M4934" s="8"/>
    </row>
    <row r="4935" spans="3:13" customFormat="1" x14ac:dyDescent="0.25">
      <c r="C4935" s="9" t="s">
        <v>4653</v>
      </c>
      <c r="D4935" s="9" t="s">
        <v>3316</v>
      </c>
      <c r="E4935" s="10"/>
      <c r="F4935" s="6">
        <v>90</v>
      </c>
      <c r="G4935" s="6">
        <f t="shared" si="249"/>
        <v>90</v>
      </c>
      <c r="H4935" s="48">
        <f>45+20+25</f>
        <v>90</v>
      </c>
      <c r="I4935" s="26">
        <f t="shared" si="247"/>
        <v>0</v>
      </c>
      <c r="J4935" s="7" t="str">
        <f t="shared" si="248"/>
        <v>PAGADO</v>
      </c>
      <c r="K4935" s="33" t="s">
        <v>2712</v>
      </c>
      <c r="M4935" s="8"/>
    </row>
    <row r="4936" spans="3:13" customFormat="1" x14ac:dyDescent="0.25">
      <c r="C4936" s="41" t="s">
        <v>4654</v>
      </c>
      <c r="D4936" s="41" t="s">
        <v>4587</v>
      </c>
      <c r="E4936" s="87"/>
      <c r="F4936" s="58">
        <v>50</v>
      </c>
      <c r="G4936" s="58">
        <f t="shared" si="249"/>
        <v>50</v>
      </c>
      <c r="H4936" s="58">
        <f>25+25</f>
        <v>50</v>
      </c>
      <c r="I4936" s="58">
        <f t="shared" si="247"/>
        <v>0</v>
      </c>
      <c r="J4936" s="88" t="str">
        <f t="shared" si="248"/>
        <v>PAGADO</v>
      </c>
      <c r="K4936" s="56" t="s">
        <v>2712</v>
      </c>
      <c r="L4936" s="41"/>
      <c r="M4936" s="8"/>
    </row>
    <row r="4937" spans="3:13" customFormat="1" x14ac:dyDescent="0.25">
      <c r="C4937" s="41" t="s">
        <v>4648</v>
      </c>
      <c r="D4937" s="41" t="s">
        <v>4587</v>
      </c>
      <c r="E4937" s="87"/>
      <c r="F4937" s="58">
        <v>60</v>
      </c>
      <c r="G4937" s="58">
        <f t="shared" si="249"/>
        <v>60</v>
      </c>
      <c r="H4937" s="58">
        <f>30+30</f>
        <v>60</v>
      </c>
      <c r="I4937" s="58">
        <f t="shared" si="247"/>
        <v>0</v>
      </c>
      <c r="J4937" s="88" t="str">
        <f t="shared" si="248"/>
        <v>PAGADO</v>
      </c>
      <c r="K4937" s="56" t="s">
        <v>2712</v>
      </c>
      <c r="L4937" s="41"/>
      <c r="M4937" s="8"/>
    </row>
    <row r="4938" spans="3:13" customFormat="1" x14ac:dyDescent="0.25">
      <c r="C4938" s="41" t="s">
        <v>4655</v>
      </c>
      <c r="D4938" s="41" t="s">
        <v>4587</v>
      </c>
      <c r="E4938" s="87"/>
      <c r="F4938" s="58">
        <v>80</v>
      </c>
      <c r="G4938" s="58">
        <f t="shared" si="249"/>
        <v>80</v>
      </c>
      <c r="H4938" s="58">
        <f>40+40</f>
        <v>80</v>
      </c>
      <c r="I4938" s="58">
        <f t="shared" si="247"/>
        <v>0</v>
      </c>
      <c r="J4938" s="88" t="str">
        <f t="shared" si="248"/>
        <v>PAGADO</v>
      </c>
      <c r="K4938" s="56" t="s">
        <v>2712</v>
      </c>
      <c r="L4938" s="41"/>
      <c r="M4938" s="8"/>
    </row>
    <row r="4939" spans="3:13" customFormat="1" x14ac:dyDescent="0.25">
      <c r="C4939" s="41" t="s">
        <v>4656</v>
      </c>
      <c r="D4939" s="41" t="s">
        <v>4587</v>
      </c>
      <c r="E4939" s="87"/>
      <c r="F4939" s="58">
        <v>80</v>
      </c>
      <c r="G4939" s="58">
        <f t="shared" si="249"/>
        <v>80</v>
      </c>
      <c r="H4939" s="58">
        <f>40+40</f>
        <v>80</v>
      </c>
      <c r="I4939" s="58">
        <f t="shared" ref="I4939:I5002" si="250">F4939-H4939</f>
        <v>0</v>
      </c>
      <c r="J4939" s="88" t="str">
        <f t="shared" si="248"/>
        <v>PAGADO</v>
      </c>
      <c r="K4939" s="56" t="s">
        <v>2712</v>
      </c>
      <c r="L4939" s="41"/>
      <c r="M4939" s="8"/>
    </row>
    <row r="4940" spans="3:13" customFormat="1" x14ac:dyDescent="0.25">
      <c r="C4940" s="41" t="s">
        <v>4657</v>
      </c>
      <c r="D4940" s="41" t="s">
        <v>4587</v>
      </c>
      <c r="E4940" s="87"/>
      <c r="F4940" s="58">
        <v>80</v>
      </c>
      <c r="G4940" s="58">
        <f t="shared" si="249"/>
        <v>80</v>
      </c>
      <c r="H4940" s="58">
        <f>40+40</f>
        <v>80</v>
      </c>
      <c r="I4940" s="58">
        <f t="shared" si="250"/>
        <v>0</v>
      </c>
      <c r="J4940" s="88" t="str">
        <f t="shared" si="248"/>
        <v>PAGADO</v>
      </c>
      <c r="K4940" s="56" t="s">
        <v>2712</v>
      </c>
      <c r="L4940" s="41"/>
      <c r="M4940" s="8"/>
    </row>
    <row r="4941" spans="3:13" customFormat="1" x14ac:dyDescent="0.25">
      <c r="C4941" s="41" t="s">
        <v>4658</v>
      </c>
      <c r="D4941" s="41" t="s">
        <v>4587</v>
      </c>
      <c r="E4941" s="87"/>
      <c r="F4941" s="58">
        <v>60</v>
      </c>
      <c r="G4941" s="58">
        <f t="shared" si="249"/>
        <v>60</v>
      </c>
      <c r="H4941" s="58">
        <f>30+30</f>
        <v>60</v>
      </c>
      <c r="I4941" s="58">
        <f t="shared" si="250"/>
        <v>0</v>
      </c>
      <c r="J4941" s="88" t="str">
        <f t="shared" si="248"/>
        <v>PAGADO</v>
      </c>
      <c r="K4941" s="56" t="s">
        <v>2712</v>
      </c>
      <c r="L4941" s="41"/>
      <c r="M4941" s="8"/>
    </row>
    <row r="4942" spans="3:13" customFormat="1" x14ac:dyDescent="0.25">
      <c r="C4942" s="22" t="s">
        <v>4659</v>
      </c>
      <c r="D4942" s="14" t="s">
        <v>2548</v>
      </c>
      <c r="E4942" s="15"/>
      <c r="F4942" s="16">
        <v>75</v>
      </c>
      <c r="G4942" s="16">
        <f t="shared" si="249"/>
        <v>75</v>
      </c>
      <c r="H4942" s="16">
        <v>75</v>
      </c>
      <c r="I4942" s="16">
        <f t="shared" si="250"/>
        <v>0</v>
      </c>
      <c r="J4942" s="17" t="str">
        <f t="shared" si="248"/>
        <v>PAGADO</v>
      </c>
      <c r="K4942" s="59" t="s">
        <v>2712</v>
      </c>
      <c r="L4942" s="22"/>
      <c r="M4942" s="8"/>
    </row>
    <row r="4943" spans="3:13" customFormat="1" x14ac:dyDescent="0.25">
      <c r="C4943" s="22" t="s">
        <v>4660</v>
      </c>
      <c r="D4943" s="14" t="s">
        <v>2548</v>
      </c>
      <c r="E4943" s="15"/>
      <c r="F4943" s="16">
        <v>55</v>
      </c>
      <c r="G4943" s="16">
        <f t="shared" si="249"/>
        <v>55</v>
      </c>
      <c r="H4943" s="16">
        <v>55</v>
      </c>
      <c r="I4943" s="16">
        <f t="shared" si="250"/>
        <v>0</v>
      </c>
      <c r="J4943" s="17" t="str">
        <f t="shared" ref="J4943:J5006" si="251">IF(I4943&gt;0,"DEBE","PAGADO")</f>
        <v>PAGADO</v>
      </c>
      <c r="K4943" s="59" t="s">
        <v>2712</v>
      </c>
      <c r="L4943" s="22"/>
      <c r="M4943" s="8"/>
    </row>
    <row r="4944" spans="3:13" customFormat="1" x14ac:dyDescent="0.25">
      <c r="C4944" s="22" t="s">
        <v>4613</v>
      </c>
      <c r="D4944" s="14" t="s">
        <v>3213</v>
      </c>
      <c r="E4944" s="15"/>
      <c r="F4944" s="16">
        <v>70</v>
      </c>
      <c r="G4944" s="16">
        <f t="shared" si="249"/>
        <v>70</v>
      </c>
      <c r="H4944" s="16">
        <v>70</v>
      </c>
      <c r="I4944" s="83">
        <f t="shared" si="250"/>
        <v>0</v>
      </c>
      <c r="J4944" s="17" t="str">
        <f t="shared" si="251"/>
        <v>PAGADO</v>
      </c>
      <c r="K4944" s="18" t="s">
        <v>2712</v>
      </c>
      <c r="M4944" s="8"/>
    </row>
    <row r="4945" spans="1:12" x14ac:dyDescent="0.25">
      <c r="A4945"/>
      <c r="C4945" s="22" t="s">
        <v>2243</v>
      </c>
      <c r="D4945" s="14" t="s">
        <v>3213</v>
      </c>
      <c r="E4945" s="15"/>
      <c r="F4945" s="16">
        <v>80</v>
      </c>
      <c r="G4945" s="16">
        <f t="shared" si="249"/>
        <v>80</v>
      </c>
      <c r="H4945" s="16">
        <v>80</v>
      </c>
      <c r="I4945" s="83">
        <f t="shared" si="250"/>
        <v>0</v>
      </c>
      <c r="J4945" s="17" t="str">
        <f t="shared" si="251"/>
        <v>PAGADO</v>
      </c>
      <c r="K4945" s="18" t="s">
        <v>2712</v>
      </c>
    </row>
    <row r="4946" spans="1:12" x14ac:dyDescent="0.25">
      <c r="A4946"/>
      <c r="C4946" t="s">
        <v>3302</v>
      </c>
      <c r="D4946" s="9" t="s">
        <v>3213</v>
      </c>
      <c r="F4946" s="6">
        <v>70</v>
      </c>
      <c r="G4946" s="6">
        <f t="shared" si="249"/>
        <v>70</v>
      </c>
      <c r="H4946" s="6">
        <f>35+35</f>
        <v>70</v>
      </c>
      <c r="I4946" s="26">
        <f t="shared" si="250"/>
        <v>0</v>
      </c>
      <c r="J4946" s="7" t="str">
        <f t="shared" si="251"/>
        <v>PAGADO</v>
      </c>
      <c r="K4946" s="28" t="s">
        <v>3506</v>
      </c>
    </row>
    <row r="4947" spans="1:12" x14ac:dyDescent="0.25">
      <c r="A4947"/>
      <c r="C4947" t="s">
        <v>4661</v>
      </c>
      <c r="D4947" s="9" t="s">
        <v>3213</v>
      </c>
      <c r="F4947" s="6">
        <v>60</v>
      </c>
      <c r="G4947" s="6">
        <f t="shared" si="249"/>
        <v>60</v>
      </c>
      <c r="H4947" s="6">
        <v>60</v>
      </c>
      <c r="I4947" s="83">
        <f t="shared" si="250"/>
        <v>0</v>
      </c>
      <c r="J4947" s="7" t="str">
        <f t="shared" si="251"/>
        <v>PAGADO</v>
      </c>
      <c r="K4947" s="28" t="s">
        <v>2712</v>
      </c>
    </row>
    <row r="4948" spans="1:12" x14ac:dyDescent="0.25">
      <c r="A4948"/>
      <c r="C4948" t="s">
        <v>4662</v>
      </c>
      <c r="D4948" s="9" t="s">
        <v>3213</v>
      </c>
      <c r="F4948" s="6">
        <v>60</v>
      </c>
      <c r="G4948" s="6">
        <f t="shared" si="249"/>
        <v>60</v>
      </c>
      <c r="H4948" s="6">
        <v>60</v>
      </c>
      <c r="I4948" s="83">
        <f t="shared" si="250"/>
        <v>0</v>
      </c>
      <c r="J4948" s="7" t="str">
        <f t="shared" si="251"/>
        <v>PAGADO</v>
      </c>
      <c r="K4948" s="28" t="s">
        <v>2712</v>
      </c>
    </row>
    <row r="4949" spans="1:12" x14ac:dyDescent="0.25">
      <c r="A4949"/>
      <c r="C4949" t="s">
        <v>4663</v>
      </c>
      <c r="D4949" s="9" t="s">
        <v>4141</v>
      </c>
      <c r="F4949" s="6">
        <v>130</v>
      </c>
      <c r="G4949" s="6">
        <f t="shared" si="249"/>
        <v>130</v>
      </c>
      <c r="H4949" s="6">
        <v>130</v>
      </c>
      <c r="I4949" s="26">
        <f t="shared" si="250"/>
        <v>0</v>
      </c>
      <c r="J4949" s="7" t="str">
        <f t="shared" si="251"/>
        <v>PAGADO</v>
      </c>
      <c r="K4949" s="33" t="s">
        <v>2712</v>
      </c>
    </row>
    <row r="4950" spans="1:12" x14ac:dyDescent="0.25">
      <c r="A4950"/>
      <c r="C4950" s="9" t="s">
        <v>4630</v>
      </c>
      <c r="D4950" s="9" t="s">
        <v>1145</v>
      </c>
      <c r="F4950" s="6">
        <v>60</v>
      </c>
      <c r="G4950" s="6">
        <f t="shared" si="249"/>
        <v>60</v>
      </c>
      <c r="H4950" s="6">
        <v>60</v>
      </c>
      <c r="I4950" s="26">
        <f t="shared" si="250"/>
        <v>0</v>
      </c>
      <c r="J4950" s="7" t="str">
        <f t="shared" si="251"/>
        <v>PAGADO</v>
      </c>
      <c r="K4950" s="33" t="s">
        <v>2712</v>
      </c>
    </row>
    <row r="4951" spans="1:12" x14ac:dyDescent="0.25">
      <c r="A4951"/>
      <c r="C4951" s="14" t="s">
        <v>4614</v>
      </c>
      <c r="D4951" s="14" t="s">
        <v>2548</v>
      </c>
      <c r="E4951" s="15"/>
      <c r="F4951" s="16">
        <v>80</v>
      </c>
      <c r="G4951" s="16">
        <f t="shared" si="249"/>
        <v>80</v>
      </c>
      <c r="H4951" s="16">
        <v>80</v>
      </c>
      <c r="I4951" s="16">
        <f t="shared" si="250"/>
        <v>0</v>
      </c>
      <c r="J4951" s="17" t="str">
        <f t="shared" si="251"/>
        <v>PAGADO</v>
      </c>
      <c r="K4951" s="59" t="s">
        <v>2712</v>
      </c>
      <c r="L4951" s="22"/>
    </row>
    <row r="4952" spans="1:12" x14ac:dyDescent="0.25">
      <c r="A4952"/>
      <c r="C4952" s="9" t="s">
        <v>4664</v>
      </c>
      <c r="D4952" s="9" t="s">
        <v>4665</v>
      </c>
      <c r="F4952" s="6">
        <v>20</v>
      </c>
      <c r="G4952" s="6">
        <f t="shared" si="249"/>
        <v>20</v>
      </c>
      <c r="H4952" s="6">
        <v>20</v>
      </c>
      <c r="I4952" s="26">
        <f t="shared" si="250"/>
        <v>0</v>
      </c>
      <c r="J4952" s="7" t="str">
        <f t="shared" si="251"/>
        <v>PAGADO</v>
      </c>
    </row>
    <row r="4953" spans="1:12" x14ac:dyDescent="0.25">
      <c r="A4953"/>
      <c r="C4953" t="s">
        <v>4666</v>
      </c>
      <c r="D4953" s="9" t="s">
        <v>2326</v>
      </c>
      <c r="F4953" s="6">
        <v>30</v>
      </c>
      <c r="G4953" s="6">
        <f t="shared" si="249"/>
        <v>30</v>
      </c>
      <c r="H4953" s="6">
        <v>30</v>
      </c>
      <c r="I4953" s="26">
        <f t="shared" si="250"/>
        <v>0</v>
      </c>
      <c r="J4953" s="7" t="str">
        <f t="shared" si="251"/>
        <v>PAGADO</v>
      </c>
    </row>
    <row r="4954" spans="1:12" x14ac:dyDescent="0.25">
      <c r="A4954"/>
      <c r="C4954" s="9" t="s">
        <v>4495</v>
      </c>
      <c r="D4954" t="s">
        <v>3592</v>
      </c>
      <c r="F4954" s="6">
        <v>60</v>
      </c>
      <c r="G4954" s="6">
        <f t="shared" si="249"/>
        <v>60</v>
      </c>
      <c r="H4954" s="6">
        <v>60</v>
      </c>
      <c r="I4954" s="26">
        <f t="shared" si="250"/>
        <v>0</v>
      </c>
      <c r="J4954" s="7" t="str">
        <f t="shared" si="251"/>
        <v>PAGADO</v>
      </c>
    </row>
    <row r="4955" spans="1:12" x14ac:dyDescent="0.25">
      <c r="A4955"/>
      <c r="C4955" s="9" t="s">
        <v>4667</v>
      </c>
      <c r="D4955" s="9" t="s">
        <v>4454</v>
      </c>
      <c r="F4955" s="6">
        <v>15</v>
      </c>
      <c r="G4955" s="6">
        <f t="shared" si="249"/>
        <v>15</v>
      </c>
      <c r="H4955" s="6">
        <v>15</v>
      </c>
      <c r="I4955" s="26">
        <f t="shared" si="250"/>
        <v>0</v>
      </c>
      <c r="J4955" s="7" t="str">
        <f t="shared" si="251"/>
        <v>PAGADO</v>
      </c>
      <c r="K4955" s="33" t="s">
        <v>2639</v>
      </c>
    </row>
    <row r="4956" spans="1:12" x14ac:dyDescent="0.25">
      <c r="A4956"/>
      <c r="C4956" s="9" t="s">
        <v>4668</v>
      </c>
      <c r="D4956" s="9" t="s">
        <v>4454</v>
      </c>
      <c r="F4956" s="6">
        <v>45</v>
      </c>
      <c r="G4956" s="6">
        <f t="shared" si="249"/>
        <v>45</v>
      </c>
      <c r="H4956" s="6">
        <v>45</v>
      </c>
      <c r="I4956" s="26">
        <f t="shared" si="250"/>
        <v>0</v>
      </c>
      <c r="J4956" s="7" t="str">
        <f t="shared" si="251"/>
        <v>PAGADO</v>
      </c>
      <c r="K4956" s="33" t="s">
        <v>2639</v>
      </c>
    </row>
    <row r="4957" spans="1:12" x14ac:dyDescent="0.25">
      <c r="A4957"/>
      <c r="C4957" s="9" t="s">
        <v>4669</v>
      </c>
      <c r="D4957" s="9" t="s">
        <v>4454</v>
      </c>
      <c r="F4957" s="6">
        <v>20</v>
      </c>
      <c r="G4957" s="6">
        <f t="shared" si="249"/>
        <v>20</v>
      </c>
      <c r="H4957" s="6">
        <v>20</v>
      </c>
      <c r="I4957" s="26">
        <f t="shared" si="250"/>
        <v>0</v>
      </c>
      <c r="J4957" s="7" t="str">
        <f t="shared" si="251"/>
        <v>PAGADO</v>
      </c>
      <c r="K4957" s="33" t="s">
        <v>3506</v>
      </c>
    </row>
    <row r="4958" spans="1:12" x14ac:dyDescent="0.25">
      <c r="A4958"/>
      <c r="C4958" s="9" t="s">
        <v>4670</v>
      </c>
      <c r="D4958" s="9" t="s">
        <v>4454</v>
      </c>
      <c r="F4958" s="6">
        <v>70</v>
      </c>
      <c r="G4958" s="6">
        <f t="shared" si="249"/>
        <v>70</v>
      </c>
      <c r="H4958" s="6">
        <f>35+35</f>
        <v>70</v>
      </c>
      <c r="I4958" s="26">
        <f t="shared" si="250"/>
        <v>0</v>
      </c>
      <c r="J4958" s="7" t="str">
        <f t="shared" si="251"/>
        <v>PAGADO</v>
      </c>
      <c r="K4958" s="33" t="s">
        <v>3506</v>
      </c>
    </row>
    <row r="4959" spans="1:12" x14ac:dyDescent="0.25">
      <c r="A4959"/>
      <c r="C4959" s="9" t="s">
        <v>4671</v>
      </c>
      <c r="D4959" s="9" t="s">
        <v>4577</v>
      </c>
      <c r="F4959" s="6">
        <v>100</v>
      </c>
      <c r="G4959" s="6">
        <f t="shared" si="249"/>
        <v>100</v>
      </c>
      <c r="H4959" s="6">
        <v>100</v>
      </c>
      <c r="I4959" s="26">
        <f t="shared" si="250"/>
        <v>0</v>
      </c>
      <c r="J4959" s="7" t="str">
        <f t="shared" si="251"/>
        <v>PAGADO</v>
      </c>
      <c r="K4959" s="33" t="s">
        <v>3506</v>
      </c>
    </row>
    <row r="4960" spans="1:12" x14ac:dyDescent="0.25">
      <c r="A4960"/>
      <c r="C4960" t="s">
        <v>4672</v>
      </c>
      <c r="D4960" s="9" t="s">
        <v>2326</v>
      </c>
      <c r="F4960" s="6">
        <v>25</v>
      </c>
      <c r="G4960" s="6">
        <f t="shared" si="249"/>
        <v>25</v>
      </c>
      <c r="H4960" s="6">
        <v>25</v>
      </c>
      <c r="I4960" s="26">
        <f t="shared" si="250"/>
        <v>0</v>
      </c>
      <c r="J4960" s="7" t="str">
        <f t="shared" si="251"/>
        <v>PAGADO</v>
      </c>
    </row>
    <row r="4961" spans="1:11" x14ac:dyDescent="0.25">
      <c r="A4961"/>
      <c r="C4961" t="s">
        <v>4673</v>
      </c>
      <c r="D4961" s="9" t="s">
        <v>1309</v>
      </c>
      <c r="F4961" s="6">
        <v>150</v>
      </c>
      <c r="G4961" s="6">
        <f t="shared" si="249"/>
        <v>150</v>
      </c>
      <c r="H4961" s="6">
        <v>150</v>
      </c>
      <c r="I4961" s="26">
        <f t="shared" si="250"/>
        <v>0</v>
      </c>
      <c r="J4961" s="7" t="str">
        <f t="shared" si="251"/>
        <v>PAGADO</v>
      </c>
      <c r="K4961" s="9" t="s">
        <v>2639</v>
      </c>
    </row>
    <row r="4962" spans="1:11" x14ac:dyDescent="0.25">
      <c r="A4962"/>
      <c r="C4962" t="s">
        <v>4674</v>
      </c>
      <c r="D4962" s="9" t="s">
        <v>4675</v>
      </c>
      <c r="F4962" s="6">
        <v>165</v>
      </c>
      <c r="G4962" s="6">
        <f t="shared" si="249"/>
        <v>165</v>
      </c>
      <c r="H4962" s="6">
        <v>165</v>
      </c>
      <c r="I4962" s="26">
        <f t="shared" si="250"/>
        <v>0</v>
      </c>
      <c r="J4962" s="7" t="str">
        <f t="shared" si="251"/>
        <v>PAGADO</v>
      </c>
    </row>
    <row r="4963" spans="1:11" x14ac:dyDescent="0.25">
      <c r="A4963"/>
      <c r="C4963" t="s">
        <v>4676</v>
      </c>
      <c r="D4963" s="9" t="s">
        <v>1309</v>
      </c>
      <c r="F4963" s="6">
        <v>45</v>
      </c>
      <c r="G4963" s="6">
        <f t="shared" si="249"/>
        <v>45</v>
      </c>
      <c r="H4963" s="6">
        <v>45</v>
      </c>
      <c r="I4963" s="26">
        <f t="shared" si="250"/>
        <v>0</v>
      </c>
      <c r="J4963" s="7" t="str">
        <f t="shared" si="251"/>
        <v>PAGADO</v>
      </c>
      <c r="K4963" s="33" t="s">
        <v>3506</v>
      </c>
    </row>
    <row r="4964" spans="1:11" x14ac:dyDescent="0.25">
      <c r="A4964"/>
      <c r="C4964" t="s">
        <v>4677</v>
      </c>
      <c r="D4964" s="9" t="s">
        <v>4598</v>
      </c>
      <c r="F4964" s="6">
        <v>180</v>
      </c>
      <c r="G4964" s="6">
        <f t="shared" si="249"/>
        <v>180</v>
      </c>
      <c r="H4964" s="6">
        <f>90+90</f>
        <v>180</v>
      </c>
      <c r="I4964" s="16">
        <f t="shared" si="250"/>
        <v>0</v>
      </c>
      <c r="J4964" s="7" t="str">
        <f t="shared" si="251"/>
        <v>PAGADO</v>
      </c>
      <c r="K4964" s="33" t="s">
        <v>2639</v>
      </c>
    </row>
    <row r="4965" spans="1:11" x14ac:dyDescent="0.25">
      <c r="A4965"/>
      <c r="C4965" t="s">
        <v>4678</v>
      </c>
      <c r="D4965" s="9" t="s">
        <v>4598</v>
      </c>
      <c r="F4965" s="6">
        <v>15</v>
      </c>
      <c r="G4965" s="6">
        <f t="shared" si="249"/>
        <v>15</v>
      </c>
      <c r="H4965" s="6">
        <f>7.5+7.5</f>
        <v>15</v>
      </c>
      <c r="I4965" s="16">
        <f t="shared" si="250"/>
        <v>0</v>
      </c>
      <c r="J4965" s="7" t="str">
        <f t="shared" si="251"/>
        <v>PAGADO</v>
      </c>
      <c r="K4965" s="33" t="s">
        <v>2639</v>
      </c>
    </row>
    <row r="4966" spans="1:11" x14ac:dyDescent="0.25">
      <c r="A4966"/>
      <c r="C4966" t="s">
        <v>4679</v>
      </c>
      <c r="D4966" s="9" t="s">
        <v>4598</v>
      </c>
      <c r="F4966" s="6">
        <v>55</v>
      </c>
      <c r="G4966" s="6">
        <f t="shared" si="249"/>
        <v>55</v>
      </c>
      <c r="H4966" s="6">
        <v>55</v>
      </c>
      <c r="I4966" s="26">
        <f t="shared" si="250"/>
        <v>0</v>
      </c>
      <c r="J4966" s="7" t="str">
        <f t="shared" si="251"/>
        <v>PAGADO</v>
      </c>
      <c r="K4966" s="33" t="s">
        <v>3506</v>
      </c>
    </row>
    <row r="4967" spans="1:11" x14ac:dyDescent="0.25">
      <c r="A4967"/>
      <c r="C4967" s="9" t="s">
        <v>4210</v>
      </c>
      <c r="D4967" s="9" t="s">
        <v>1145</v>
      </c>
      <c r="F4967" s="6">
        <v>60</v>
      </c>
      <c r="G4967" s="6">
        <f t="shared" si="249"/>
        <v>60</v>
      </c>
      <c r="H4967" s="6">
        <v>60</v>
      </c>
      <c r="I4967" s="16">
        <f t="shared" si="250"/>
        <v>0</v>
      </c>
      <c r="J4967" s="7" t="str">
        <f t="shared" si="251"/>
        <v>PAGADO</v>
      </c>
      <c r="K4967" s="33" t="s">
        <v>3506</v>
      </c>
    </row>
    <row r="4968" spans="1:11" x14ac:dyDescent="0.25">
      <c r="A4968"/>
      <c r="C4968" s="9" t="s">
        <v>4680</v>
      </c>
      <c r="D4968" s="9" t="s">
        <v>1145</v>
      </c>
      <c r="F4968" s="6">
        <v>70</v>
      </c>
      <c r="G4968" s="6">
        <f t="shared" si="249"/>
        <v>70</v>
      </c>
      <c r="H4968" s="6">
        <v>70</v>
      </c>
      <c r="I4968" s="26">
        <f t="shared" si="250"/>
        <v>0</v>
      </c>
      <c r="J4968" s="7" t="str">
        <f t="shared" si="251"/>
        <v>PAGADO</v>
      </c>
      <c r="K4968" s="33" t="s">
        <v>3506</v>
      </c>
    </row>
    <row r="4969" spans="1:11" x14ac:dyDescent="0.25">
      <c r="A4969"/>
      <c r="C4969" s="9" t="s">
        <v>4681</v>
      </c>
      <c r="D4969" s="9" t="s">
        <v>1145</v>
      </c>
      <c r="F4969" s="6">
        <v>60</v>
      </c>
      <c r="G4969" s="6">
        <f t="shared" si="249"/>
        <v>60</v>
      </c>
      <c r="H4969" s="6">
        <v>60</v>
      </c>
      <c r="I4969" s="16">
        <f t="shared" si="250"/>
        <v>0</v>
      </c>
      <c r="J4969" s="7" t="str">
        <f t="shared" si="251"/>
        <v>PAGADO</v>
      </c>
      <c r="K4969" s="33" t="s">
        <v>3506</v>
      </c>
    </row>
    <row r="4970" spans="1:11" x14ac:dyDescent="0.25">
      <c r="A4970"/>
      <c r="C4970" s="9" t="s">
        <v>4682</v>
      </c>
      <c r="D4970" s="9" t="s">
        <v>4683</v>
      </c>
      <c r="F4970" s="26">
        <v>40</v>
      </c>
      <c r="G4970" s="26">
        <f t="shared" si="249"/>
        <v>40</v>
      </c>
      <c r="H4970" s="26">
        <v>40</v>
      </c>
      <c r="I4970" s="26">
        <f t="shared" si="250"/>
        <v>0</v>
      </c>
      <c r="J4970" s="7" t="str">
        <f t="shared" si="251"/>
        <v>PAGADO</v>
      </c>
      <c r="K4970" s="33" t="s">
        <v>3506</v>
      </c>
    </row>
    <row r="4971" spans="1:11" x14ac:dyDescent="0.25">
      <c r="A4971"/>
      <c r="C4971" s="9" t="s">
        <v>4681</v>
      </c>
      <c r="D4971" s="9" t="s">
        <v>4683</v>
      </c>
      <c r="F4971" s="26">
        <v>60</v>
      </c>
      <c r="G4971" s="26">
        <f t="shared" si="249"/>
        <v>60</v>
      </c>
      <c r="H4971" s="26">
        <v>60</v>
      </c>
      <c r="I4971" s="26">
        <f t="shared" si="250"/>
        <v>0</v>
      </c>
      <c r="J4971" s="7" t="str">
        <f t="shared" si="251"/>
        <v>PAGADO</v>
      </c>
      <c r="K4971" s="33" t="s">
        <v>3506</v>
      </c>
    </row>
    <row r="4972" spans="1:11" x14ac:dyDescent="0.25">
      <c r="A4972"/>
      <c r="C4972" t="s">
        <v>4684</v>
      </c>
      <c r="D4972" s="9" t="s">
        <v>4598</v>
      </c>
      <c r="F4972" s="6">
        <v>40</v>
      </c>
      <c r="G4972" s="6">
        <f t="shared" si="249"/>
        <v>40</v>
      </c>
      <c r="H4972" s="6">
        <v>40</v>
      </c>
      <c r="I4972" s="26">
        <f t="shared" si="250"/>
        <v>0</v>
      </c>
      <c r="J4972" s="7" t="str">
        <f t="shared" si="251"/>
        <v>PAGADO</v>
      </c>
      <c r="K4972" s="33" t="s">
        <v>3506</v>
      </c>
    </row>
    <row r="4973" spans="1:11" x14ac:dyDescent="0.25">
      <c r="A4973"/>
      <c r="C4973" s="9" t="s">
        <v>4685</v>
      </c>
      <c r="D4973" s="9" t="s">
        <v>18</v>
      </c>
      <c r="F4973" s="6">
        <v>220</v>
      </c>
      <c r="G4973" s="6">
        <f t="shared" si="249"/>
        <v>220</v>
      </c>
      <c r="H4973" s="6">
        <f>100+100+20</f>
        <v>220</v>
      </c>
      <c r="I4973" s="26">
        <f t="shared" si="250"/>
        <v>0</v>
      </c>
      <c r="J4973" s="7" t="str">
        <f t="shared" si="251"/>
        <v>PAGADO</v>
      </c>
      <c r="K4973" s="28" t="s">
        <v>2712</v>
      </c>
    </row>
    <row r="4974" spans="1:11" x14ac:dyDescent="0.25">
      <c r="A4974"/>
      <c r="C4974" s="9" t="s">
        <v>4686</v>
      </c>
      <c r="D4974" t="s">
        <v>4030</v>
      </c>
      <c r="F4974" s="6">
        <v>60</v>
      </c>
      <c r="G4974" s="6">
        <f t="shared" si="249"/>
        <v>60</v>
      </c>
      <c r="H4974" s="6">
        <f>30+30</f>
        <v>60</v>
      </c>
      <c r="I4974" s="26">
        <f t="shared" si="250"/>
        <v>0</v>
      </c>
      <c r="J4974" s="7" t="str">
        <f t="shared" si="251"/>
        <v>PAGADO</v>
      </c>
      <c r="K4974" s="33" t="s">
        <v>3819</v>
      </c>
    </row>
    <row r="4975" spans="1:11" x14ac:dyDescent="0.25">
      <c r="A4975"/>
      <c r="C4975" s="9" t="s">
        <v>4686</v>
      </c>
      <c r="D4975" s="9" t="s">
        <v>4111</v>
      </c>
      <c r="F4975" s="6">
        <v>60</v>
      </c>
      <c r="G4975" s="6">
        <f t="shared" si="249"/>
        <v>60</v>
      </c>
      <c r="H4975" s="6">
        <f>30+30</f>
        <v>60</v>
      </c>
      <c r="I4975" s="26">
        <f t="shared" si="250"/>
        <v>0</v>
      </c>
      <c r="J4975" s="7" t="str">
        <f t="shared" si="251"/>
        <v>PAGADO</v>
      </c>
      <c r="K4975" s="33" t="s">
        <v>3819</v>
      </c>
    </row>
    <row r="4976" spans="1:11" x14ac:dyDescent="0.25">
      <c r="A4976"/>
      <c r="C4976" s="9" t="s">
        <v>4686</v>
      </c>
      <c r="D4976" s="9" t="s">
        <v>3463</v>
      </c>
      <c r="F4976" s="6">
        <v>60</v>
      </c>
      <c r="G4976" s="6">
        <f t="shared" si="249"/>
        <v>60</v>
      </c>
      <c r="H4976" s="6">
        <f>30+30</f>
        <v>60</v>
      </c>
      <c r="I4976" s="26">
        <f t="shared" si="250"/>
        <v>0</v>
      </c>
      <c r="J4976" s="7" t="str">
        <f t="shared" si="251"/>
        <v>PAGADO</v>
      </c>
      <c r="K4976" s="33" t="s">
        <v>3819</v>
      </c>
    </row>
    <row r="4977" spans="1:12" x14ac:dyDescent="0.25">
      <c r="A4977"/>
      <c r="C4977" s="41" t="s">
        <v>4686</v>
      </c>
      <c r="D4977" s="41" t="s">
        <v>4587</v>
      </c>
      <c r="E4977" s="87"/>
      <c r="F4977" s="58">
        <v>60</v>
      </c>
      <c r="G4977" s="58">
        <f t="shared" si="249"/>
        <v>60</v>
      </c>
      <c r="H4977" s="58">
        <f>30+30</f>
        <v>60</v>
      </c>
      <c r="I4977" s="58">
        <f t="shared" si="250"/>
        <v>0</v>
      </c>
      <c r="J4977" s="88" t="str">
        <f t="shared" si="251"/>
        <v>PAGADO</v>
      </c>
      <c r="K4977" s="56" t="s">
        <v>3819</v>
      </c>
      <c r="L4977" s="41" t="s">
        <v>4687</v>
      </c>
    </row>
    <row r="4978" spans="1:12" x14ac:dyDescent="0.25">
      <c r="A4978"/>
      <c r="C4978" s="9" t="s">
        <v>4688</v>
      </c>
      <c r="D4978" s="9" t="s">
        <v>4675</v>
      </c>
      <c r="F4978" s="6">
        <v>30</v>
      </c>
      <c r="G4978" s="6">
        <f t="shared" si="249"/>
        <v>30</v>
      </c>
      <c r="H4978" s="6">
        <v>30</v>
      </c>
      <c r="I4978" s="26">
        <f t="shared" si="250"/>
        <v>0</v>
      </c>
      <c r="J4978" s="7" t="str">
        <f t="shared" si="251"/>
        <v>PAGADO</v>
      </c>
      <c r="K4978" s="33" t="s">
        <v>2639</v>
      </c>
    </row>
    <row r="4979" spans="1:12" x14ac:dyDescent="0.25">
      <c r="A4979"/>
      <c r="C4979" s="14" t="s">
        <v>4689</v>
      </c>
      <c r="D4979" s="14" t="s">
        <v>3213</v>
      </c>
      <c r="E4979" s="15"/>
      <c r="F4979" s="16">
        <v>170</v>
      </c>
      <c r="G4979" s="16">
        <f t="shared" si="249"/>
        <v>170</v>
      </c>
      <c r="H4979" s="16">
        <v>170</v>
      </c>
      <c r="I4979" s="83">
        <f t="shared" si="250"/>
        <v>0</v>
      </c>
      <c r="J4979" s="17" t="str">
        <f t="shared" si="251"/>
        <v>PAGADO</v>
      </c>
      <c r="K4979" s="18" t="s">
        <v>2712</v>
      </c>
    </row>
    <row r="4980" spans="1:12" x14ac:dyDescent="0.25">
      <c r="A4980"/>
      <c r="C4980" s="9" t="s">
        <v>4690</v>
      </c>
      <c r="D4980" s="9" t="s">
        <v>2275</v>
      </c>
      <c r="F4980" s="6">
        <v>60</v>
      </c>
      <c r="G4980" s="6">
        <f t="shared" si="249"/>
        <v>60</v>
      </c>
      <c r="H4980" s="6">
        <v>60</v>
      </c>
      <c r="I4980" s="26">
        <f t="shared" si="250"/>
        <v>0</v>
      </c>
      <c r="J4980" s="7" t="str">
        <f t="shared" si="251"/>
        <v>PAGADO</v>
      </c>
      <c r="K4980" s="33" t="s">
        <v>2639</v>
      </c>
    </row>
    <row r="4981" spans="1:12" x14ac:dyDescent="0.25">
      <c r="A4981"/>
      <c r="C4981" s="41" t="s">
        <v>4691</v>
      </c>
      <c r="D4981" s="41" t="s">
        <v>4587</v>
      </c>
      <c r="E4981" s="87"/>
      <c r="F4981" s="58">
        <v>70</v>
      </c>
      <c r="G4981" s="58">
        <f t="shared" si="249"/>
        <v>70</v>
      </c>
      <c r="H4981" s="58">
        <f>35+35</f>
        <v>70</v>
      </c>
      <c r="I4981" s="58">
        <f t="shared" si="250"/>
        <v>0</v>
      </c>
      <c r="J4981" s="88" t="str">
        <f t="shared" si="251"/>
        <v>PAGADO</v>
      </c>
      <c r="K4981" s="56" t="s">
        <v>2639</v>
      </c>
      <c r="L4981" s="41"/>
    </row>
    <row r="4982" spans="1:12" x14ac:dyDescent="0.25">
      <c r="A4982"/>
      <c r="C4982" s="41" t="s">
        <v>4692</v>
      </c>
      <c r="D4982" s="41" t="s">
        <v>4587</v>
      </c>
      <c r="E4982" s="87"/>
      <c r="F4982" s="58">
        <v>70</v>
      </c>
      <c r="G4982" s="58">
        <f t="shared" si="249"/>
        <v>70</v>
      </c>
      <c r="H4982" s="58">
        <f>35+35</f>
        <v>70</v>
      </c>
      <c r="I4982" s="58">
        <f t="shared" si="250"/>
        <v>0</v>
      </c>
      <c r="J4982" s="88" t="str">
        <f t="shared" si="251"/>
        <v>PAGADO</v>
      </c>
      <c r="K4982" s="56" t="s">
        <v>2639</v>
      </c>
      <c r="L4982" s="41"/>
    </row>
    <row r="4983" spans="1:12" x14ac:dyDescent="0.25">
      <c r="A4983"/>
      <c r="C4983" s="41" t="s">
        <v>4693</v>
      </c>
      <c r="D4983" s="41" t="s">
        <v>4587</v>
      </c>
      <c r="E4983" s="87"/>
      <c r="F4983" s="58">
        <v>80</v>
      </c>
      <c r="G4983" s="58">
        <f t="shared" si="249"/>
        <v>80</v>
      </c>
      <c r="H4983" s="58">
        <f>40+40</f>
        <v>80</v>
      </c>
      <c r="I4983" s="58">
        <f t="shared" si="250"/>
        <v>0</v>
      </c>
      <c r="J4983" s="88" t="str">
        <f t="shared" si="251"/>
        <v>PAGADO</v>
      </c>
      <c r="K4983" s="56" t="s">
        <v>2639</v>
      </c>
      <c r="L4983" s="41"/>
    </row>
    <row r="4984" spans="1:12" x14ac:dyDescent="0.25">
      <c r="A4984"/>
      <c r="C4984" s="41" t="s">
        <v>4694</v>
      </c>
      <c r="D4984" s="41" t="s">
        <v>4587</v>
      </c>
      <c r="E4984" s="87"/>
      <c r="F4984" s="58">
        <v>70</v>
      </c>
      <c r="G4984" s="58">
        <f t="shared" si="249"/>
        <v>70</v>
      </c>
      <c r="H4984" s="58">
        <f>35+35</f>
        <v>70</v>
      </c>
      <c r="I4984" s="58">
        <f t="shared" si="250"/>
        <v>0</v>
      </c>
      <c r="J4984" s="88" t="str">
        <f t="shared" si="251"/>
        <v>PAGADO</v>
      </c>
      <c r="K4984" s="56" t="s">
        <v>2639</v>
      </c>
      <c r="L4984" s="41"/>
    </row>
    <row r="4985" spans="1:12" x14ac:dyDescent="0.25">
      <c r="A4985"/>
      <c r="C4985" s="41" t="s">
        <v>1459</v>
      </c>
      <c r="D4985" s="41" t="s">
        <v>4587</v>
      </c>
      <c r="E4985" s="87"/>
      <c r="F4985" s="58">
        <v>20</v>
      </c>
      <c r="G4985" s="58">
        <f t="shared" si="249"/>
        <v>20</v>
      </c>
      <c r="H4985" s="58">
        <f>10+10</f>
        <v>20</v>
      </c>
      <c r="I4985" s="58">
        <f t="shared" si="250"/>
        <v>0</v>
      </c>
      <c r="J4985" s="88" t="str">
        <f t="shared" si="251"/>
        <v>PAGADO</v>
      </c>
      <c r="K4985" s="56" t="s">
        <v>3506</v>
      </c>
      <c r="L4985" s="41"/>
    </row>
    <row r="4986" spans="1:12" x14ac:dyDescent="0.25">
      <c r="A4986"/>
      <c r="C4986" s="41" t="s">
        <v>4680</v>
      </c>
      <c r="D4986" s="41" t="s">
        <v>4587</v>
      </c>
      <c r="E4986" s="87"/>
      <c r="F4986" s="58">
        <v>70</v>
      </c>
      <c r="G4986" s="58">
        <f t="shared" si="249"/>
        <v>70</v>
      </c>
      <c r="H4986" s="58">
        <f>35+35</f>
        <v>70</v>
      </c>
      <c r="I4986" s="58">
        <f t="shared" si="250"/>
        <v>0</v>
      </c>
      <c r="J4986" s="88" t="str">
        <f t="shared" si="251"/>
        <v>PAGADO</v>
      </c>
      <c r="K4986" s="56" t="s">
        <v>3506</v>
      </c>
      <c r="L4986" s="41"/>
    </row>
    <row r="4987" spans="1:12" x14ac:dyDescent="0.25">
      <c r="A4987"/>
      <c r="C4987" s="41" t="s">
        <v>4681</v>
      </c>
      <c r="D4987" s="41" t="s">
        <v>4587</v>
      </c>
      <c r="E4987" s="87"/>
      <c r="F4987" s="58">
        <v>60</v>
      </c>
      <c r="G4987" s="58">
        <f t="shared" si="249"/>
        <v>60</v>
      </c>
      <c r="H4987" s="58">
        <f>30+30</f>
        <v>60</v>
      </c>
      <c r="I4987" s="58">
        <f t="shared" si="250"/>
        <v>0</v>
      </c>
      <c r="J4987" s="88" t="str">
        <f t="shared" si="251"/>
        <v>PAGADO</v>
      </c>
      <c r="K4987" s="56" t="s">
        <v>3506</v>
      </c>
      <c r="L4987" s="41"/>
    </row>
    <row r="4988" spans="1:12" x14ac:dyDescent="0.25">
      <c r="A4988"/>
      <c r="C4988" s="9" t="s">
        <v>4021</v>
      </c>
      <c r="D4988" s="9" t="s">
        <v>597</v>
      </c>
      <c r="F4988" s="6">
        <v>250</v>
      </c>
      <c r="G4988" s="6">
        <f t="shared" si="249"/>
        <v>250</v>
      </c>
      <c r="H4988" s="6">
        <v>250</v>
      </c>
      <c r="I4988" s="26">
        <f t="shared" si="250"/>
        <v>0</v>
      </c>
      <c r="J4988" s="7" t="str">
        <f t="shared" si="251"/>
        <v>PAGADO</v>
      </c>
      <c r="K4988" s="33" t="s">
        <v>2712</v>
      </c>
    </row>
    <row r="4989" spans="1:12" x14ac:dyDescent="0.25">
      <c r="A4989"/>
      <c r="C4989" s="9" t="s">
        <v>4021</v>
      </c>
      <c r="D4989" t="s">
        <v>1640</v>
      </c>
      <c r="F4989" s="6">
        <v>250</v>
      </c>
      <c r="G4989" s="6">
        <f t="shared" si="249"/>
        <v>250</v>
      </c>
      <c r="H4989" s="6">
        <f>125+80+45</f>
        <v>250</v>
      </c>
      <c r="I4989" s="26">
        <f t="shared" si="250"/>
        <v>0</v>
      </c>
      <c r="J4989" s="7" t="str">
        <f t="shared" si="251"/>
        <v>PAGADO</v>
      </c>
      <c r="K4989" s="33" t="s">
        <v>2712</v>
      </c>
    </row>
    <row r="4990" spans="1:12" x14ac:dyDescent="0.25">
      <c r="A4990"/>
      <c r="C4990" s="14" t="s">
        <v>3417</v>
      </c>
      <c r="D4990" s="14" t="s">
        <v>597</v>
      </c>
      <c r="E4990" s="15"/>
      <c r="F4990" s="16">
        <v>80</v>
      </c>
      <c r="G4990" s="16">
        <f t="shared" ref="G4990:G5053" si="252">F4990-E4990</f>
        <v>80</v>
      </c>
      <c r="H4990" s="16">
        <v>80</v>
      </c>
      <c r="I4990" s="16">
        <f t="shared" si="250"/>
        <v>0</v>
      </c>
      <c r="J4990" s="17" t="str">
        <f t="shared" si="251"/>
        <v>PAGADO</v>
      </c>
      <c r="K4990" s="59" t="s">
        <v>2712</v>
      </c>
    </row>
    <row r="4991" spans="1:12" x14ac:dyDescent="0.25">
      <c r="A4991"/>
      <c r="C4991" s="14" t="s">
        <v>3996</v>
      </c>
      <c r="D4991" s="14" t="s">
        <v>597</v>
      </c>
      <c r="E4991" s="15"/>
      <c r="F4991" s="16">
        <v>80</v>
      </c>
      <c r="G4991" s="16">
        <f t="shared" si="252"/>
        <v>80</v>
      </c>
      <c r="H4991" s="16">
        <v>80</v>
      </c>
      <c r="I4991" s="16">
        <f t="shared" si="250"/>
        <v>0</v>
      </c>
      <c r="J4991" s="17" t="str">
        <f t="shared" si="251"/>
        <v>PAGADO</v>
      </c>
      <c r="K4991" s="59" t="s">
        <v>2712</v>
      </c>
    </row>
    <row r="4992" spans="1:12" x14ac:dyDescent="0.25">
      <c r="A4992"/>
      <c r="C4992" s="9" t="s">
        <v>1639</v>
      </c>
      <c r="D4992" s="9" t="s">
        <v>597</v>
      </c>
      <c r="F4992" s="6">
        <v>70</v>
      </c>
      <c r="G4992" s="6">
        <f t="shared" si="252"/>
        <v>70</v>
      </c>
      <c r="H4992" s="6">
        <v>70</v>
      </c>
      <c r="I4992" s="26">
        <f t="shared" si="250"/>
        <v>0</v>
      </c>
      <c r="J4992" s="7" t="str">
        <f t="shared" si="251"/>
        <v>PAGADO</v>
      </c>
      <c r="K4992" s="33" t="s">
        <v>3506</v>
      </c>
    </row>
    <row r="4993" spans="1:12" x14ac:dyDescent="0.25">
      <c r="A4993"/>
      <c r="C4993" s="9" t="s">
        <v>4695</v>
      </c>
      <c r="D4993" s="9" t="s">
        <v>1510</v>
      </c>
      <c r="F4993" s="6">
        <v>140</v>
      </c>
      <c r="G4993" s="6">
        <f t="shared" si="252"/>
        <v>140</v>
      </c>
      <c r="H4993" s="6">
        <v>140</v>
      </c>
      <c r="I4993" s="26">
        <f t="shared" si="250"/>
        <v>0</v>
      </c>
      <c r="J4993" s="7" t="str">
        <f t="shared" si="251"/>
        <v>PAGADO</v>
      </c>
    </row>
    <row r="4994" spans="1:12" x14ac:dyDescent="0.25">
      <c r="A4994"/>
      <c r="C4994" t="s">
        <v>4696</v>
      </c>
      <c r="D4994" s="9" t="s">
        <v>4407</v>
      </c>
      <c r="F4994" s="6">
        <v>60</v>
      </c>
      <c r="G4994" s="6">
        <f t="shared" si="252"/>
        <v>60</v>
      </c>
      <c r="H4994" s="6">
        <v>60</v>
      </c>
      <c r="I4994" s="26">
        <f t="shared" si="250"/>
        <v>0</v>
      </c>
      <c r="J4994" s="7" t="str">
        <f t="shared" si="251"/>
        <v>PAGADO</v>
      </c>
    </row>
    <row r="4995" spans="1:12" x14ac:dyDescent="0.25">
      <c r="A4995"/>
      <c r="C4995" t="s">
        <v>4697</v>
      </c>
      <c r="D4995" s="9" t="s">
        <v>4407</v>
      </c>
      <c r="F4995" s="6">
        <v>60</v>
      </c>
      <c r="G4995" s="6">
        <f t="shared" si="252"/>
        <v>60</v>
      </c>
      <c r="H4995" s="6">
        <v>60</v>
      </c>
      <c r="I4995" s="26">
        <f t="shared" si="250"/>
        <v>0</v>
      </c>
      <c r="J4995" s="7" t="str">
        <f t="shared" si="251"/>
        <v>PAGADO</v>
      </c>
    </row>
    <row r="4996" spans="1:12" x14ac:dyDescent="0.25">
      <c r="A4996"/>
      <c r="C4996" s="14" t="s">
        <v>4698</v>
      </c>
      <c r="D4996" s="14" t="s">
        <v>3316</v>
      </c>
      <c r="E4996" s="15"/>
      <c r="F4996" s="16">
        <v>50</v>
      </c>
      <c r="G4996" s="16">
        <f t="shared" si="252"/>
        <v>50</v>
      </c>
      <c r="H4996" s="16">
        <v>50</v>
      </c>
      <c r="I4996" s="16">
        <f t="shared" si="250"/>
        <v>0</v>
      </c>
      <c r="J4996" s="17" t="str">
        <f t="shared" si="251"/>
        <v>PAGADO</v>
      </c>
      <c r="K4996" s="59" t="s">
        <v>2639</v>
      </c>
    </row>
    <row r="4997" spans="1:12" x14ac:dyDescent="0.25">
      <c r="A4997"/>
      <c r="C4997" s="9" t="s">
        <v>4699</v>
      </c>
      <c r="D4997" s="9" t="s">
        <v>3208</v>
      </c>
      <c r="F4997" s="6">
        <v>90</v>
      </c>
      <c r="G4997" s="6">
        <f t="shared" si="252"/>
        <v>90</v>
      </c>
      <c r="H4997" s="6">
        <f>45+45</f>
        <v>90</v>
      </c>
      <c r="I4997" s="26">
        <f t="shared" si="250"/>
        <v>0</v>
      </c>
      <c r="J4997" s="7" t="str">
        <f t="shared" si="251"/>
        <v>PAGADO</v>
      </c>
      <c r="K4997" s="33" t="s">
        <v>2712</v>
      </c>
    </row>
    <row r="4998" spans="1:12" x14ac:dyDescent="0.25">
      <c r="A4998"/>
      <c r="C4998" s="9" t="s">
        <v>4700</v>
      </c>
      <c r="D4998" s="9" t="s">
        <v>3352</v>
      </c>
      <c r="F4998" s="6">
        <v>210</v>
      </c>
      <c r="G4998" s="6">
        <f t="shared" si="252"/>
        <v>210</v>
      </c>
      <c r="H4998" s="6">
        <v>210</v>
      </c>
      <c r="I4998" s="26">
        <f t="shared" si="250"/>
        <v>0</v>
      </c>
      <c r="J4998" s="7" t="str">
        <f t="shared" si="251"/>
        <v>PAGADO</v>
      </c>
    </row>
    <row r="4999" spans="1:12" x14ac:dyDescent="0.25">
      <c r="A4999"/>
      <c r="C4999" s="9" t="s">
        <v>4701</v>
      </c>
      <c r="D4999" s="9" t="s">
        <v>3352</v>
      </c>
      <c r="F4999" s="6">
        <v>100</v>
      </c>
      <c r="G4999" s="6">
        <f t="shared" si="252"/>
        <v>100</v>
      </c>
      <c r="H4999" s="6">
        <v>100</v>
      </c>
      <c r="I4999" s="26">
        <f t="shared" si="250"/>
        <v>0</v>
      </c>
      <c r="J4999" s="7" t="str">
        <f t="shared" si="251"/>
        <v>PAGADO</v>
      </c>
    </row>
    <row r="5000" spans="1:12" x14ac:dyDescent="0.25">
      <c r="A5000"/>
      <c r="C5000" s="9" t="s">
        <v>4702</v>
      </c>
      <c r="D5000" s="9" t="s">
        <v>3352</v>
      </c>
      <c r="F5000" s="6">
        <v>120</v>
      </c>
      <c r="G5000" s="6">
        <f t="shared" si="252"/>
        <v>120</v>
      </c>
      <c r="H5000" s="6">
        <v>120</v>
      </c>
      <c r="I5000" s="26">
        <f t="shared" si="250"/>
        <v>0</v>
      </c>
      <c r="J5000" s="7" t="str">
        <f t="shared" si="251"/>
        <v>PAGADO</v>
      </c>
    </row>
    <row r="5001" spans="1:12" x14ac:dyDescent="0.25">
      <c r="A5001"/>
      <c r="C5001" s="9" t="s">
        <v>4703</v>
      </c>
      <c r="D5001" s="9" t="s">
        <v>3352</v>
      </c>
      <c r="F5001" s="6">
        <v>120</v>
      </c>
      <c r="G5001" s="6">
        <f t="shared" si="252"/>
        <v>120</v>
      </c>
      <c r="H5001" s="6">
        <v>120</v>
      </c>
      <c r="I5001" s="26">
        <f t="shared" si="250"/>
        <v>0</v>
      </c>
      <c r="J5001" s="7" t="str">
        <f t="shared" si="251"/>
        <v>PAGADO</v>
      </c>
    </row>
    <row r="5002" spans="1:12" x14ac:dyDescent="0.25">
      <c r="A5002"/>
      <c r="C5002" s="9" t="s">
        <v>4704</v>
      </c>
      <c r="D5002" s="9" t="s">
        <v>3352</v>
      </c>
      <c r="F5002" s="6">
        <v>25</v>
      </c>
      <c r="G5002" s="6">
        <f t="shared" si="252"/>
        <v>25</v>
      </c>
      <c r="H5002" s="6">
        <v>25</v>
      </c>
      <c r="I5002" s="26">
        <f t="shared" si="250"/>
        <v>0</v>
      </c>
      <c r="J5002" s="7" t="str">
        <f t="shared" si="251"/>
        <v>PAGADO</v>
      </c>
    </row>
    <row r="5003" spans="1:12" x14ac:dyDescent="0.25">
      <c r="A5003"/>
      <c r="C5003" s="9" t="s">
        <v>4705</v>
      </c>
      <c r="D5003" s="9" t="s">
        <v>3352</v>
      </c>
      <c r="F5003" s="6">
        <v>80</v>
      </c>
      <c r="G5003" s="6">
        <f t="shared" si="252"/>
        <v>80</v>
      </c>
      <c r="H5003" s="6">
        <v>80</v>
      </c>
      <c r="I5003" s="26">
        <f t="shared" ref="I5003:I5066" si="253">F5003-H5003</f>
        <v>0</v>
      </c>
      <c r="J5003" s="7" t="str">
        <f t="shared" si="251"/>
        <v>PAGADO</v>
      </c>
    </row>
    <row r="5004" spans="1:12" x14ac:dyDescent="0.25">
      <c r="A5004"/>
      <c r="C5004" s="9" t="s">
        <v>4706</v>
      </c>
      <c r="D5004" s="9" t="s">
        <v>2018</v>
      </c>
      <c r="F5004" s="6">
        <v>200</v>
      </c>
      <c r="G5004" s="6">
        <f t="shared" si="252"/>
        <v>200</v>
      </c>
      <c r="H5004" s="6">
        <v>200</v>
      </c>
      <c r="I5004" s="26">
        <f t="shared" si="253"/>
        <v>0</v>
      </c>
      <c r="J5004" s="7" t="str">
        <f t="shared" si="251"/>
        <v>PAGADO</v>
      </c>
    </row>
    <row r="5005" spans="1:12" x14ac:dyDescent="0.25">
      <c r="A5005"/>
      <c r="C5005" s="14" t="s">
        <v>4369</v>
      </c>
      <c r="D5005" s="14" t="s">
        <v>3316</v>
      </c>
      <c r="E5005" s="15"/>
      <c r="F5005" s="16">
        <v>70</v>
      </c>
      <c r="G5005" s="16">
        <f t="shared" si="252"/>
        <v>70</v>
      </c>
      <c r="H5005" s="16">
        <v>70</v>
      </c>
      <c r="I5005" s="16">
        <f t="shared" si="253"/>
        <v>0</v>
      </c>
      <c r="J5005" s="17" t="str">
        <f t="shared" si="251"/>
        <v>PAGADO</v>
      </c>
      <c r="K5005" s="59" t="s">
        <v>2639</v>
      </c>
      <c r="L5005" s="22"/>
    </row>
    <row r="5006" spans="1:12" x14ac:dyDescent="0.25">
      <c r="A5006"/>
      <c r="C5006" s="14" t="s">
        <v>4707</v>
      </c>
      <c r="D5006" s="14" t="s">
        <v>3316</v>
      </c>
      <c r="E5006" s="15"/>
      <c r="F5006" s="16">
        <v>50</v>
      </c>
      <c r="G5006" s="16">
        <f t="shared" si="252"/>
        <v>50</v>
      </c>
      <c r="H5006" s="23">
        <v>50</v>
      </c>
      <c r="I5006" s="16">
        <f t="shared" si="253"/>
        <v>0</v>
      </c>
      <c r="J5006" s="17" t="str">
        <f t="shared" si="251"/>
        <v>PAGADO</v>
      </c>
      <c r="K5006" s="59" t="s">
        <v>2639</v>
      </c>
    </row>
    <row r="5007" spans="1:12" x14ac:dyDescent="0.25">
      <c r="A5007"/>
      <c r="C5007" s="14" t="s">
        <v>4708</v>
      </c>
      <c r="D5007" s="14" t="s">
        <v>3316</v>
      </c>
      <c r="E5007" s="15"/>
      <c r="F5007" s="16">
        <v>15</v>
      </c>
      <c r="G5007" s="16">
        <f t="shared" si="252"/>
        <v>15</v>
      </c>
      <c r="H5007" s="16">
        <v>15</v>
      </c>
      <c r="I5007" s="16">
        <f t="shared" si="253"/>
        <v>0</v>
      </c>
      <c r="J5007" s="17" t="str">
        <f t="shared" ref="J5007:J5070" si="254">IF(I5007&gt;0,"DEBE","PAGADO")</f>
        <v>PAGADO</v>
      </c>
      <c r="K5007" s="59" t="s">
        <v>2639</v>
      </c>
    </row>
    <row r="5008" spans="1:12" x14ac:dyDescent="0.25">
      <c r="A5008"/>
      <c r="C5008" s="9" t="s">
        <v>4709</v>
      </c>
      <c r="D5008" s="9" t="s">
        <v>4710</v>
      </c>
      <c r="F5008" s="6">
        <v>75</v>
      </c>
      <c r="G5008" s="6">
        <f t="shared" si="252"/>
        <v>75</v>
      </c>
      <c r="H5008" s="6">
        <f>50+25</f>
        <v>75</v>
      </c>
      <c r="I5008" s="26">
        <f t="shared" si="253"/>
        <v>0</v>
      </c>
      <c r="J5008" s="7" t="str">
        <f t="shared" si="254"/>
        <v>PAGADO</v>
      </c>
      <c r="K5008" s="33" t="s">
        <v>3819</v>
      </c>
    </row>
    <row r="5009" spans="1:12" x14ac:dyDescent="0.25">
      <c r="A5009"/>
      <c r="C5009" s="41" t="s">
        <v>3349</v>
      </c>
      <c r="D5009" s="41" t="s">
        <v>4587</v>
      </c>
      <c r="E5009" s="87"/>
      <c r="F5009" s="58">
        <v>65</v>
      </c>
      <c r="G5009" s="58">
        <f t="shared" si="252"/>
        <v>65</v>
      </c>
      <c r="H5009" s="58">
        <f>32.5+32.5</f>
        <v>65</v>
      </c>
      <c r="I5009" s="58">
        <f t="shared" si="253"/>
        <v>0</v>
      </c>
      <c r="J5009" s="88" t="str">
        <f t="shared" si="254"/>
        <v>PAGADO</v>
      </c>
      <c r="K5009" s="56" t="s">
        <v>2639</v>
      </c>
      <c r="L5009" s="41"/>
    </row>
    <row r="5010" spans="1:12" x14ac:dyDescent="0.25">
      <c r="A5010"/>
      <c r="C5010" s="41" t="s">
        <v>4711</v>
      </c>
      <c r="D5010" s="41" t="s">
        <v>4587</v>
      </c>
      <c r="E5010" s="87"/>
      <c r="F5010" s="58">
        <v>60</v>
      </c>
      <c r="G5010" s="58">
        <f t="shared" si="252"/>
        <v>60</v>
      </c>
      <c r="H5010" s="58">
        <f>30+30</f>
        <v>60</v>
      </c>
      <c r="I5010" s="58">
        <f t="shared" si="253"/>
        <v>0</v>
      </c>
      <c r="J5010" s="88" t="str">
        <f t="shared" si="254"/>
        <v>PAGADO</v>
      </c>
      <c r="K5010" s="56" t="s">
        <v>2639</v>
      </c>
      <c r="L5010" s="41"/>
    </row>
    <row r="5011" spans="1:12" x14ac:dyDescent="0.25">
      <c r="A5011"/>
      <c r="C5011" s="41" t="s">
        <v>4712</v>
      </c>
      <c r="D5011" s="41" t="s">
        <v>4587</v>
      </c>
      <c r="E5011" s="87"/>
      <c r="F5011" s="58">
        <v>70</v>
      </c>
      <c r="G5011" s="58">
        <f t="shared" si="252"/>
        <v>70</v>
      </c>
      <c r="H5011" s="58">
        <f>35+35</f>
        <v>70</v>
      </c>
      <c r="I5011" s="58">
        <f t="shared" si="253"/>
        <v>0</v>
      </c>
      <c r="J5011" s="88" t="str">
        <f t="shared" si="254"/>
        <v>PAGADO</v>
      </c>
      <c r="K5011" s="56" t="s">
        <v>2639</v>
      </c>
      <c r="L5011" s="41"/>
    </row>
    <row r="5012" spans="1:12" x14ac:dyDescent="0.25">
      <c r="A5012"/>
      <c r="C5012" s="41" t="s">
        <v>4335</v>
      </c>
      <c r="D5012" s="41" t="s">
        <v>4587</v>
      </c>
      <c r="E5012" s="87"/>
      <c r="F5012" s="58">
        <v>60</v>
      </c>
      <c r="G5012" s="58">
        <f t="shared" si="252"/>
        <v>60</v>
      </c>
      <c r="H5012" s="58">
        <f>30+30</f>
        <v>60</v>
      </c>
      <c r="I5012" s="58">
        <f t="shared" si="253"/>
        <v>0</v>
      </c>
      <c r="J5012" s="88" t="str">
        <f t="shared" si="254"/>
        <v>PAGADO</v>
      </c>
      <c r="K5012" s="56" t="s">
        <v>3506</v>
      </c>
      <c r="L5012" s="41"/>
    </row>
    <row r="5013" spans="1:12" x14ac:dyDescent="0.25">
      <c r="A5013"/>
      <c r="C5013" s="9" t="s">
        <v>4713</v>
      </c>
      <c r="D5013" s="9" t="s">
        <v>4598</v>
      </c>
      <c r="F5013" s="6">
        <v>40</v>
      </c>
      <c r="G5013" s="6">
        <f t="shared" si="252"/>
        <v>40</v>
      </c>
      <c r="H5013" s="6">
        <v>40</v>
      </c>
      <c r="I5013" s="26">
        <f t="shared" si="253"/>
        <v>0</v>
      </c>
      <c r="J5013" s="7" t="str">
        <f t="shared" si="254"/>
        <v>PAGADO</v>
      </c>
    </row>
    <row r="5014" spans="1:12" x14ac:dyDescent="0.25">
      <c r="A5014"/>
      <c r="C5014" s="9" t="s">
        <v>4714</v>
      </c>
      <c r="D5014" s="9" t="s">
        <v>4598</v>
      </c>
      <c r="F5014" s="6">
        <v>40</v>
      </c>
      <c r="G5014" s="6">
        <f t="shared" si="252"/>
        <v>40</v>
      </c>
      <c r="H5014" s="6">
        <v>40</v>
      </c>
      <c r="I5014" s="26">
        <f t="shared" si="253"/>
        <v>0</v>
      </c>
      <c r="J5014" s="7" t="str">
        <f t="shared" si="254"/>
        <v>PAGADO</v>
      </c>
    </row>
    <row r="5015" spans="1:12" x14ac:dyDescent="0.25">
      <c r="A5015"/>
      <c r="C5015" s="9" t="s">
        <v>4715</v>
      </c>
      <c r="D5015" s="9" t="s">
        <v>3449</v>
      </c>
      <c r="F5015" s="6">
        <v>25</v>
      </c>
      <c r="G5015" s="6">
        <f t="shared" si="252"/>
        <v>25</v>
      </c>
      <c r="H5015" s="6">
        <v>25</v>
      </c>
      <c r="I5015" s="26">
        <f t="shared" si="253"/>
        <v>0</v>
      </c>
      <c r="J5015" s="7" t="str">
        <f t="shared" si="254"/>
        <v>PAGADO</v>
      </c>
    </row>
    <row r="5016" spans="1:12" x14ac:dyDescent="0.25">
      <c r="A5016"/>
      <c r="C5016" t="s">
        <v>4714</v>
      </c>
      <c r="D5016" s="9" t="s">
        <v>2498</v>
      </c>
      <c r="F5016" s="6">
        <v>40</v>
      </c>
      <c r="G5016" s="6">
        <f t="shared" si="252"/>
        <v>40</v>
      </c>
      <c r="H5016" s="6">
        <v>40</v>
      </c>
      <c r="I5016" s="26">
        <f t="shared" si="253"/>
        <v>0</v>
      </c>
      <c r="J5016" s="7" t="str">
        <f t="shared" si="254"/>
        <v>PAGADO</v>
      </c>
    </row>
    <row r="5017" spans="1:12" x14ac:dyDescent="0.25">
      <c r="A5017"/>
      <c r="C5017" s="9" t="s">
        <v>4716</v>
      </c>
      <c r="D5017" s="9" t="s">
        <v>3026</v>
      </c>
      <c r="F5017" s="6">
        <v>80</v>
      </c>
      <c r="G5017" s="6">
        <f t="shared" si="252"/>
        <v>80</v>
      </c>
      <c r="H5017" s="6">
        <v>80</v>
      </c>
      <c r="I5017" s="26">
        <f t="shared" si="253"/>
        <v>0</v>
      </c>
      <c r="J5017" s="7" t="str">
        <f t="shared" si="254"/>
        <v>PAGADO</v>
      </c>
    </row>
    <row r="5018" spans="1:12" x14ac:dyDescent="0.25">
      <c r="A5018"/>
      <c r="C5018" s="9" t="s">
        <v>4717</v>
      </c>
      <c r="D5018" s="9" t="s">
        <v>1606</v>
      </c>
      <c r="F5018" s="6">
        <v>40</v>
      </c>
      <c r="G5018" s="6">
        <f t="shared" si="252"/>
        <v>40</v>
      </c>
      <c r="H5018" s="6">
        <v>40</v>
      </c>
      <c r="I5018" s="26">
        <f t="shared" si="253"/>
        <v>0</v>
      </c>
      <c r="J5018" s="7" t="str">
        <f t="shared" si="254"/>
        <v>PAGADO</v>
      </c>
    </row>
    <row r="5019" spans="1:12" x14ac:dyDescent="0.25">
      <c r="A5019"/>
      <c r="C5019" t="s">
        <v>4718</v>
      </c>
      <c r="D5019" s="9" t="s">
        <v>4665</v>
      </c>
      <c r="F5019" s="6">
        <v>15</v>
      </c>
      <c r="G5019" s="6">
        <f t="shared" si="252"/>
        <v>15</v>
      </c>
      <c r="H5019" s="6">
        <v>15</v>
      </c>
      <c r="I5019" s="26">
        <f t="shared" si="253"/>
        <v>0</v>
      </c>
      <c r="J5019" s="7" t="str">
        <f t="shared" si="254"/>
        <v>PAGADO</v>
      </c>
    </row>
    <row r="5020" spans="1:12" x14ac:dyDescent="0.25">
      <c r="A5020"/>
      <c r="C5020" t="s">
        <v>2534</v>
      </c>
      <c r="D5020" s="9" t="s">
        <v>4719</v>
      </c>
      <c r="F5020" s="6">
        <v>60</v>
      </c>
      <c r="G5020" s="6">
        <f t="shared" si="252"/>
        <v>60</v>
      </c>
      <c r="H5020" s="6">
        <v>60</v>
      </c>
      <c r="I5020" s="26">
        <f t="shared" si="253"/>
        <v>0</v>
      </c>
      <c r="J5020" s="7" t="str">
        <f t="shared" si="254"/>
        <v>PAGADO</v>
      </c>
    </row>
    <row r="5021" spans="1:12" x14ac:dyDescent="0.25">
      <c r="A5021"/>
      <c r="C5021" s="9" t="s">
        <v>4720</v>
      </c>
      <c r="D5021" s="9" t="s">
        <v>4598</v>
      </c>
      <c r="F5021" s="6">
        <v>20</v>
      </c>
      <c r="G5021" s="6">
        <f t="shared" si="252"/>
        <v>20</v>
      </c>
      <c r="H5021" s="6">
        <v>20</v>
      </c>
      <c r="I5021" s="26">
        <f t="shared" si="253"/>
        <v>0</v>
      </c>
      <c r="J5021" s="7" t="str">
        <f t="shared" si="254"/>
        <v>PAGADO</v>
      </c>
      <c r="K5021" s="33" t="s">
        <v>3506</v>
      </c>
    </row>
    <row r="5022" spans="1:12" x14ac:dyDescent="0.25">
      <c r="A5022"/>
      <c r="C5022" s="9" t="s">
        <v>4721</v>
      </c>
      <c r="D5022" s="9" t="s">
        <v>4598</v>
      </c>
      <c r="F5022" s="6">
        <v>90</v>
      </c>
      <c r="G5022" s="6">
        <f t="shared" si="252"/>
        <v>90</v>
      </c>
      <c r="H5022" s="6">
        <v>90</v>
      </c>
      <c r="I5022" s="26">
        <f t="shared" si="253"/>
        <v>0</v>
      </c>
      <c r="J5022" s="7" t="str">
        <f t="shared" si="254"/>
        <v>PAGADO</v>
      </c>
      <c r="K5022" s="33" t="s">
        <v>2712</v>
      </c>
    </row>
    <row r="5023" spans="1:12" x14ac:dyDescent="0.25">
      <c r="A5023"/>
      <c r="C5023" s="9" t="s">
        <v>3533</v>
      </c>
      <c r="D5023" s="9" t="s">
        <v>4722</v>
      </c>
      <c r="F5023" s="6">
        <v>90</v>
      </c>
      <c r="G5023" s="6">
        <f t="shared" si="252"/>
        <v>90</v>
      </c>
      <c r="H5023" s="6">
        <v>90</v>
      </c>
      <c r="I5023" s="26">
        <f t="shared" si="253"/>
        <v>0</v>
      </c>
      <c r="J5023" s="7" t="str">
        <f t="shared" si="254"/>
        <v>PAGADO</v>
      </c>
    </row>
    <row r="5024" spans="1:12" x14ac:dyDescent="0.25">
      <c r="A5024"/>
      <c r="C5024" s="9" t="s">
        <v>4723</v>
      </c>
      <c r="D5024" s="9" t="s">
        <v>4724</v>
      </c>
      <c r="F5024" s="6">
        <v>80</v>
      </c>
      <c r="G5024" s="6">
        <f t="shared" si="252"/>
        <v>80</v>
      </c>
      <c r="H5024" s="6">
        <v>80</v>
      </c>
      <c r="I5024" s="26">
        <f t="shared" si="253"/>
        <v>0</v>
      </c>
      <c r="J5024" s="7" t="str">
        <f t="shared" si="254"/>
        <v>PAGADO</v>
      </c>
    </row>
    <row r="5025" spans="1:12" x14ac:dyDescent="0.25">
      <c r="A5025"/>
      <c r="C5025" s="9" t="s">
        <v>1670</v>
      </c>
      <c r="D5025" s="9" t="s">
        <v>4725</v>
      </c>
      <c r="F5025" s="6">
        <v>160</v>
      </c>
      <c r="G5025" s="6">
        <f t="shared" si="252"/>
        <v>160</v>
      </c>
      <c r="H5025" s="6">
        <v>160</v>
      </c>
      <c r="I5025" s="26">
        <f t="shared" si="253"/>
        <v>0</v>
      </c>
      <c r="J5025" s="7" t="str">
        <f t="shared" si="254"/>
        <v>PAGADO</v>
      </c>
    </row>
    <row r="5026" spans="1:12" x14ac:dyDescent="0.25">
      <c r="A5026"/>
      <c r="C5026" t="s">
        <v>4293</v>
      </c>
      <c r="D5026" s="9" t="s">
        <v>4722</v>
      </c>
      <c r="F5026" s="6">
        <v>70</v>
      </c>
      <c r="G5026" s="6">
        <f t="shared" si="252"/>
        <v>70</v>
      </c>
      <c r="H5026" s="6">
        <v>70</v>
      </c>
      <c r="I5026" s="26">
        <f t="shared" si="253"/>
        <v>0</v>
      </c>
      <c r="J5026" s="7" t="str">
        <f t="shared" si="254"/>
        <v>PAGADO</v>
      </c>
    </row>
    <row r="5027" spans="1:12" x14ac:dyDescent="0.25">
      <c r="A5027"/>
      <c r="C5027" t="s">
        <v>4726</v>
      </c>
      <c r="D5027" s="9" t="s">
        <v>4722</v>
      </c>
      <c r="F5027" s="6">
        <v>100</v>
      </c>
      <c r="G5027" s="6">
        <f t="shared" si="252"/>
        <v>100</v>
      </c>
      <c r="H5027" s="6">
        <v>100</v>
      </c>
      <c r="I5027" s="26">
        <f t="shared" si="253"/>
        <v>0</v>
      </c>
      <c r="J5027" s="7" t="str">
        <f t="shared" si="254"/>
        <v>PAGADO</v>
      </c>
    </row>
    <row r="5028" spans="1:12" x14ac:dyDescent="0.25">
      <c r="A5028"/>
      <c r="C5028" t="s">
        <v>4727</v>
      </c>
      <c r="D5028" s="9" t="s">
        <v>4722</v>
      </c>
      <c r="F5028" s="6">
        <v>60</v>
      </c>
      <c r="G5028" s="6">
        <f t="shared" si="252"/>
        <v>60</v>
      </c>
      <c r="H5028" s="6">
        <v>60</v>
      </c>
      <c r="I5028" s="26">
        <f t="shared" si="253"/>
        <v>0</v>
      </c>
      <c r="J5028" s="7" t="str">
        <f t="shared" si="254"/>
        <v>PAGADO</v>
      </c>
    </row>
    <row r="5029" spans="1:12" x14ac:dyDescent="0.25">
      <c r="A5029"/>
      <c r="C5029" s="9" t="s">
        <v>4709</v>
      </c>
      <c r="D5029" s="9" t="s">
        <v>4321</v>
      </c>
      <c r="F5029" s="6">
        <v>75</v>
      </c>
      <c r="G5029" s="6">
        <f t="shared" si="252"/>
        <v>75</v>
      </c>
      <c r="H5029" s="6">
        <f>30+45</f>
        <v>75</v>
      </c>
      <c r="I5029" s="26">
        <f t="shared" si="253"/>
        <v>0</v>
      </c>
      <c r="J5029" s="7" t="str">
        <f t="shared" si="254"/>
        <v>PAGADO</v>
      </c>
      <c r="K5029" s="33" t="s">
        <v>3819</v>
      </c>
    </row>
    <row r="5030" spans="1:12" x14ac:dyDescent="0.25">
      <c r="A5030"/>
      <c r="C5030" s="9" t="s">
        <v>4709</v>
      </c>
      <c r="D5030" s="9" t="s">
        <v>4598</v>
      </c>
      <c r="F5030" s="6">
        <v>75</v>
      </c>
      <c r="G5030" s="6">
        <f t="shared" si="252"/>
        <v>75</v>
      </c>
      <c r="H5030" s="6">
        <f>37.5+37.5</f>
        <v>75</v>
      </c>
      <c r="I5030" s="26">
        <f t="shared" si="253"/>
        <v>0</v>
      </c>
      <c r="J5030" s="7" t="str">
        <f t="shared" si="254"/>
        <v>PAGADO</v>
      </c>
      <c r="K5030" s="33" t="s">
        <v>3819</v>
      </c>
    </row>
    <row r="5031" spans="1:12" x14ac:dyDescent="0.25">
      <c r="A5031"/>
      <c r="C5031" s="9" t="s">
        <v>3995</v>
      </c>
      <c r="D5031" s="9" t="s">
        <v>4598</v>
      </c>
      <c r="F5031" s="6">
        <v>70</v>
      </c>
      <c r="G5031" s="6">
        <f t="shared" si="252"/>
        <v>70</v>
      </c>
      <c r="H5031" s="6">
        <v>70</v>
      </c>
      <c r="I5031" s="26">
        <f t="shared" si="253"/>
        <v>0</v>
      </c>
      <c r="J5031" s="7" t="str">
        <f t="shared" si="254"/>
        <v>PAGADO</v>
      </c>
      <c r="K5031" s="33" t="s">
        <v>3506</v>
      </c>
    </row>
    <row r="5032" spans="1:12" x14ac:dyDescent="0.25">
      <c r="A5032"/>
      <c r="C5032" s="9" t="s">
        <v>2182</v>
      </c>
      <c r="D5032" s="9" t="s">
        <v>4728</v>
      </c>
      <c r="F5032" s="6">
        <v>70</v>
      </c>
      <c r="G5032" s="6">
        <f t="shared" si="252"/>
        <v>70</v>
      </c>
      <c r="H5032" s="6">
        <v>70</v>
      </c>
      <c r="I5032" s="26">
        <f t="shared" si="253"/>
        <v>0</v>
      </c>
      <c r="J5032" s="7" t="str">
        <f t="shared" si="254"/>
        <v>PAGADO</v>
      </c>
    </row>
    <row r="5033" spans="1:12" x14ac:dyDescent="0.25">
      <c r="A5033"/>
      <c r="C5033" s="9" t="s">
        <v>4729</v>
      </c>
      <c r="D5033" s="9" t="s">
        <v>4728</v>
      </c>
      <c r="F5033" s="6">
        <v>90</v>
      </c>
      <c r="G5033" s="6">
        <f t="shared" si="252"/>
        <v>90</v>
      </c>
      <c r="H5033" s="6">
        <v>90</v>
      </c>
      <c r="I5033" s="26">
        <f t="shared" si="253"/>
        <v>0</v>
      </c>
      <c r="J5033" s="7" t="str">
        <f t="shared" si="254"/>
        <v>PAGADO</v>
      </c>
    </row>
    <row r="5034" spans="1:12" x14ac:dyDescent="0.25">
      <c r="A5034"/>
      <c r="C5034" s="9" t="s">
        <v>4730</v>
      </c>
      <c r="D5034" s="9" t="s">
        <v>3198</v>
      </c>
      <c r="F5034" s="6">
        <v>500</v>
      </c>
      <c r="G5034" s="6">
        <f t="shared" si="252"/>
        <v>500</v>
      </c>
      <c r="H5034" s="39">
        <v>500</v>
      </c>
      <c r="I5034" s="26">
        <f t="shared" si="253"/>
        <v>0</v>
      </c>
      <c r="J5034" s="7" t="str">
        <f t="shared" si="254"/>
        <v>PAGADO</v>
      </c>
    </row>
    <row r="5035" spans="1:12" x14ac:dyDescent="0.25">
      <c r="A5035"/>
      <c r="C5035" s="9" t="s">
        <v>4731</v>
      </c>
      <c r="D5035" s="9" t="s">
        <v>4732</v>
      </c>
      <c r="F5035" s="6">
        <v>120</v>
      </c>
      <c r="G5035" s="6">
        <f t="shared" si="252"/>
        <v>120</v>
      </c>
      <c r="H5035" s="6">
        <v>120</v>
      </c>
      <c r="I5035" s="26">
        <f t="shared" si="253"/>
        <v>0</v>
      </c>
      <c r="J5035" s="7" t="str">
        <f t="shared" si="254"/>
        <v>PAGADO</v>
      </c>
    </row>
    <row r="5036" spans="1:12" x14ac:dyDescent="0.25">
      <c r="A5036"/>
      <c r="C5036" s="9" t="s">
        <v>4733</v>
      </c>
      <c r="D5036" s="9" t="s">
        <v>4734</v>
      </c>
      <c r="F5036" s="6">
        <v>160</v>
      </c>
      <c r="G5036" s="6">
        <f t="shared" si="252"/>
        <v>160</v>
      </c>
      <c r="H5036" s="6">
        <v>160</v>
      </c>
      <c r="I5036" s="26">
        <f t="shared" si="253"/>
        <v>0</v>
      </c>
      <c r="J5036" s="7" t="str">
        <f t="shared" si="254"/>
        <v>PAGADO</v>
      </c>
    </row>
    <row r="5037" spans="1:12" x14ac:dyDescent="0.25">
      <c r="A5037"/>
      <c r="C5037" t="s">
        <v>4735</v>
      </c>
      <c r="D5037" s="9" t="s">
        <v>2928</v>
      </c>
      <c r="F5037" s="6">
        <v>60</v>
      </c>
      <c r="G5037" s="6">
        <f t="shared" si="252"/>
        <v>60</v>
      </c>
      <c r="H5037" s="6">
        <v>60</v>
      </c>
      <c r="I5037" s="26">
        <f t="shared" si="253"/>
        <v>0</v>
      </c>
      <c r="J5037" s="7" t="str">
        <f t="shared" si="254"/>
        <v>PAGADO</v>
      </c>
    </row>
    <row r="5038" spans="1:12" x14ac:dyDescent="0.25">
      <c r="A5038"/>
      <c r="C5038" t="s">
        <v>4736</v>
      </c>
      <c r="D5038" s="9" t="s">
        <v>2928</v>
      </c>
      <c r="F5038" s="6">
        <v>50</v>
      </c>
      <c r="G5038" s="6">
        <f t="shared" si="252"/>
        <v>50</v>
      </c>
      <c r="H5038" s="6">
        <v>50</v>
      </c>
      <c r="I5038" s="26">
        <f t="shared" si="253"/>
        <v>0</v>
      </c>
      <c r="J5038" s="7" t="str">
        <f t="shared" si="254"/>
        <v>PAGADO</v>
      </c>
    </row>
    <row r="5039" spans="1:12" x14ac:dyDescent="0.25">
      <c r="A5039"/>
      <c r="C5039" t="s">
        <v>3849</v>
      </c>
      <c r="D5039" s="9" t="s">
        <v>4737</v>
      </c>
      <c r="F5039" s="6">
        <v>70</v>
      </c>
      <c r="G5039" s="6">
        <f t="shared" si="252"/>
        <v>70</v>
      </c>
      <c r="H5039" s="6">
        <v>70</v>
      </c>
      <c r="I5039" s="26">
        <f t="shared" si="253"/>
        <v>0</v>
      </c>
      <c r="J5039" s="7" t="str">
        <f t="shared" si="254"/>
        <v>PAGADO</v>
      </c>
    </row>
    <row r="5040" spans="1:12" x14ac:dyDescent="0.25">
      <c r="A5040"/>
      <c r="C5040" s="41" t="s">
        <v>4738</v>
      </c>
      <c r="D5040" s="41" t="s">
        <v>4587</v>
      </c>
      <c r="E5040" s="87"/>
      <c r="F5040" s="58">
        <v>60</v>
      </c>
      <c r="G5040" s="58">
        <f t="shared" si="252"/>
        <v>60</v>
      </c>
      <c r="H5040" s="58">
        <v>60</v>
      </c>
      <c r="I5040" s="58">
        <f t="shared" si="253"/>
        <v>0</v>
      </c>
      <c r="J5040" s="88" t="str">
        <f t="shared" si="254"/>
        <v>PAGADO</v>
      </c>
      <c r="K5040" s="41"/>
      <c r="L5040" s="41"/>
    </row>
    <row r="5041" spans="1:12" x14ac:dyDescent="0.25">
      <c r="A5041"/>
      <c r="C5041" s="9" t="s">
        <v>3758</v>
      </c>
      <c r="D5041" t="s">
        <v>3658</v>
      </c>
      <c r="F5041" s="6">
        <v>70</v>
      </c>
      <c r="G5041" s="6">
        <f t="shared" si="252"/>
        <v>70</v>
      </c>
      <c r="H5041" s="6">
        <v>70</v>
      </c>
      <c r="I5041" s="26">
        <f t="shared" si="253"/>
        <v>0</v>
      </c>
      <c r="J5041" s="7" t="str">
        <f t="shared" si="254"/>
        <v>PAGADO</v>
      </c>
    </row>
    <row r="5042" spans="1:12" x14ac:dyDescent="0.25">
      <c r="A5042"/>
      <c r="C5042" s="9" t="s">
        <v>4739</v>
      </c>
      <c r="D5042" s="9" t="s">
        <v>4598</v>
      </c>
      <c r="F5042" s="6">
        <v>15</v>
      </c>
      <c r="G5042" s="6">
        <f t="shared" si="252"/>
        <v>15</v>
      </c>
      <c r="H5042" s="6">
        <v>15</v>
      </c>
      <c r="I5042" s="26">
        <f t="shared" si="253"/>
        <v>0</v>
      </c>
      <c r="J5042" s="7" t="str">
        <f t="shared" si="254"/>
        <v>PAGADO</v>
      </c>
    </row>
    <row r="5043" spans="1:12" x14ac:dyDescent="0.25">
      <c r="A5043"/>
      <c r="C5043" s="9" t="s">
        <v>4740</v>
      </c>
      <c r="D5043" s="9" t="s">
        <v>18</v>
      </c>
      <c r="F5043" s="6">
        <v>150</v>
      </c>
      <c r="G5043" s="6">
        <f t="shared" si="252"/>
        <v>150</v>
      </c>
      <c r="H5043" s="6">
        <v>150</v>
      </c>
      <c r="I5043" s="26">
        <f t="shared" si="253"/>
        <v>0</v>
      </c>
      <c r="J5043" s="7" t="str">
        <f t="shared" si="254"/>
        <v>PAGADO</v>
      </c>
    </row>
    <row r="5044" spans="1:12" x14ac:dyDescent="0.25">
      <c r="A5044"/>
      <c r="C5044" s="9" t="s">
        <v>4741</v>
      </c>
      <c r="D5044" s="9" t="s">
        <v>18</v>
      </c>
      <c r="F5044" s="6">
        <v>110</v>
      </c>
      <c r="G5044" s="6">
        <f t="shared" si="252"/>
        <v>110</v>
      </c>
      <c r="H5044" s="6">
        <v>110</v>
      </c>
      <c r="I5044" s="26">
        <f t="shared" si="253"/>
        <v>0</v>
      </c>
      <c r="J5044" s="7" t="str">
        <f t="shared" si="254"/>
        <v>PAGADO</v>
      </c>
    </row>
    <row r="5045" spans="1:12" x14ac:dyDescent="0.25">
      <c r="A5045"/>
      <c r="C5045" s="9" t="s">
        <v>3707</v>
      </c>
      <c r="D5045" s="9" t="s">
        <v>2018</v>
      </c>
      <c r="F5045" s="6">
        <v>70</v>
      </c>
      <c r="G5045" s="6">
        <f t="shared" si="252"/>
        <v>70</v>
      </c>
      <c r="H5045" s="6">
        <v>70</v>
      </c>
      <c r="I5045" s="26">
        <f t="shared" si="253"/>
        <v>0</v>
      </c>
      <c r="J5045" s="7" t="str">
        <f t="shared" si="254"/>
        <v>PAGADO</v>
      </c>
    </row>
    <row r="5046" spans="1:12" x14ac:dyDescent="0.25">
      <c r="A5046"/>
      <c r="C5046" t="s">
        <v>4742</v>
      </c>
      <c r="D5046" s="9" t="s">
        <v>4551</v>
      </c>
      <c r="F5046" s="6">
        <v>70</v>
      </c>
      <c r="G5046" s="6">
        <f t="shared" si="252"/>
        <v>70</v>
      </c>
      <c r="H5046" s="6">
        <f>20+25+25</f>
        <v>70</v>
      </c>
      <c r="I5046" s="26">
        <f t="shared" si="253"/>
        <v>0</v>
      </c>
      <c r="J5046" s="7" t="str">
        <f t="shared" si="254"/>
        <v>PAGADO</v>
      </c>
      <c r="K5046" s="33" t="s">
        <v>2639</v>
      </c>
    </row>
    <row r="5047" spans="1:12" x14ac:dyDescent="0.25">
      <c r="A5047"/>
      <c r="C5047" t="s">
        <v>4743</v>
      </c>
      <c r="D5047" s="9" t="s">
        <v>4744</v>
      </c>
      <c r="F5047" s="6">
        <v>230</v>
      </c>
      <c r="G5047" s="6">
        <f t="shared" si="252"/>
        <v>230</v>
      </c>
      <c r="H5047" s="6">
        <v>230</v>
      </c>
      <c r="I5047" s="26">
        <f t="shared" si="253"/>
        <v>0</v>
      </c>
      <c r="J5047" s="7" t="str">
        <f t="shared" si="254"/>
        <v>PAGADO</v>
      </c>
    </row>
    <row r="5048" spans="1:12" x14ac:dyDescent="0.25">
      <c r="A5048"/>
      <c r="C5048" s="9" t="s">
        <v>1812</v>
      </c>
      <c r="D5048" t="s">
        <v>80</v>
      </c>
      <c r="F5048" s="6">
        <v>130</v>
      </c>
      <c r="G5048" s="6">
        <f t="shared" si="252"/>
        <v>130</v>
      </c>
      <c r="H5048" s="6">
        <v>130</v>
      </c>
      <c r="I5048" s="26">
        <f t="shared" si="253"/>
        <v>0</v>
      </c>
      <c r="J5048" s="7" t="str">
        <f t="shared" si="254"/>
        <v>PAGADO</v>
      </c>
    </row>
    <row r="5049" spans="1:12" x14ac:dyDescent="0.25">
      <c r="A5049"/>
      <c r="C5049" s="9" t="s">
        <v>4745</v>
      </c>
      <c r="D5049" s="9" t="s">
        <v>3641</v>
      </c>
      <c r="F5049" s="6">
        <v>160</v>
      </c>
      <c r="G5049" s="6">
        <f t="shared" si="252"/>
        <v>160</v>
      </c>
      <c r="H5049" s="6">
        <v>160</v>
      </c>
      <c r="I5049" s="26">
        <f t="shared" si="253"/>
        <v>0</v>
      </c>
      <c r="J5049" s="7" t="str">
        <f t="shared" si="254"/>
        <v>PAGADO</v>
      </c>
      <c r="K5049" t="s">
        <v>693</v>
      </c>
    </row>
    <row r="5050" spans="1:12" x14ac:dyDescent="0.25">
      <c r="A5050"/>
      <c r="C5050" s="9" t="s">
        <v>4746</v>
      </c>
      <c r="D5050" s="9" t="s">
        <v>3643</v>
      </c>
      <c r="F5050" s="6">
        <v>60</v>
      </c>
      <c r="G5050" s="6">
        <f t="shared" si="252"/>
        <v>60</v>
      </c>
      <c r="H5050" s="6">
        <v>60</v>
      </c>
      <c r="I5050" s="26">
        <f t="shared" si="253"/>
        <v>0</v>
      </c>
      <c r="J5050" s="7" t="str">
        <f t="shared" si="254"/>
        <v>PAGADO</v>
      </c>
      <c r="K5050" t="s">
        <v>2714</v>
      </c>
    </row>
    <row r="5051" spans="1:12" x14ac:dyDescent="0.25">
      <c r="A5051"/>
      <c r="C5051" s="9" t="s">
        <v>4714</v>
      </c>
      <c r="D5051" s="9" t="s">
        <v>4747</v>
      </c>
      <c r="F5051" s="6">
        <v>40</v>
      </c>
      <c r="G5051" s="6">
        <f t="shared" si="252"/>
        <v>40</v>
      </c>
      <c r="H5051" s="6">
        <v>40</v>
      </c>
      <c r="I5051" s="26">
        <f t="shared" si="253"/>
        <v>0</v>
      </c>
      <c r="J5051" s="7" t="str">
        <f t="shared" si="254"/>
        <v>PAGADO</v>
      </c>
    </row>
    <row r="5052" spans="1:12" x14ac:dyDescent="0.25">
      <c r="A5052"/>
      <c r="C5052" s="9" t="s">
        <v>1798</v>
      </c>
      <c r="D5052" s="9" t="s">
        <v>1474</v>
      </c>
      <c r="F5052" s="6">
        <v>75</v>
      </c>
      <c r="G5052" s="6">
        <f t="shared" si="252"/>
        <v>75</v>
      </c>
      <c r="H5052" s="6">
        <v>75</v>
      </c>
      <c r="I5052" s="6">
        <f t="shared" si="253"/>
        <v>0</v>
      </c>
      <c r="J5052" s="7" t="str">
        <f t="shared" si="254"/>
        <v>PAGADO</v>
      </c>
    </row>
    <row r="5053" spans="1:12" x14ac:dyDescent="0.25">
      <c r="A5053"/>
      <c r="C5053" s="14" t="s">
        <v>4748</v>
      </c>
      <c r="D5053" s="14" t="s">
        <v>2548</v>
      </c>
      <c r="E5053" s="15"/>
      <c r="F5053" s="16">
        <v>240</v>
      </c>
      <c r="G5053" s="16">
        <f t="shared" si="252"/>
        <v>240</v>
      </c>
      <c r="H5053" s="16">
        <v>240</v>
      </c>
      <c r="I5053" s="16">
        <f t="shared" si="253"/>
        <v>0</v>
      </c>
      <c r="J5053" s="17" t="str">
        <f t="shared" si="254"/>
        <v>PAGADO</v>
      </c>
      <c r="K5053" s="59" t="s">
        <v>2712</v>
      </c>
      <c r="L5053" s="22"/>
    </row>
    <row r="5054" spans="1:12" x14ac:dyDescent="0.25">
      <c r="A5054"/>
      <c r="C5054" s="9" t="s">
        <v>4749</v>
      </c>
      <c r="D5054" s="9" t="s">
        <v>2878</v>
      </c>
      <c r="F5054" s="6">
        <v>100</v>
      </c>
      <c r="G5054" s="6">
        <f t="shared" ref="G5054:G5117" si="255">F5054-E5054</f>
        <v>100</v>
      </c>
      <c r="H5054" s="6">
        <v>100</v>
      </c>
      <c r="I5054" s="26">
        <f t="shared" si="253"/>
        <v>0</v>
      </c>
      <c r="J5054" s="7" t="str">
        <f t="shared" si="254"/>
        <v>PAGADO</v>
      </c>
      <c r="K5054" s="33" t="s">
        <v>2639</v>
      </c>
    </row>
    <row r="5055" spans="1:12" x14ac:dyDescent="0.25">
      <c r="A5055"/>
      <c r="C5055" s="9" t="s">
        <v>4750</v>
      </c>
      <c r="D5055" s="9" t="s">
        <v>4579</v>
      </c>
      <c r="F5055" s="6">
        <v>240</v>
      </c>
      <c r="G5055" s="6">
        <f t="shared" si="255"/>
        <v>240</v>
      </c>
      <c r="H5055" s="6">
        <f>140+100</f>
        <v>240</v>
      </c>
      <c r="I5055" s="26">
        <f t="shared" si="253"/>
        <v>0</v>
      </c>
      <c r="J5055" s="7" t="str">
        <f t="shared" si="254"/>
        <v>PAGADO</v>
      </c>
      <c r="K5055" s="9" t="s">
        <v>3506</v>
      </c>
    </row>
    <row r="5056" spans="1:12" x14ac:dyDescent="0.25">
      <c r="A5056"/>
      <c r="C5056" s="9" t="s">
        <v>4620</v>
      </c>
      <c r="D5056" s="9" t="s">
        <v>3198</v>
      </c>
      <c r="F5056" s="6">
        <v>130</v>
      </c>
      <c r="G5056" s="6">
        <f t="shared" si="255"/>
        <v>130</v>
      </c>
      <c r="H5056" s="39">
        <v>130</v>
      </c>
      <c r="I5056" s="26">
        <f t="shared" si="253"/>
        <v>0</v>
      </c>
      <c r="J5056" s="7" t="str">
        <f t="shared" si="254"/>
        <v>PAGADO</v>
      </c>
      <c r="K5056" s="33" t="s">
        <v>2712</v>
      </c>
    </row>
    <row r="5057" spans="1:11" x14ac:dyDescent="0.25">
      <c r="A5057"/>
      <c r="C5057" s="9" t="s">
        <v>4751</v>
      </c>
      <c r="D5057" s="9" t="s">
        <v>1523</v>
      </c>
      <c r="F5057" s="6">
        <v>65</v>
      </c>
      <c r="G5057" s="6">
        <f t="shared" si="255"/>
        <v>65</v>
      </c>
      <c r="H5057" s="6">
        <v>65</v>
      </c>
      <c r="I5057" s="26">
        <f t="shared" si="253"/>
        <v>0</v>
      </c>
      <c r="J5057" s="7" t="str">
        <f t="shared" si="254"/>
        <v>PAGADO</v>
      </c>
      <c r="K5057" s="33" t="s">
        <v>2639</v>
      </c>
    </row>
    <row r="5058" spans="1:11" x14ac:dyDescent="0.25">
      <c r="A5058"/>
      <c r="C5058" s="9" t="s">
        <v>4752</v>
      </c>
      <c r="D5058" t="s">
        <v>4030</v>
      </c>
      <c r="F5058" s="6">
        <v>100</v>
      </c>
      <c r="G5058" s="6">
        <f t="shared" si="255"/>
        <v>100</v>
      </c>
      <c r="H5058" s="6">
        <f>50+50</f>
        <v>100</v>
      </c>
      <c r="I5058" s="26">
        <f t="shared" si="253"/>
        <v>0</v>
      </c>
      <c r="J5058" s="7" t="str">
        <f t="shared" si="254"/>
        <v>PAGADO</v>
      </c>
      <c r="K5058" s="33" t="s">
        <v>2712</v>
      </c>
    </row>
    <row r="5059" spans="1:11" x14ac:dyDescent="0.25">
      <c r="A5059"/>
      <c r="C5059" s="9" t="s">
        <v>4648</v>
      </c>
      <c r="D5059" s="9" t="s">
        <v>2363</v>
      </c>
      <c r="F5059" s="6">
        <v>60</v>
      </c>
      <c r="G5059" s="6">
        <f t="shared" si="255"/>
        <v>60</v>
      </c>
      <c r="H5059" s="6">
        <v>60</v>
      </c>
      <c r="I5059" s="26">
        <f t="shared" si="253"/>
        <v>0</v>
      </c>
      <c r="J5059" s="7" t="str">
        <f t="shared" si="254"/>
        <v>PAGADO</v>
      </c>
      <c r="K5059" s="33" t="s">
        <v>693</v>
      </c>
    </row>
    <row r="5060" spans="1:11" x14ac:dyDescent="0.25">
      <c r="A5060"/>
      <c r="C5060" s="9" t="s">
        <v>4753</v>
      </c>
      <c r="D5060" s="9" t="s">
        <v>2363</v>
      </c>
      <c r="F5060" s="6">
        <v>60</v>
      </c>
      <c r="G5060" s="6">
        <f t="shared" si="255"/>
        <v>60</v>
      </c>
      <c r="H5060" s="6">
        <v>60</v>
      </c>
      <c r="I5060" s="26">
        <f t="shared" si="253"/>
        <v>0</v>
      </c>
      <c r="J5060" s="7" t="str">
        <f t="shared" si="254"/>
        <v>PAGADO</v>
      </c>
      <c r="K5060" s="33" t="s">
        <v>693</v>
      </c>
    </row>
    <row r="5061" spans="1:11" x14ac:dyDescent="0.25">
      <c r="A5061"/>
      <c r="C5061" s="9" t="s">
        <v>4754</v>
      </c>
      <c r="D5061" s="9" t="s">
        <v>2363</v>
      </c>
      <c r="F5061" s="6">
        <v>70</v>
      </c>
      <c r="G5061" s="6">
        <f t="shared" si="255"/>
        <v>70</v>
      </c>
      <c r="H5061" s="6">
        <v>70</v>
      </c>
      <c r="I5061" s="26">
        <f t="shared" si="253"/>
        <v>0</v>
      </c>
      <c r="J5061" s="7" t="str">
        <f t="shared" si="254"/>
        <v>PAGADO</v>
      </c>
      <c r="K5061" s="33" t="s">
        <v>693</v>
      </c>
    </row>
    <row r="5062" spans="1:11" x14ac:dyDescent="0.25">
      <c r="A5062"/>
      <c r="C5062" s="9" t="s">
        <v>4755</v>
      </c>
      <c r="D5062" s="9" t="s">
        <v>2363</v>
      </c>
      <c r="F5062" s="6">
        <v>70</v>
      </c>
      <c r="G5062" s="6">
        <f t="shared" si="255"/>
        <v>70</v>
      </c>
      <c r="H5062" s="6">
        <v>70</v>
      </c>
      <c r="I5062" s="26">
        <f t="shared" si="253"/>
        <v>0</v>
      </c>
      <c r="J5062" s="7" t="str">
        <f t="shared" si="254"/>
        <v>PAGADO</v>
      </c>
      <c r="K5062" s="33" t="s">
        <v>693</v>
      </c>
    </row>
    <row r="5063" spans="1:11" x14ac:dyDescent="0.25">
      <c r="A5063"/>
      <c r="C5063" s="14" t="s">
        <v>4756</v>
      </c>
      <c r="D5063" s="14" t="s">
        <v>3444</v>
      </c>
      <c r="E5063" s="15"/>
      <c r="F5063" s="16">
        <v>60</v>
      </c>
      <c r="G5063" s="16">
        <f t="shared" si="255"/>
        <v>60</v>
      </c>
      <c r="H5063" s="16">
        <f>0+30+30</f>
        <v>60</v>
      </c>
      <c r="I5063" s="16">
        <f t="shared" si="253"/>
        <v>0</v>
      </c>
      <c r="J5063" s="17" t="str">
        <f t="shared" si="254"/>
        <v>PAGADO</v>
      </c>
      <c r="K5063" s="59" t="s">
        <v>2712</v>
      </c>
    </row>
    <row r="5064" spans="1:11" x14ac:dyDescent="0.25">
      <c r="A5064"/>
      <c r="C5064" s="9" t="s">
        <v>4620</v>
      </c>
      <c r="D5064" t="s">
        <v>3081</v>
      </c>
      <c r="F5064" s="6">
        <v>130</v>
      </c>
      <c r="G5064" s="6">
        <f t="shared" si="255"/>
        <v>130</v>
      </c>
      <c r="H5064" s="6">
        <f>65+65</f>
        <v>130</v>
      </c>
      <c r="I5064" s="26">
        <f t="shared" si="253"/>
        <v>0</v>
      </c>
      <c r="J5064" s="7" t="str">
        <f t="shared" si="254"/>
        <v>PAGADO</v>
      </c>
      <c r="K5064" s="33" t="s">
        <v>2712</v>
      </c>
    </row>
    <row r="5065" spans="1:11" x14ac:dyDescent="0.25">
      <c r="A5065"/>
      <c r="C5065" s="9" t="s">
        <v>4757</v>
      </c>
      <c r="D5065" s="9" t="s">
        <v>2363</v>
      </c>
      <c r="F5065" s="6">
        <v>65</v>
      </c>
      <c r="G5065" s="6">
        <f t="shared" si="255"/>
        <v>65</v>
      </c>
      <c r="H5065" s="6">
        <v>65</v>
      </c>
      <c r="I5065" s="26">
        <f t="shared" si="253"/>
        <v>0</v>
      </c>
      <c r="J5065" s="7" t="str">
        <f t="shared" si="254"/>
        <v>PAGADO</v>
      </c>
      <c r="K5065" s="33" t="s">
        <v>693</v>
      </c>
    </row>
    <row r="5066" spans="1:11" x14ac:dyDescent="0.25">
      <c r="A5066"/>
      <c r="C5066" s="9" t="s">
        <v>4758</v>
      </c>
      <c r="D5066" s="9" t="s">
        <v>2935</v>
      </c>
      <c r="F5066" s="6">
        <v>20</v>
      </c>
      <c r="G5066" s="6">
        <f t="shared" si="255"/>
        <v>20</v>
      </c>
      <c r="H5066" s="6">
        <v>20</v>
      </c>
      <c r="I5066" s="26">
        <f t="shared" si="253"/>
        <v>0</v>
      </c>
      <c r="J5066" s="7" t="str">
        <f t="shared" si="254"/>
        <v>PAGADO</v>
      </c>
      <c r="K5066" s="33" t="s">
        <v>3506</v>
      </c>
    </row>
    <row r="5067" spans="1:11" x14ac:dyDescent="0.25">
      <c r="A5067"/>
      <c r="C5067" s="9" t="s">
        <v>1781</v>
      </c>
      <c r="D5067" s="9" t="s">
        <v>4759</v>
      </c>
      <c r="F5067" s="6">
        <v>60</v>
      </c>
      <c r="G5067" s="6">
        <f t="shared" si="255"/>
        <v>60</v>
      </c>
      <c r="H5067" s="6">
        <v>60</v>
      </c>
      <c r="I5067" s="26">
        <f t="shared" ref="I5067:I5130" si="256">F5067-H5067</f>
        <v>0</v>
      </c>
      <c r="J5067" s="7" t="str">
        <f t="shared" si="254"/>
        <v>PAGADO</v>
      </c>
    </row>
    <row r="5068" spans="1:11" x14ac:dyDescent="0.25">
      <c r="A5068"/>
      <c r="C5068" s="9" t="s">
        <v>4760</v>
      </c>
      <c r="D5068" s="9" t="s">
        <v>4761</v>
      </c>
      <c r="F5068" s="6">
        <v>130</v>
      </c>
      <c r="G5068" s="6">
        <f t="shared" si="255"/>
        <v>130</v>
      </c>
      <c r="H5068" s="6">
        <f>65+65</f>
        <v>130</v>
      </c>
      <c r="I5068" s="26">
        <f t="shared" si="256"/>
        <v>0</v>
      </c>
      <c r="J5068" s="7" t="str">
        <f t="shared" si="254"/>
        <v>PAGADO</v>
      </c>
      <c r="K5068" s="33" t="s">
        <v>3506</v>
      </c>
    </row>
    <row r="5069" spans="1:11" x14ac:dyDescent="0.25">
      <c r="A5069"/>
      <c r="C5069" s="9" t="s">
        <v>4620</v>
      </c>
      <c r="D5069" s="9" t="s">
        <v>4761</v>
      </c>
      <c r="F5069" s="6">
        <v>130</v>
      </c>
      <c r="G5069" s="6">
        <f t="shared" si="255"/>
        <v>130</v>
      </c>
      <c r="H5069" s="6">
        <f>65+65</f>
        <v>130</v>
      </c>
      <c r="I5069" s="26">
        <f t="shared" si="256"/>
        <v>0</v>
      </c>
      <c r="J5069" s="7" t="str">
        <f t="shared" si="254"/>
        <v>PAGADO</v>
      </c>
      <c r="K5069" s="33" t="s">
        <v>2712</v>
      </c>
    </row>
    <row r="5070" spans="1:11" x14ac:dyDescent="0.25">
      <c r="A5070"/>
      <c r="C5070" s="9" t="s">
        <v>4762</v>
      </c>
      <c r="D5070" s="9" t="s">
        <v>3989</v>
      </c>
      <c r="F5070" s="6">
        <v>50</v>
      </c>
      <c r="G5070" s="6">
        <f t="shared" si="255"/>
        <v>50</v>
      </c>
      <c r="H5070" s="6">
        <f>25+25</f>
        <v>50</v>
      </c>
      <c r="I5070" s="26">
        <f t="shared" si="256"/>
        <v>0</v>
      </c>
      <c r="J5070" s="7" t="str">
        <f t="shared" si="254"/>
        <v>PAGADO</v>
      </c>
      <c r="K5070" s="33" t="s">
        <v>2639</v>
      </c>
    </row>
    <row r="5071" spans="1:11" x14ac:dyDescent="0.25">
      <c r="A5071"/>
      <c r="C5071" s="9" t="s">
        <v>4763</v>
      </c>
      <c r="D5071" s="9" t="s">
        <v>3989</v>
      </c>
      <c r="F5071" s="6">
        <v>100</v>
      </c>
      <c r="G5071" s="6">
        <f t="shared" si="255"/>
        <v>100</v>
      </c>
      <c r="H5071" s="6">
        <v>100</v>
      </c>
      <c r="I5071" s="16">
        <f t="shared" si="256"/>
        <v>0</v>
      </c>
      <c r="J5071" s="7" t="str">
        <f t="shared" ref="J5071:J5134" si="257">IF(I5071&gt;0,"DEBE","PAGADO")</f>
        <v>PAGADO</v>
      </c>
      <c r="K5071" s="9" t="s">
        <v>2712</v>
      </c>
    </row>
    <row r="5072" spans="1:11" x14ac:dyDescent="0.25">
      <c r="A5072"/>
      <c r="C5072" s="9" t="s">
        <v>4764</v>
      </c>
      <c r="D5072" s="9" t="s">
        <v>3989</v>
      </c>
      <c r="F5072" s="6">
        <v>90</v>
      </c>
      <c r="G5072" s="6">
        <f t="shared" si="255"/>
        <v>90</v>
      </c>
      <c r="H5072" s="6">
        <v>90</v>
      </c>
      <c r="I5072" s="16">
        <f t="shared" si="256"/>
        <v>0</v>
      </c>
      <c r="J5072" s="7" t="str">
        <f t="shared" si="257"/>
        <v>PAGADO</v>
      </c>
      <c r="K5072" s="9" t="s">
        <v>2712</v>
      </c>
    </row>
    <row r="5073" spans="1:12" x14ac:dyDescent="0.25">
      <c r="A5073"/>
      <c r="C5073" s="9" t="s">
        <v>4765</v>
      </c>
      <c r="D5073" s="9" t="s">
        <v>3989</v>
      </c>
      <c r="F5073" s="6">
        <v>70</v>
      </c>
      <c r="G5073" s="6">
        <f t="shared" si="255"/>
        <v>70</v>
      </c>
      <c r="H5073" s="6">
        <v>70</v>
      </c>
      <c r="I5073" s="16">
        <f t="shared" si="256"/>
        <v>0</v>
      </c>
      <c r="J5073" s="7" t="str">
        <f t="shared" si="257"/>
        <v>PAGADO</v>
      </c>
      <c r="K5073" s="9" t="s">
        <v>2712</v>
      </c>
    </row>
    <row r="5074" spans="1:12" x14ac:dyDescent="0.25">
      <c r="A5074"/>
      <c r="C5074" s="9" t="s">
        <v>4766</v>
      </c>
      <c r="D5074" s="9" t="s">
        <v>3989</v>
      </c>
      <c r="F5074" s="6">
        <v>10</v>
      </c>
      <c r="G5074" s="6">
        <f t="shared" si="255"/>
        <v>10</v>
      </c>
      <c r="H5074" s="6">
        <v>10</v>
      </c>
      <c r="I5074" s="26">
        <f t="shared" si="256"/>
        <v>0</v>
      </c>
      <c r="J5074" s="7" t="str">
        <f t="shared" si="257"/>
        <v>PAGADO</v>
      </c>
      <c r="K5074" s="9" t="s">
        <v>2712</v>
      </c>
    </row>
    <row r="5075" spans="1:12" x14ac:dyDescent="0.25">
      <c r="A5075"/>
      <c r="C5075" s="41" t="s">
        <v>4767</v>
      </c>
      <c r="D5075" s="41" t="s">
        <v>4587</v>
      </c>
      <c r="E5075" s="87"/>
      <c r="F5075" s="58">
        <v>130</v>
      </c>
      <c r="G5075" s="58">
        <f t="shared" si="255"/>
        <v>130</v>
      </c>
      <c r="H5075" s="58">
        <f>65+65</f>
        <v>130</v>
      </c>
      <c r="I5075" s="58">
        <f t="shared" si="256"/>
        <v>0</v>
      </c>
      <c r="J5075" s="88" t="str">
        <f t="shared" si="257"/>
        <v>PAGADO</v>
      </c>
      <c r="K5075" s="56" t="s">
        <v>2712</v>
      </c>
      <c r="L5075" s="41"/>
    </row>
    <row r="5076" spans="1:12" x14ac:dyDescent="0.25">
      <c r="A5076"/>
      <c r="C5076" t="s">
        <v>4062</v>
      </c>
      <c r="D5076" s="9" t="s">
        <v>2223</v>
      </c>
      <c r="F5076" s="6">
        <v>80</v>
      </c>
      <c r="G5076" s="6">
        <f t="shared" si="255"/>
        <v>80</v>
      </c>
      <c r="H5076" s="6">
        <v>80</v>
      </c>
      <c r="I5076" s="26">
        <f t="shared" si="256"/>
        <v>0</v>
      </c>
      <c r="J5076" s="7" t="str">
        <f t="shared" si="257"/>
        <v>PAGADO</v>
      </c>
    </row>
    <row r="5077" spans="1:12" x14ac:dyDescent="0.25">
      <c r="A5077"/>
      <c r="C5077" t="s">
        <v>4768</v>
      </c>
      <c r="D5077" s="9" t="s">
        <v>2223</v>
      </c>
      <c r="F5077" s="6">
        <v>15</v>
      </c>
      <c r="G5077" s="6">
        <f t="shared" si="255"/>
        <v>15</v>
      </c>
      <c r="H5077" s="6">
        <v>15</v>
      </c>
      <c r="I5077" s="26">
        <f t="shared" si="256"/>
        <v>0</v>
      </c>
      <c r="J5077" s="7" t="str">
        <f t="shared" si="257"/>
        <v>PAGADO</v>
      </c>
    </row>
    <row r="5078" spans="1:12" x14ac:dyDescent="0.25">
      <c r="A5078"/>
      <c r="C5078" t="s">
        <v>4767</v>
      </c>
      <c r="D5078" s="9" t="s">
        <v>3434</v>
      </c>
      <c r="F5078" s="6">
        <v>130</v>
      </c>
      <c r="G5078" s="6">
        <f t="shared" si="255"/>
        <v>130</v>
      </c>
      <c r="H5078" s="6">
        <f>65+65</f>
        <v>130</v>
      </c>
      <c r="I5078" s="26">
        <f t="shared" si="256"/>
        <v>0</v>
      </c>
      <c r="J5078" s="7" t="str">
        <f t="shared" si="257"/>
        <v>PAGADO</v>
      </c>
      <c r="K5078" s="9" t="s">
        <v>2712</v>
      </c>
    </row>
    <row r="5079" spans="1:12" x14ac:dyDescent="0.25">
      <c r="A5079"/>
      <c r="C5079" s="9" t="s">
        <v>4769</v>
      </c>
      <c r="D5079" t="s">
        <v>3456</v>
      </c>
      <c r="F5079" s="6">
        <v>70</v>
      </c>
      <c r="G5079" s="6">
        <f t="shared" si="255"/>
        <v>70</v>
      </c>
      <c r="H5079" s="6">
        <f>35+35</f>
        <v>70</v>
      </c>
      <c r="I5079" s="26">
        <f t="shared" si="256"/>
        <v>0</v>
      </c>
      <c r="J5079" s="7" t="str">
        <f t="shared" si="257"/>
        <v>PAGADO</v>
      </c>
      <c r="K5079" s="33" t="s">
        <v>3506</v>
      </c>
    </row>
    <row r="5080" spans="1:12" x14ac:dyDescent="0.25">
      <c r="A5080"/>
      <c r="C5080" s="9" t="s">
        <v>4770</v>
      </c>
      <c r="D5080" t="s">
        <v>4771</v>
      </c>
      <c r="F5080" s="6">
        <v>60</v>
      </c>
      <c r="G5080" s="6">
        <f t="shared" si="255"/>
        <v>60</v>
      </c>
      <c r="H5080" s="6">
        <v>60</v>
      </c>
      <c r="I5080" s="26">
        <f t="shared" si="256"/>
        <v>0</v>
      </c>
      <c r="J5080" s="7" t="str">
        <f t="shared" si="257"/>
        <v>PAGADO</v>
      </c>
    </row>
    <row r="5081" spans="1:12" x14ac:dyDescent="0.25">
      <c r="A5081"/>
      <c r="C5081" s="9" t="s">
        <v>4772</v>
      </c>
      <c r="D5081" t="s">
        <v>4771</v>
      </c>
      <c r="F5081" s="6">
        <v>60</v>
      </c>
      <c r="G5081" s="6">
        <f t="shared" si="255"/>
        <v>60</v>
      </c>
      <c r="H5081" s="6">
        <v>60</v>
      </c>
      <c r="I5081" s="26">
        <f t="shared" si="256"/>
        <v>0</v>
      </c>
      <c r="J5081" s="7" t="str">
        <f t="shared" si="257"/>
        <v>PAGADO</v>
      </c>
    </row>
    <row r="5082" spans="1:12" x14ac:dyDescent="0.25">
      <c r="A5082"/>
      <c r="C5082" s="9" t="s">
        <v>4773</v>
      </c>
      <c r="D5082" t="s">
        <v>4771</v>
      </c>
      <c r="F5082" s="6">
        <v>100</v>
      </c>
      <c r="G5082" s="6">
        <f t="shared" si="255"/>
        <v>100</v>
      </c>
      <c r="H5082" s="6">
        <v>100</v>
      </c>
      <c r="I5082" s="26">
        <f t="shared" si="256"/>
        <v>0</v>
      </c>
      <c r="J5082" s="7" t="str">
        <f t="shared" si="257"/>
        <v>PAGADO</v>
      </c>
    </row>
    <row r="5083" spans="1:12" x14ac:dyDescent="0.25">
      <c r="A5083"/>
      <c r="C5083" s="9" t="s">
        <v>1386</v>
      </c>
      <c r="D5083" t="s">
        <v>4771</v>
      </c>
      <c r="F5083" s="6">
        <v>50</v>
      </c>
      <c r="G5083" s="6">
        <f t="shared" si="255"/>
        <v>50</v>
      </c>
      <c r="H5083" s="6">
        <v>50</v>
      </c>
      <c r="I5083" s="26">
        <f t="shared" si="256"/>
        <v>0</v>
      </c>
      <c r="J5083" s="7" t="str">
        <f t="shared" si="257"/>
        <v>PAGADO</v>
      </c>
    </row>
    <row r="5084" spans="1:12" x14ac:dyDescent="0.25">
      <c r="A5084"/>
      <c r="C5084" s="9" t="s">
        <v>2692</v>
      </c>
      <c r="D5084" t="s">
        <v>3658</v>
      </c>
      <c r="F5084" s="6">
        <v>130</v>
      </c>
      <c r="G5084" s="6">
        <f t="shared" si="255"/>
        <v>130</v>
      </c>
      <c r="H5084" s="6">
        <v>130</v>
      </c>
      <c r="I5084" s="26">
        <f t="shared" si="256"/>
        <v>0</v>
      </c>
      <c r="J5084" s="7" t="str">
        <f t="shared" si="257"/>
        <v>PAGADO</v>
      </c>
    </row>
    <row r="5085" spans="1:12" x14ac:dyDescent="0.25">
      <c r="A5085"/>
      <c r="C5085" s="9" t="s">
        <v>3013</v>
      </c>
      <c r="D5085" t="s">
        <v>3658</v>
      </c>
      <c r="F5085" s="6">
        <v>100</v>
      </c>
      <c r="G5085" s="6">
        <f t="shared" si="255"/>
        <v>100</v>
      </c>
      <c r="H5085" s="6">
        <v>100</v>
      </c>
      <c r="I5085" s="26">
        <f t="shared" si="256"/>
        <v>0</v>
      </c>
      <c r="J5085" s="7" t="str">
        <f t="shared" si="257"/>
        <v>PAGADO</v>
      </c>
    </row>
    <row r="5086" spans="1:12" x14ac:dyDescent="0.25">
      <c r="A5086"/>
      <c r="C5086" s="9" t="s">
        <v>4774</v>
      </c>
      <c r="D5086" t="s">
        <v>4775</v>
      </c>
      <c r="F5086" s="6">
        <v>70</v>
      </c>
      <c r="G5086" s="6">
        <f t="shared" si="255"/>
        <v>70</v>
      </c>
      <c r="H5086" s="6">
        <v>70</v>
      </c>
      <c r="I5086" s="26">
        <f t="shared" si="256"/>
        <v>0</v>
      </c>
      <c r="J5086" s="7" t="str">
        <f t="shared" si="257"/>
        <v>PAGADO</v>
      </c>
    </row>
    <row r="5087" spans="1:12" x14ac:dyDescent="0.25">
      <c r="A5087"/>
      <c r="C5087" s="9" t="s">
        <v>4776</v>
      </c>
      <c r="D5087" t="s">
        <v>4777</v>
      </c>
      <c r="F5087" s="6">
        <v>100</v>
      </c>
      <c r="G5087" s="6">
        <f t="shared" si="255"/>
        <v>100</v>
      </c>
      <c r="H5087" s="6">
        <v>100</v>
      </c>
      <c r="I5087" s="26">
        <f t="shared" si="256"/>
        <v>0</v>
      </c>
      <c r="J5087" s="7" t="str">
        <f t="shared" si="257"/>
        <v>PAGADO</v>
      </c>
    </row>
    <row r="5088" spans="1:12" x14ac:dyDescent="0.25">
      <c r="A5088"/>
      <c r="C5088" s="9" t="s">
        <v>4778</v>
      </c>
      <c r="D5088" t="s">
        <v>4779</v>
      </c>
      <c r="F5088" s="6">
        <v>65</v>
      </c>
      <c r="G5088" s="6">
        <f t="shared" si="255"/>
        <v>65</v>
      </c>
      <c r="H5088" s="6">
        <v>65</v>
      </c>
      <c r="I5088" s="26">
        <f t="shared" si="256"/>
        <v>0</v>
      </c>
      <c r="J5088" s="7" t="str">
        <f t="shared" si="257"/>
        <v>PAGADO</v>
      </c>
    </row>
    <row r="5089" spans="1:10" x14ac:dyDescent="0.25">
      <c r="A5089"/>
      <c r="C5089" s="9" t="s">
        <v>4780</v>
      </c>
      <c r="D5089" t="s">
        <v>4781</v>
      </c>
      <c r="F5089" s="6">
        <v>50</v>
      </c>
      <c r="G5089" s="6">
        <f t="shared" si="255"/>
        <v>50</v>
      </c>
      <c r="H5089" s="6">
        <v>50</v>
      </c>
      <c r="I5089" s="26">
        <f t="shared" si="256"/>
        <v>0</v>
      </c>
      <c r="J5089" s="7" t="str">
        <f t="shared" si="257"/>
        <v>PAGADO</v>
      </c>
    </row>
    <row r="5090" spans="1:10" x14ac:dyDescent="0.25">
      <c r="A5090"/>
      <c r="C5090" s="9" t="s">
        <v>4782</v>
      </c>
      <c r="D5090" t="s">
        <v>4781</v>
      </c>
      <c r="F5090" s="6">
        <v>50</v>
      </c>
      <c r="G5090" s="6">
        <f t="shared" si="255"/>
        <v>50</v>
      </c>
      <c r="H5090" s="6">
        <v>50</v>
      </c>
      <c r="I5090" s="26">
        <f t="shared" si="256"/>
        <v>0</v>
      </c>
      <c r="J5090" s="7" t="str">
        <f t="shared" si="257"/>
        <v>PAGADO</v>
      </c>
    </row>
    <row r="5091" spans="1:10" x14ac:dyDescent="0.25">
      <c r="A5091"/>
      <c r="C5091" t="s">
        <v>4783</v>
      </c>
      <c r="D5091" s="9" t="s">
        <v>4378</v>
      </c>
      <c r="F5091" s="6">
        <v>70</v>
      </c>
      <c r="G5091" s="6">
        <f t="shared" si="255"/>
        <v>70</v>
      </c>
      <c r="H5091" s="6">
        <v>70</v>
      </c>
      <c r="I5091" s="26">
        <f t="shared" si="256"/>
        <v>0</v>
      </c>
      <c r="J5091" s="7" t="str">
        <f t="shared" si="257"/>
        <v>PAGADO</v>
      </c>
    </row>
    <row r="5092" spans="1:10" x14ac:dyDescent="0.25">
      <c r="A5092"/>
      <c r="C5092" t="s">
        <v>4784</v>
      </c>
      <c r="D5092" s="9" t="s">
        <v>4785</v>
      </c>
      <c r="F5092" s="6">
        <v>65</v>
      </c>
      <c r="G5092" s="6">
        <f t="shared" si="255"/>
        <v>65</v>
      </c>
      <c r="H5092" s="6">
        <v>65</v>
      </c>
      <c r="I5092" s="26">
        <f t="shared" si="256"/>
        <v>0</v>
      </c>
      <c r="J5092" s="7" t="str">
        <f t="shared" si="257"/>
        <v>PAGADO</v>
      </c>
    </row>
    <row r="5093" spans="1:10" x14ac:dyDescent="0.25">
      <c r="A5093"/>
      <c r="C5093" t="s">
        <v>4786</v>
      </c>
      <c r="D5093" s="9" t="s">
        <v>4785</v>
      </c>
      <c r="F5093" s="6">
        <v>60</v>
      </c>
      <c r="G5093" s="6">
        <f t="shared" si="255"/>
        <v>60</v>
      </c>
      <c r="H5093" s="6">
        <v>60</v>
      </c>
      <c r="I5093" s="26">
        <f t="shared" si="256"/>
        <v>0</v>
      </c>
      <c r="J5093" s="7" t="str">
        <f t="shared" si="257"/>
        <v>PAGADO</v>
      </c>
    </row>
    <row r="5094" spans="1:10" x14ac:dyDescent="0.25">
      <c r="A5094"/>
      <c r="C5094" t="s">
        <v>4787</v>
      </c>
      <c r="D5094" s="9" t="s">
        <v>1510</v>
      </c>
      <c r="F5094" s="6">
        <v>190</v>
      </c>
      <c r="G5094" s="6">
        <f t="shared" si="255"/>
        <v>190</v>
      </c>
      <c r="H5094" s="6">
        <v>190</v>
      </c>
      <c r="I5094" s="26">
        <f t="shared" si="256"/>
        <v>0</v>
      </c>
      <c r="J5094" s="7" t="str">
        <f t="shared" si="257"/>
        <v>PAGADO</v>
      </c>
    </row>
    <row r="5095" spans="1:10" x14ac:dyDescent="0.25">
      <c r="A5095"/>
      <c r="C5095" t="s">
        <v>4788</v>
      </c>
      <c r="D5095" s="9" t="s">
        <v>4789</v>
      </c>
      <c r="F5095" s="6">
        <v>85</v>
      </c>
      <c r="G5095" s="6">
        <f t="shared" si="255"/>
        <v>85</v>
      </c>
      <c r="H5095" s="6">
        <v>85</v>
      </c>
      <c r="I5095" s="26">
        <f t="shared" si="256"/>
        <v>0</v>
      </c>
      <c r="J5095" s="7" t="str">
        <f t="shared" si="257"/>
        <v>PAGADO</v>
      </c>
    </row>
    <row r="5096" spans="1:10" x14ac:dyDescent="0.25">
      <c r="A5096"/>
      <c r="C5096" t="s">
        <v>4790</v>
      </c>
      <c r="D5096" s="9" t="s">
        <v>4791</v>
      </c>
      <c r="F5096" s="6">
        <v>90</v>
      </c>
      <c r="G5096" s="6">
        <f t="shared" si="255"/>
        <v>90</v>
      </c>
      <c r="H5096" s="6">
        <f>40+50</f>
        <v>90</v>
      </c>
      <c r="I5096" s="26">
        <f t="shared" si="256"/>
        <v>0</v>
      </c>
      <c r="J5096" s="7" t="str">
        <f t="shared" si="257"/>
        <v>PAGADO</v>
      </c>
    </row>
    <row r="5097" spans="1:10" x14ac:dyDescent="0.25">
      <c r="A5097"/>
      <c r="C5097" t="s">
        <v>4792</v>
      </c>
      <c r="D5097" s="9" t="s">
        <v>4793</v>
      </c>
      <c r="F5097" s="6">
        <v>65</v>
      </c>
      <c r="G5097" s="6">
        <f t="shared" si="255"/>
        <v>65</v>
      </c>
      <c r="H5097" s="6">
        <v>65</v>
      </c>
      <c r="I5097" s="26">
        <f t="shared" si="256"/>
        <v>0</v>
      </c>
      <c r="J5097" s="7" t="str">
        <f t="shared" si="257"/>
        <v>PAGADO</v>
      </c>
    </row>
    <row r="5098" spans="1:10" x14ac:dyDescent="0.25">
      <c r="A5098"/>
      <c r="C5098" s="9" t="s">
        <v>4794</v>
      </c>
      <c r="D5098" s="9" t="s">
        <v>2018</v>
      </c>
      <c r="F5098" s="6">
        <v>250</v>
      </c>
      <c r="G5098" s="6">
        <f t="shared" si="255"/>
        <v>250</v>
      </c>
      <c r="H5098" s="6">
        <v>250</v>
      </c>
      <c r="I5098" s="26">
        <f t="shared" si="256"/>
        <v>0</v>
      </c>
      <c r="J5098" s="7" t="str">
        <f t="shared" si="257"/>
        <v>PAGADO</v>
      </c>
    </row>
    <row r="5099" spans="1:10" x14ac:dyDescent="0.25">
      <c r="A5099"/>
      <c r="C5099" s="9" t="s">
        <v>2940</v>
      </c>
      <c r="D5099" s="9" t="s">
        <v>4795</v>
      </c>
      <c r="F5099" s="6">
        <v>70</v>
      </c>
      <c r="G5099" s="6">
        <f t="shared" si="255"/>
        <v>70</v>
      </c>
      <c r="H5099" s="6">
        <v>70</v>
      </c>
      <c r="I5099" s="26">
        <f t="shared" si="256"/>
        <v>0</v>
      </c>
      <c r="J5099" s="7" t="str">
        <f t="shared" si="257"/>
        <v>PAGADO</v>
      </c>
    </row>
    <row r="5100" spans="1:10" x14ac:dyDescent="0.25">
      <c r="A5100"/>
      <c r="C5100" t="s">
        <v>1825</v>
      </c>
      <c r="D5100" t="s">
        <v>4796</v>
      </c>
      <c r="F5100" s="6">
        <v>55</v>
      </c>
      <c r="G5100" s="6">
        <f t="shared" si="255"/>
        <v>55</v>
      </c>
      <c r="H5100" s="6">
        <f>10+45</f>
        <v>55</v>
      </c>
      <c r="I5100" s="26">
        <f t="shared" si="256"/>
        <v>0</v>
      </c>
      <c r="J5100" s="7" t="str">
        <f t="shared" si="257"/>
        <v>PAGADO</v>
      </c>
    </row>
    <row r="5101" spans="1:10" x14ac:dyDescent="0.25">
      <c r="A5101"/>
      <c r="C5101" t="s">
        <v>4797</v>
      </c>
      <c r="D5101" t="s">
        <v>4798</v>
      </c>
      <c r="F5101" s="6">
        <v>60</v>
      </c>
      <c r="G5101" s="6">
        <f t="shared" si="255"/>
        <v>60</v>
      </c>
      <c r="H5101" s="6">
        <f>30+30</f>
        <v>60</v>
      </c>
      <c r="I5101" s="26">
        <f t="shared" si="256"/>
        <v>0</v>
      </c>
      <c r="J5101" s="7" t="str">
        <f t="shared" si="257"/>
        <v>PAGADO</v>
      </c>
    </row>
    <row r="5102" spans="1:10" x14ac:dyDescent="0.25">
      <c r="A5102"/>
      <c r="C5102" t="s">
        <v>4799</v>
      </c>
      <c r="D5102" t="s">
        <v>4800</v>
      </c>
      <c r="F5102" s="6">
        <v>60</v>
      </c>
      <c r="G5102" s="6">
        <f t="shared" si="255"/>
        <v>60</v>
      </c>
      <c r="H5102" s="6">
        <v>60</v>
      </c>
      <c r="I5102" s="26">
        <f t="shared" si="256"/>
        <v>0</v>
      </c>
      <c r="J5102" s="7" t="str">
        <f t="shared" si="257"/>
        <v>PAGADO</v>
      </c>
    </row>
    <row r="5103" spans="1:10" x14ac:dyDescent="0.25">
      <c r="A5103"/>
      <c r="C5103" t="s">
        <v>4264</v>
      </c>
      <c r="D5103" s="9" t="s">
        <v>4728</v>
      </c>
      <c r="F5103" s="6">
        <v>65</v>
      </c>
      <c r="G5103" s="6">
        <f t="shared" si="255"/>
        <v>65</v>
      </c>
      <c r="H5103" s="6">
        <v>65</v>
      </c>
      <c r="I5103" s="26">
        <f t="shared" si="256"/>
        <v>0</v>
      </c>
      <c r="J5103" s="7" t="str">
        <f t="shared" si="257"/>
        <v>PAGADO</v>
      </c>
    </row>
    <row r="5104" spans="1:10" x14ac:dyDescent="0.25">
      <c r="A5104"/>
      <c r="C5104" t="s">
        <v>4801</v>
      </c>
      <c r="D5104" s="9" t="s">
        <v>4802</v>
      </c>
      <c r="F5104" s="6">
        <v>210</v>
      </c>
      <c r="G5104" s="6">
        <f t="shared" si="255"/>
        <v>210</v>
      </c>
      <c r="H5104" s="6">
        <v>210</v>
      </c>
      <c r="I5104" s="26">
        <f t="shared" si="256"/>
        <v>0</v>
      </c>
      <c r="J5104" s="7" t="str">
        <f t="shared" si="257"/>
        <v>PAGADO</v>
      </c>
    </row>
    <row r="5105" spans="1:11" x14ac:dyDescent="0.25">
      <c r="A5105"/>
      <c r="C5105" t="s">
        <v>4803</v>
      </c>
      <c r="D5105" s="9" t="s">
        <v>4061</v>
      </c>
      <c r="F5105" s="6">
        <v>20</v>
      </c>
      <c r="G5105" s="6">
        <f t="shared" si="255"/>
        <v>20</v>
      </c>
      <c r="H5105" s="6">
        <f>10+10</f>
        <v>20</v>
      </c>
      <c r="I5105" s="26">
        <f t="shared" si="256"/>
        <v>0</v>
      </c>
      <c r="J5105" s="7" t="str">
        <f t="shared" si="257"/>
        <v>PAGADO</v>
      </c>
      <c r="K5105" t="s">
        <v>2712</v>
      </c>
    </row>
    <row r="5106" spans="1:11" x14ac:dyDescent="0.25">
      <c r="A5106"/>
      <c r="C5106" s="9" t="s">
        <v>4804</v>
      </c>
      <c r="D5106" s="9" t="s">
        <v>4785</v>
      </c>
      <c r="F5106" s="6">
        <v>60</v>
      </c>
      <c r="G5106" s="6">
        <f t="shared" si="255"/>
        <v>60</v>
      </c>
      <c r="H5106" s="6">
        <v>60</v>
      </c>
      <c r="I5106" s="26">
        <f t="shared" si="256"/>
        <v>0</v>
      </c>
      <c r="J5106" s="7" t="str">
        <f t="shared" si="257"/>
        <v>PAGADO</v>
      </c>
      <c r="K5106" s="33" t="s">
        <v>3506</v>
      </c>
    </row>
    <row r="5107" spans="1:11" x14ac:dyDescent="0.25">
      <c r="A5107"/>
      <c r="C5107" s="9" t="s">
        <v>4264</v>
      </c>
      <c r="D5107" s="9" t="s">
        <v>4785</v>
      </c>
      <c r="F5107" s="6">
        <v>60</v>
      </c>
      <c r="G5107" s="6">
        <f t="shared" si="255"/>
        <v>60</v>
      </c>
      <c r="H5107" s="6">
        <v>60</v>
      </c>
      <c r="I5107" s="26">
        <f t="shared" si="256"/>
        <v>0</v>
      </c>
      <c r="J5107" s="7" t="str">
        <f t="shared" si="257"/>
        <v>PAGADO</v>
      </c>
    </row>
    <row r="5108" spans="1:11" x14ac:dyDescent="0.25">
      <c r="A5108"/>
      <c r="C5108" s="9" t="s">
        <v>535</v>
      </c>
      <c r="D5108" s="9" t="s">
        <v>4785</v>
      </c>
      <c r="F5108" s="6">
        <v>70</v>
      </c>
      <c r="G5108" s="6">
        <f t="shared" si="255"/>
        <v>70</v>
      </c>
      <c r="H5108" s="6">
        <v>70</v>
      </c>
      <c r="I5108" s="26">
        <f t="shared" si="256"/>
        <v>0</v>
      </c>
      <c r="J5108" s="7" t="str">
        <f t="shared" si="257"/>
        <v>PAGADO</v>
      </c>
    </row>
    <row r="5109" spans="1:11" x14ac:dyDescent="0.25">
      <c r="A5109"/>
      <c r="C5109" s="9" t="s">
        <v>4805</v>
      </c>
      <c r="D5109" s="9" t="s">
        <v>4806</v>
      </c>
      <c r="F5109" s="6">
        <v>55</v>
      </c>
      <c r="G5109" s="6">
        <f t="shared" si="255"/>
        <v>55</v>
      </c>
      <c r="H5109" s="6">
        <v>55</v>
      </c>
      <c r="I5109" s="26">
        <f t="shared" si="256"/>
        <v>0</v>
      </c>
      <c r="J5109" s="7" t="str">
        <f t="shared" si="257"/>
        <v>PAGADO</v>
      </c>
    </row>
    <row r="5110" spans="1:11" x14ac:dyDescent="0.25">
      <c r="A5110"/>
      <c r="C5110" s="9" t="s">
        <v>4807</v>
      </c>
      <c r="D5110" s="9" t="s">
        <v>4808</v>
      </c>
      <c r="F5110" s="6">
        <v>60</v>
      </c>
      <c r="G5110" s="6">
        <f t="shared" si="255"/>
        <v>60</v>
      </c>
      <c r="H5110" s="6">
        <v>60</v>
      </c>
      <c r="I5110" s="26">
        <f t="shared" si="256"/>
        <v>0</v>
      </c>
      <c r="J5110" s="7" t="str">
        <f t="shared" si="257"/>
        <v>PAGADO</v>
      </c>
    </row>
    <row r="5111" spans="1:11" x14ac:dyDescent="0.25">
      <c r="A5111"/>
      <c r="C5111" s="9" t="s">
        <v>4809</v>
      </c>
      <c r="D5111" s="9" t="s">
        <v>3556</v>
      </c>
      <c r="F5111" s="6">
        <v>70</v>
      </c>
      <c r="G5111" s="6">
        <f t="shared" si="255"/>
        <v>70</v>
      </c>
      <c r="H5111" s="6">
        <v>70</v>
      </c>
      <c r="I5111" s="26">
        <f t="shared" si="256"/>
        <v>0</v>
      </c>
      <c r="J5111" s="7" t="str">
        <f t="shared" si="257"/>
        <v>PAGADO</v>
      </c>
    </row>
    <row r="5112" spans="1:11" x14ac:dyDescent="0.25">
      <c r="A5112"/>
      <c r="C5112" s="9" t="s">
        <v>2726</v>
      </c>
      <c r="D5112" s="9" t="s">
        <v>3556</v>
      </c>
      <c r="F5112" s="6">
        <v>70</v>
      </c>
      <c r="G5112" s="6">
        <f t="shared" si="255"/>
        <v>70</v>
      </c>
      <c r="H5112" s="6">
        <v>70</v>
      </c>
      <c r="I5112" s="26">
        <f t="shared" si="256"/>
        <v>0</v>
      </c>
      <c r="J5112" s="7" t="str">
        <f t="shared" si="257"/>
        <v>PAGADO</v>
      </c>
    </row>
    <row r="5113" spans="1:11" x14ac:dyDescent="0.25">
      <c r="A5113"/>
      <c r="C5113" s="9" t="s">
        <v>4810</v>
      </c>
      <c r="D5113" s="9" t="s">
        <v>4811</v>
      </c>
      <c r="F5113" s="6">
        <v>45</v>
      </c>
      <c r="G5113" s="6">
        <f t="shared" si="255"/>
        <v>45</v>
      </c>
      <c r="H5113" s="6">
        <v>45</v>
      </c>
      <c r="I5113" s="26">
        <f t="shared" si="256"/>
        <v>0</v>
      </c>
      <c r="J5113" s="7" t="str">
        <f t="shared" si="257"/>
        <v>PAGADO</v>
      </c>
    </row>
    <row r="5114" spans="1:11" x14ac:dyDescent="0.25">
      <c r="A5114"/>
      <c r="C5114" s="9" t="s">
        <v>4812</v>
      </c>
      <c r="D5114" s="9" t="s">
        <v>4795</v>
      </c>
      <c r="F5114" s="6">
        <v>60</v>
      </c>
      <c r="G5114" s="6">
        <f t="shared" si="255"/>
        <v>60</v>
      </c>
      <c r="H5114" s="6">
        <v>60</v>
      </c>
      <c r="I5114" s="26">
        <f t="shared" si="256"/>
        <v>0</v>
      </c>
      <c r="J5114" s="7" t="str">
        <f t="shared" si="257"/>
        <v>PAGADO</v>
      </c>
    </row>
    <row r="5115" spans="1:11" x14ac:dyDescent="0.25">
      <c r="A5115"/>
      <c r="C5115" t="s">
        <v>4813</v>
      </c>
      <c r="D5115" s="9" t="s">
        <v>4579</v>
      </c>
      <c r="F5115" s="6">
        <v>110</v>
      </c>
      <c r="G5115" s="6">
        <f t="shared" si="255"/>
        <v>110</v>
      </c>
      <c r="H5115" s="6">
        <v>110</v>
      </c>
      <c r="I5115" s="26">
        <f t="shared" si="256"/>
        <v>0</v>
      </c>
      <c r="J5115" s="7" t="str">
        <f t="shared" si="257"/>
        <v>PAGADO</v>
      </c>
    </row>
    <row r="5116" spans="1:11" x14ac:dyDescent="0.25">
      <c r="A5116"/>
      <c r="C5116" t="s">
        <v>4814</v>
      </c>
      <c r="D5116" s="9" t="s">
        <v>4579</v>
      </c>
      <c r="F5116" s="6">
        <v>170</v>
      </c>
      <c r="G5116" s="6">
        <f t="shared" si="255"/>
        <v>170</v>
      </c>
      <c r="H5116" s="6">
        <v>170</v>
      </c>
      <c r="I5116" s="26">
        <f t="shared" si="256"/>
        <v>0</v>
      </c>
      <c r="J5116" s="7" t="str">
        <f t="shared" si="257"/>
        <v>PAGADO</v>
      </c>
    </row>
    <row r="5117" spans="1:11" x14ac:dyDescent="0.25">
      <c r="A5117"/>
      <c r="C5117" t="s">
        <v>4815</v>
      </c>
      <c r="D5117" s="9" t="s">
        <v>4816</v>
      </c>
      <c r="F5117" s="6">
        <v>65</v>
      </c>
      <c r="G5117" s="6">
        <f t="shared" si="255"/>
        <v>65</v>
      </c>
      <c r="H5117" s="6">
        <v>65</v>
      </c>
      <c r="I5117" s="26">
        <f t="shared" si="256"/>
        <v>0</v>
      </c>
      <c r="J5117" s="7" t="str">
        <f t="shared" si="257"/>
        <v>PAGADO</v>
      </c>
    </row>
    <row r="5118" spans="1:11" x14ac:dyDescent="0.25">
      <c r="A5118"/>
      <c r="C5118" s="9" t="s">
        <v>4817</v>
      </c>
      <c r="D5118" s="9" t="s">
        <v>680</v>
      </c>
      <c r="F5118" s="6">
        <v>50</v>
      </c>
      <c r="G5118" s="6">
        <f t="shared" ref="G5118:G5181" si="258">F5118-E5118</f>
        <v>50</v>
      </c>
      <c r="H5118" s="6">
        <v>50</v>
      </c>
      <c r="I5118" s="26">
        <f t="shared" si="256"/>
        <v>0</v>
      </c>
      <c r="J5118" s="7" t="str">
        <f t="shared" si="257"/>
        <v>PAGADO</v>
      </c>
    </row>
    <row r="5119" spans="1:11" x14ac:dyDescent="0.25">
      <c r="A5119"/>
      <c r="C5119" s="9" t="s">
        <v>4818</v>
      </c>
      <c r="D5119" s="9" t="s">
        <v>680</v>
      </c>
      <c r="F5119" s="6">
        <v>60</v>
      </c>
      <c r="G5119" s="6">
        <f t="shared" si="258"/>
        <v>60</v>
      </c>
      <c r="H5119" s="6">
        <v>60</v>
      </c>
      <c r="I5119" s="26">
        <f t="shared" si="256"/>
        <v>0</v>
      </c>
      <c r="J5119" s="7" t="str">
        <f t="shared" si="257"/>
        <v>PAGADO</v>
      </c>
    </row>
    <row r="5120" spans="1:11" x14ac:dyDescent="0.25">
      <c r="A5120"/>
      <c r="C5120" s="9" t="s">
        <v>4819</v>
      </c>
      <c r="D5120" s="9" t="s">
        <v>4820</v>
      </c>
      <c r="F5120" s="6">
        <v>65</v>
      </c>
      <c r="G5120" s="6">
        <f t="shared" si="258"/>
        <v>65</v>
      </c>
      <c r="H5120" s="6">
        <v>65</v>
      </c>
      <c r="I5120" s="26">
        <f t="shared" si="256"/>
        <v>0</v>
      </c>
      <c r="J5120" s="7" t="str">
        <f t="shared" si="257"/>
        <v>PAGADO</v>
      </c>
    </row>
    <row r="5121" spans="1:11" x14ac:dyDescent="0.25">
      <c r="A5121"/>
      <c r="C5121" s="9" t="s">
        <v>4821</v>
      </c>
      <c r="D5121" s="9" t="s">
        <v>4822</v>
      </c>
      <c r="F5121" s="6">
        <v>70</v>
      </c>
      <c r="G5121" s="6">
        <f t="shared" si="258"/>
        <v>70</v>
      </c>
      <c r="H5121" s="6">
        <v>70</v>
      </c>
      <c r="I5121" s="26">
        <f t="shared" si="256"/>
        <v>0</v>
      </c>
      <c r="J5121" s="7" t="str">
        <f t="shared" si="257"/>
        <v>PAGADO</v>
      </c>
    </row>
    <row r="5122" spans="1:11" x14ac:dyDescent="0.25">
      <c r="A5122"/>
      <c r="C5122" s="9" t="s">
        <v>4823</v>
      </c>
      <c r="D5122" s="9" t="s">
        <v>4822</v>
      </c>
      <c r="F5122" s="6">
        <v>60</v>
      </c>
      <c r="G5122" s="6">
        <f t="shared" si="258"/>
        <v>60</v>
      </c>
      <c r="H5122" s="6">
        <v>60</v>
      </c>
      <c r="I5122" s="26">
        <f t="shared" si="256"/>
        <v>0</v>
      </c>
      <c r="J5122" s="7" t="str">
        <f t="shared" si="257"/>
        <v>PAGADO</v>
      </c>
    </row>
    <row r="5123" spans="1:11" x14ac:dyDescent="0.25">
      <c r="A5123"/>
      <c r="C5123" s="9" t="s">
        <v>4824</v>
      </c>
      <c r="D5123" s="9" t="s">
        <v>1309</v>
      </c>
      <c r="F5123" s="6">
        <v>180</v>
      </c>
      <c r="G5123" s="6">
        <f t="shared" si="258"/>
        <v>180</v>
      </c>
      <c r="H5123" s="6">
        <f>100+80</f>
        <v>180</v>
      </c>
      <c r="I5123" s="26">
        <f t="shared" si="256"/>
        <v>0</v>
      </c>
      <c r="J5123" s="7" t="str">
        <f t="shared" si="257"/>
        <v>PAGADO</v>
      </c>
      <c r="K5123" s="33" t="s">
        <v>3506</v>
      </c>
    </row>
    <row r="5124" spans="1:11" x14ac:dyDescent="0.25">
      <c r="A5124"/>
      <c r="C5124" s="9" t="s">
        <v>3361</v>
      </c>
      <c r="D5124" s="9" t="s">
        <v>3376</v>
      </c>
      <c r="F5124" s="6">
        <v>70</v>
      </c>
      <c r="G5124" s="6">
        <f t="shared" si="258"/>
        <v>70</v>
      </c>
      <c r="H5124" s="16">
        <f>35+35</f>
        <v>70</v>
      </c>
      <c r="I5124" s="27">
        <f t="shared" si="256"/>
        <v>0</v>
      </c>
      <c r="J5124" s="7" t="str">
        <f t="shared" si="257"/>
        <v>PAGADO</v>
      </c>
      <c r="K5124" s="9" t="s">
        <v>2712</v>
      </c>
    </row>
    <row r="5125" spans="1:11" x14ac:dyDescent="0.25">
      <c r="A5125"/>
      <c r="C5125" s="9" t="s">
        <v>4261</v>
      </c>
      <c r="D5125" s="9" t="s">
        <v>3376</v>
      </c>
      <c r="F5125" s="6">
        <v>80</v>
      </c>
      <c r="G5125" s="6">
        <f t="shared" si="258"/>
        <v>80</v>
      </c>
      <c r="H5125" s="65">
        <f>40+10+30</f>
        <v>80</v>
      </c>
      <c r="I5125" s="26">
        <f t="shared" si="256"/>
        <v>0</v>
      </c>
      <c r="J5125" s="7" t="str">
        <f t="shared" si="257"/>
        <v>PAGADO</v>
      </c>
      <c r="K5125" s="9" t="s">
        <v>2712</v>
      </c>
    </row>
    <row r="5126" spans="1:11" x14ac:dyDescent="0.25">
      <c r="A5126"/>
      <c r="C5126" s="9" t="s">
        <v>4699</v>
      </c>
      <c r="D5126" s="9" t="s">
        <v>3376</v>
      </c>
      <c r="F5126" s="6">
        <v>90</v>
      </c>
      <c r="G5126" s="6">
        <f t="shared" si="258"/>
        <v>90</v>
      </c>
      <c r="H5126" s="16">
        <f>45+45</f>
        <v>90</v>
      </c>
      <c r="I5126" s="27">
        <f t="shared" si="256"/>
        <v>0</v>
      </c>
      <c r="J5126" s="7" t="str">
        <f t="shared" si="257"/>
        <v>PAGADO</v>
      </c>
      <c r="K5126" s="9" t="s">
        <v>2712</v>
      </c>
    </row>
    <row r="5127" spans="1:11" x14ac:dyDescent="0.25">
      <c r="A5127"/>
      <c r="C5127" s="9" t="s">
        <v>4764</v>
      </c>
      <c r="D5127" s="9" t="s">
        <v>3376</v>
      </c>
      <c r="F5127" s="6">
        <v>90</v>
      </c>
      <c r="G5127" s="6">
        <f t="shared" si="258"/>
        <v>90</v>
      </c>
      <c r="H5127" s="16">
        <f>30+60</f>
        <v>90</v>
      </c>
      <c r="I5127" s="27">
        <f t="shared" si="256"/>
        <v>0</v>
      </c>
      <c r="J5127" s="7" t="str">
        <f t="shared" si="257"/>
        <v>PAGADO</v>
      </c>
      <c r="K5127" s="9" t="s">
        <v>2712</v>
      </c>
    </row>
    <row r="5128" spans="1:11" x14ac:dyDescent="0.25">
      <c r="A5128"/>
      <c r="C5128" s="9" t="s">
        <v>3180</v>
      </c>
      <c r="D5128" s="9" t="s">
        <v>3352</v>
      </c>
      <c r="F5128" s="6">
        <v>80</v>
      </c>
      <c r="G5128" s="6">
        <f t="shared" si="258"/>
        <v>80</v>
      </c>
      <c r="H5128" s="6">
        <v>80</v>
      </c>
      <c r="I5128" s="16">
        <f t="shared" si="256"/>
        <v>0</v>
      </c>
      <c r="J5128" s="7" t="str">
        <f t="shared" si="257"/>
        <v>PAGADO</v>
      </c>
      <c r="K5128" s="33" t="s">
        <v>2639</v>
      </c>
    </row>
    <row r="5129" spans="1:11" x14ac:dyDescent="0.25">
      <c r="A5129"/>
      <c r="C5129" s="9" t="s">
        <v>4825</v>
      </c>
      <c r="D5129" s="9" t="s">
        <v>3352</v>
      </c>
      <c r="F5129" s="6">
        <v>50</v>
      </c>
      <c r="G5129" s="6">
        <f t="shared" si="258"/>
        <v>50</v>
      </c>
      <c r="H5129" s="6">
        <v>50</v>
      </c>
      <c r="I5129" s="16">
        <f t="shared" si="256"/>
        <v>0</v>
      </c>
      <c r="J5129" s="7" t="str">
        <f t="shared" si="257"/>
        <v>PAGADO</v>
      </c>
      <c r="K5129" s="33" t="s">
        <v>2639</v>
      </c>
    </row>
    <row r="5130" spans="1:11" x14ac:dyDescent="0.25">
      <c r="A5130"/>
      <c r="C5130" s="9" t="s">
        <v>4826</v>
      </c>
      <c r="D5130" s="9" t="s">
        <v>3352</v>
      </c>
      <c r="F5130" s="6">
        <v>21</v>
      </c>
      <c r="G5130" s="6">
        <f t="shared" si="258"/>
        <v>21</v>
      </c>
      <c r="H5130" s="6">
        <v>21</v>
      </c>
      <c r="I5130" s="16">
        <f t="shared" si="256"/>
        <v>0</v>
      </c>
      <c r="J5130" s="7" t="str">
        <f t="shared" si="257"/>
        <v>PAGADO</v>
      </c>
      <c r="K5130" s="33" t="s">
        <v>2639</v>
      </c>
    </row>
    <row r="5131" spans="1:11" x14ac:dyDescent="0.25">
      <c r="A5131"/>
      <c r="C5131" s="9" t="s">
        <v>4827</v>
      </c>
      <c r="D5131" s="9" t="s">
        <v>3352</v>
      </c>
      <c r="F5131" s="6">
        <v>15</v>
      </c>
      <c r="G5131" s="6">
        <f t="shared" si="258"/>
        <v>15</v>
      </c>
      <c r="H5131" s="6">
        <v>15</v>
      </c>
      <c r="I5131" s="16">
        <f t="shared" ref="I5131:I5194" si="259">F5131-H5131</f>
        <v>0</v>
      </c>
      <c r="J5131" s="7" t="str">
        <f t="shared" si="257"/>
        <v>PAGADO</v>
      </c>
      <c r="K5131" s="33" t="s">
        <v>2639</v>
      </c>
    </row>
    <row r="5132" spans="1:11" x14ac:dyDescent="0.25">
      <c r="A5132"/>
      <c r="C5132" s="9" t="s">
        <v>4828</v>
      </c>
      <c r="D5132" s="9" t="s">
        <v>4172</v>
      </c>
      <c r="F5132" s="6">
        <v>150</v>
      </c>
      <c r="G5132" s="6">
        <f t="shared" si="258"/>
        <v>150</v>
      </c>
      <c r="H5132" s="6">
        <v>150</v>
      </c>
      <c r="I5132" s="26">
        <f t="shared" si="259"/>
        <v>0</v>
      </c>
      <c r="J5132" s="7" t="str">
        <f t="shared" si="257"/>
        <v>PAGADO</v>
      </c>
    </row>
    <row r="5133" spans="1:11" x14ac:dyDescent="0.25">
      <c r="A5133"/>
      <c r="C5133" t="s">
        <v>4829</v>
      </c>
      <c r="D5133" t="s">
        <v>4777</v>
      </c>
      <c r="F5133" s="6">
        <v>50</v>
      </c>
      <c r="G5133" s="6">
        <f t="shared" si="258"/>
        <v>50</v>
      </c>
      <c r="H5133" s="6">
        <v>50</v>
      </c>
      <c r="I5133" s="26">
        <f t="shared" si="259"/>
        <v>0</v>
      </c>
      <c r="J5133" s="7" t="str">
        <f t="shared" si="257"/>
        <v>PAGADO</v>
      </c>
      <c r="K5133" s="33" t="s">
        <v>2639</v>
      </c>
    </row>
    <row r="5134" spans="1:11" x14ac:dyDescent="0.25">
      <c r="A5134"/>
      <c r="C5134" s="9" t="s">
        <v>4830</v>
      </c>
      <c r="D5134" t="s">
        <v>4777</v>
      </c>
      <c r="F5134" s="6">
        <v>60</v>
      </c>
      <c r="G5134" s="6">
        <f t="shared" si="258"/>
        <v>60</v>
      </c>
      <c r="H5134" s="6">
        <v>60</v>
      </c>
      <c r="I5134" s="26">
        <f t="shared" si="259"/>
        <v>0</v>
      </c>
      <c r="J5134" s="7" t="str">
        <f t="shared" si="257"/>
        <v>PAGADO</v>
      </c>
      <c r="K5134" s="33" t="s">
        <v>2639</v>
      </c>
    </row>
    <row r="5135" spans="1:11" x14ac:dyDescent="0.25">
      <c r="A5135"/>
      <c r="C5135" t="s">
        <v>4831</v>
      </c>
      <c r="D5135" t="s">
        <v>4777</v>
      </c>
      <c r="F5135" s="6">
        <v>60</v>
      </c>
      <c r="G5135" s="6">
        <f t="shared" si="258"/>
        <v>60</v>
      </c>
      <c r="H5135" s="6">
        <v>60</v>
      </c>
      <c r="I5135" s="26">
        <f t="shared" si="259"/>
        <v>0</v>
      </c>
      <c r="J5135" s="7" t="str">
        <f t="shared" ref="J5135:J5198" si="260">IF(I5135&gt;0,"DEBE","PAGADO")</f>
        <v>PAGADO</v>
      </c>
      <c r="K5135" s="33" t="s">
        <v>2639</v>
      </c>
    </row>
    <row r="5136" spans="1:11" x14ac:dyDescent="0.25">
      <c r="A5136"/>
      <c r="C5136" t="s">
        <v>4832</v>
      </c>
      <c r="D5136" s="9" t="s">
        <v>4061</v>
      </c>
      <c r="F5136" s="6">
        <v>20</v>
      </c>
      <c r="G5136" s="6">
        <f t="shared" si="258"/>
        <v>20</v>
      </c>
      <c r="H5136" s="6">
        <v>20</v>
      </c>
      <c r="I5136" s="26">
        <f t="shared" si="259"/>
        <v>0</v>
      </c>
      <c r="J5136" s="7" t="str">
        <f t="shared" si="260"/>
        <v>PAGADO</v>
      </c>
      <c r="K5136" t="s">
        <v>2712</v>
      </c>
    </row>
    <row r="5137" spans="1:12" x14ac:dyDescent="0.25">
      <c r="A5137"/>
      <c r="C5137" s="9" t="s">
        <v>805</v>
      </c>
      <c r="D5137" s="9" t="s">
        <v>4577</v>
      </c>
      <c r="F5137" s="6">
        <v>70</v>
      </c>
      <c r="G5137" s="6">
        <f t="shared" si="258"/>
        <v>70</v>
      </c>
      <c r="H5137" s="6">
        <v>70</v>
      </c>
      <c r="I5137" s="26">
        <f t="shared" si="259"/>
        <v>0</v>
      </c>
      <c r="J5137" s="7" t="str">
        <f t="shared" si="260"/>
        <v>PAGADO</v>
      </c>
      <c r="K5137" s="9" t="s">
        <v>2639</v>
      </c>
    </row>
    <row r="5138" spans="1:12" x14ac:dyDescent="0.25">
      <c r="A5138"/>
      <c r="C5138" s="9" t="s">
        <v>4833</v>
      </c>
      <c r="D5138" s="9" t="s">
        <v>2548</v>
      </c>
      <c r="F5138" s="6">
        <v>40</v>
      </c>
      <c r="G5138" s="6">
        <f t="shared" si="258"/>
        <v>40</v>
      </c>
      <c r="H5138" s="6">
        <v>40</v>
      </c>
      <c r="I5138" s="26">
        <f t="shared" si="259"/>
        <v>0</v>
      </c>
      <c r="J5138" s="7" t="str">
        <f t="shared" si="260"/>
        <v>PAGADO</v>
      </c>
      <c r="K5138" s="33" t="s">
        <v>2639</v>
      </c>
      <c r="L5138" s="9" t="s">
        <v>3794</v>
      </c>
    </row>
    <row r="5139" spans="1:12" x14ac:dyDescent="0.25">
      <c r="A5139"/>
      <c r="C5139" s="9" t="s">
        <v>4834</v>
      </c>
      <c r="D5139" s="9" t="s">
        <v>2548</v>
      </c>
      <c r="F5139" s="6">
        <v>70</v>
      </c>
      <c r="G5139" s="6">
        <f t="shared" si="258"/>
        <v>70</v>
      </c>
      <c r="H5139" s="6">
        <v>70</v>
      </c>
      <c r="I5139" s="26">
        <f t="shared" si="259"/>
        <v>0</v>
      </c>
      <c r="J5139" s="7" t="str">
        <f t="shared" si="260"/>
        <v>PAGADO</v>
      </c>
      <c r="K5139" s="33" t="s">
        <v>2639</v>
      </c>
      <c r="L5139" s="9" t="s">
        <v>3794</v>
      </c>
    </row>
    <row r="5140" spans="1:12" x14ac:dyDescent="0.25">
      <c r="A5140"/>
      <c r="C5140" s="9" t="s">
        <v>4835</v>
      </c>
      <c r="D5140" s="9" t="s">
        <v>3352</v>
      </c>
      <c r="F5140" s="6">
        <v>130</v>
      </c>
      <c r="G5140" s="6">
        <f t="shared" si="258"/>
        <v>130</v>
      </c>
      <c r="H5140" s="6">
        <v>130</v>
      </c>
      <c r="I5140" s="26">
        <f t="shared" si="259"/>
        <v>0</v>
      </c>
      <c r="J5140" s="7" t="str">
        <f t="shared" si="260"/>
        <v>PAGADO</v>
      </c>
    </row>
    <row r="5141" spans="1:12" x14ac:dyDescent="0.25">
      <c r="A5141"/>
      <c r="C5141" s="9" t="s">
        <v>4836</v>
      </c>
      <c r="D5141" t="s">
        <v>3592</v>
      </c>
      <c r="F5141" s="6">
        <v>70</v>
      </c>
      <c r="G5141" s="6">
        <f t="shared" si="258"/>
        <v>70</v>
      </c>
      <c r="H5141" s="6">
        <v>70</v>
      </c>
      <c r="I5141" s="26">
        <f t="shared" si="259"/>
        <v>0</v>
      </c>
      <c r="J5141" s="7" t="str">
        <f t="shared" si="260"/>
        <v>PAGADO</v>
      </c>
    </row>
    <row r="5142" spans="1:12" x14ac:dyDescent="0.25">
      <c r="A5142"/>
      <c r="C5142" t="s">
        <v>4837</v>
      </c>
      <c r="D5142" s="9" t="s">
        <v>4407</v>
      </c>
      <c r="F5142" s="6">
        <v>130</v>
      </c>
      <c r="G5142" s="6">
        <f t="shared" si="258"/>
        <v>130</v>
      </c>
      <c r="H5142" s="6">
        <v>130</v>
      </c>
      <c r="I5142" s="26">
        <f t="shared" si="259"/>
        <v>0</v>
      </c>
      <c r="J5142" s="7" t="str">
        <f t="shared" si="260"/>
        <v>PAGADO</v>
      </c>
    </row>
    <row r="5143" spans="1:12" x14ac:dyDescent="0.25">
      <c r="A5143"/>
      <c r="C5143" t="s">
        <v>4838</v>
      </c>
      <c r="D5143" s="9" t="s">
        <v>4839</v>
      </c>
      <c r="F5143" s="6">
        <v>120</v>
      </c>
      <c r="G5143" s="6">
        <f t="shared" si="258"/>
        <v>120</v>
      </c>
      <c r="H5143" s="6">
        <v>120</v>
      </c>
      <c r="I5143" s="26">
        <f t="shared" si="259"/>
        <v>0</v>
      </c>
      <c r="J5143" s="7" t="str">
        <f t="shared" si="260"/>
        <v>PAGADO</v>
      </c>
    </row>
    <row r="5144" spans="1:12" x14ac:dyDescent="0.25">
      <c r="A5144"/>
      <c r="C5144" t="s">
        <v>4840</v>
      </c>
      <c r="D5144" s="9" t="s">
        <v>4839</v>
      </c>
      <c r="F5144" s="6">
        <v>60</v>
      </c>
      <c r="G5144" s="6">
        <f t="shared" si="258"/>
        <v>60</v>
      </c>
      <c r="H5144" s="6">
        <f>30+30</f>
        <v>60</v>
      </c>
      <c r="I5144" s="26">
        <f t="shared" si="259"/>
        <v>0</v>
      </c>
      <c r="J5144" s="7" t="str">
        <f t="shared" si="260"/>
        <v>PAGADO</v>
      </c>
      <c r="K5144" s="33" t="s">
        <v>3819</v>
      </c>
    </row>
    <row r="5145" spans="1:12" x14ac:dyDescent="0.25">
      <c r="A5145"/>
      <c r="C5145" s="9" t="s">
        <v>4841</v>
      </c>
      <c r="D5145" s="9" t="s">
        <v>2278</v>
      </c>
      <c r="F5145" s="6">
        <v>90</v>
      </c>
      <c r="G5145" s="6">
        <f t="shared" si="258"/>
        <v>90</v>
      </c>
      <c r="H5145" s="6">
        <v>90</v>
      </c>
      <c r="I5145" s="26">
        <f t="shared" si="259"/>
        <v>0</v>
      </c>
      <c r="J5145" s="7" t="str">
        <f t="shared" si="260"/>
        <v>PAGADO</v>
      </c>
    </row>
    <row r="5146" spans="1:12" x14ac:dyDescent="0.25">
      <c r="A5146"/>
      <c r="C5146" s="9" t="s">
        <v>2199</v>
      </c>
      <c r="D5146" s="9" t="s">
        <v>4842</v>
      </c>
      <c r="F5146" s="6">
        <v>70</v>
      </c>
      <c r="G5146" s="6">
        <f t="shared" si="258"/>
        <v>70</v>
      </c>
      <c r="H5146" s="6">
        <v>70</v>
      </c>
      <c r="I5146" s="26">
        <f t="shared" si="259"/>
        <v>0</v>
      </c>
      <c r="J5146" s="7" t="str">
        <f t="shared" si="260"/>
        <v>PAGADO</v>
      </c>
    </row>
    <row r="5147" spans="1:12" x14ac:dyDescent="0.25">
      <c r="A5147"/>
      <c r="C5147" s="9" t="s">
        <v>4843</v>
      </c>
      <c r="D5147" s="9" t="s">
        <v>4842</v>
      </c>
      <c r="F5147" s="6">
        <v>80</v>
      </c>
      <c r="G5147" s="6">
        <f t="shared" si="258"/>
        <v>80</v>
      </c>
      <c r="H5147" s="6">
        <v>80</v>
      </c>
      <c r="I5147" s="26">
        <f t="shared" si="259"/>
        <v>0</v>
      </c>
      <c r="J5147" s="7" t="str">
        <f t="shared" si="260"/>
        <v>PAGADO</v>
      </c>
      <c r="K5147" s="33" t="s">
        <v>2639</v>
      </c>
    </row>
    <row r="5148" spans="1:12" x14ac:dyDescent="0.25">
      <c r="A5148"/>
      <c r="C5148" s="9" t="s">
        <v>4844</v>
      </c>
      <c r="D5148" s="9" t="s">
        <v>4845</v>
      </c>
      <c r="F5148" s="6">
        <v>65</v>
      </c>
      <c r="G5148" s="6">
        <f t="shared" si="258"/>
        <v>65</v>
      </c>
      <c r="H5148" s="6">
        <v>65</v>
      </c>
      <c r="I5148" s="26">
        <f t="shared" si="259"/>
        <v>0</v>
      </c>
      <c r="J5148" s="7" t="str">
        <f t="shared" si="260"/>
        <v>PAGADO</v>
      </c>
    </row>
    <row r="5149" spans="1:12" x14ac:dyDescent="0.25">
      <c r="A5149"/>
      <c r="C5149" s="9" t="s">
        <v>1100</v>
      </c>
      <c r="D5149" s="9" t="s">
        <v>1451</v>
      </c>
      <c r="F5149" s="6">
        <v>120</v>
      </c>
      <c r="G5149" s="6">
        <f t="shared" si="258"/>
        <v>120</v>
      </c>
      <c r="H5149" s="6">
        <v>120</v>
      </c>
      <c r="I5149" s="26">
        <f t="shared" si="259"/>
        <v>0</v>
      </c>
      <c r="J5149" s="7" t="str">
        <f t="shared" si="260"/>
        <v>PAGADO</v>
      </c>
    </row>
    <row r="5150" spans="1:12" x14ac:dyDescent="0.25">
      <c r="A5150"/>
      <c r="C5150" s="9" t="s">
        <v>1100</v>
      </c>
      <c r="D5150" s="9" t="s">
        <v>1523</v>
      </c>
      <c r="F5150" s="6">
        <v>130</v>
      </c>
      <c r="G5150" s="6">
        <f t="shared" si="258"/>
        <v>130</v>
      </c>
      <c r="H5150" s="6">
        <v>130</v>
      </c>
      <c r="I5150" s="26">
        <f t="shared" si="259"/>
        <v>0</v>
      </c>
      <c r="J5150" s="7" t="str">
        <f t="shared" si="260"/>
        <v>PAGADO</v>
      </c>
    </row>
    <row r="5151" spans="1:12" x14ac:dyDescent="0.25">
      <c r="A5151"/>
      <c r="C5151" s="9" t="s">
        <v>4846</v>
      </c>
      <c r="D5151" s="9" t="s">
        <v>3213</v>
      </c>
      <c r="F5151" s="6">
        <v>200</v>
      </c>
      <c r="G5151" s="6">
        <f t="shared" si="258"/>
        <v>200</v>
      </c>
      <c r="H5151" s="6">
        <v>200</v>
      </c>
      <c r="I5151" s="26">
        <f t="shared" si="259"/>
        <v>0</v>
      </c>
      <c r="J5151" s="7" t="str">
        <f t="shared" si="260"/>
        <v>PAGADO</v>
      </c>
      <c r="K5151" s="33" t="s">
        <v>2639</v>
      </c>
      <c r="L5151" t="s">
        <v>3891</v>
      </c>
    </row>
    <row r="5152" spans="1:12" x14ac:dyDescent="0.25">
      <c r="A5152"/>
      <c r="C5152" s="9" t="s">
        <v>3638</v>
      </c>
      <c r="D5152" s="9" t="s">
        <v>2363</v>
      </c>
      <c r="F5152" s="6">
        <v>40</v>
      </c>
      <c r="G5152" s="6">
        <f t="shared" si="258"/>
        <v>40</v>
      </c>
      <c r="H5152" s="6">
        <v>40</v>
      </c>
      <c r="I5152" s="26">
        <f t="shared" si="259"/>
        <v>0</v>
      </c>
      <c r="J5152" s="7" t="str">
        <f t="shared" si="260"/>
        <v>PAGADO</v>
      </c>
      <c r="K5152" s="33" t="s">
        <v>693</v>
      </c>
    </row>
    <row r="5153" spans="1:11" x14ac:dyDescent="0.25">
      <c r="A5153"/>
      <c r="C5153" s="9" t="s">
        <v>4847</v>
      </c>
      <c r="D5153" s="9" t="s">
        <v>2363</v>
      </c>
      <c r="F5153" s="6">
        <v>140</v>
      </c>
      <c r="G5153" s="6">
        <f t="shared" si="258"/>
        <v>140</v>
      </c>
      <c r="H5153" s="6">
        <v>140</v>
      </c>
      <c r="I5153" s="26">
        <f t="shared" si="259"/>
        <v>0</v>
      </c>
      <c r="J5153" s="7" t="str">
        <f t="shared" si="260"/>
        <v>PAGADO</v>
      </c>
      <c r="K5153" s="33" t="s">
        <v>693</v>
      </c>
    </row>
    <row r="5154" spans="1:11" x14ac:dyDescent="0.25">
      <c r="A5154"/>
      <c r="C5154" s="9" t="s">
        <v>1250</v>
      </c>
      <c r="D5154" s="9" t="s">
        <v>488</v>
      </c>
      <c r="F5154" s="6">
        <v>65</v>
      </c>
      <c r="G5154" s="6">
        <f t="shared" si="258"/>
        <v>65</v>
      </c>
      <c r="H5154" s="6">
        <v>65</v>
      </c>
      <c r="I5154" s="26">
        <f t="shared" si="259"/>
        <v>0</v>
      </c>
      <c r="J5154" s="7" t="str">
        <f t="shared" si="260"/>
        <v>PAGADO</v>
      </c>
    </row>
    <row r="5155" spans="1:11" x14ac:dyDescent="0.25">
      <c r="A5155"/>
      <c r="C5155" s="9" t="s">
        <v>554</v>
      </c>
      <c r="D5155" s="9" t="s">
        <v>4848</v>
      </c>
      <c r="F5155" s="6">
        <v>55</v>
      </c>
      <c r="G5155" s="6">
        <f t="shared" si="258"/>
        <v>55</v>
      </c>
      <c r="H5155" s="6">
        <v>55</v>
      </c>
      <c r="I5155" s="26">
        <f t="shared" si="259"/>
        <v>0</v>
      </c>
      <c r="J5155" s="7" t="str">
        <f t="shared" si="260"/>
        <v>PAGADO</v>
      </c>
    </row>
    <row r="5156" spans="1:11" x14ac:dyDescent="0.25">
      <c r="A5156"/>
      <c r="C5156" s="9" t="s">
        <v>4849</v>
      </c>
      <c r="D5156" s="9" t="s">
        <v>4850</v>
      </c>
      <c r="F5156" s="6">
        <v>100</v>
      </c>
      <c r="G5156" s="6">
        <f t="shared" si="258"/>
        <v>100</v>
      </c>
      <c r="H5156" s="6">
        <v>100</v>
      </c>
      <c r="I5156" s="26">
        <f t="shared" si="259"/>
        <v>0</v>
      </c>
      <c r="J5156" s="7" t="str">
        <f t="shared" si="260"/>
        <v>PAGADO</v>
      </c>
    </row>
    <row r="5157" spans="1:11" x14ac:dyDescent="0.25">
      <c r="A5157"/>
      <c r="C5157" s="9" t="s">
        <v>4851</v>
      </c>
      <c r="D5157" s="9" t="s">
        <v>4850</v>
      </c>
      <c r="F5157" s="6">
        <v>130</v>
      </c>
      <c r="G5157" s="6">
        <f t="shared" si="258"/>
        <v>130</v>
      </c>
      <c r="H5157" s="6">
        <v>130</v>
      </c>
      <c r="I5157" s="26">
        <f t="shared" si="259"/>
        <v>0</v>
      </c>
      <c r="J5157" s="7" t="str">
        <f t="shared" si="260"/>
        <v>PAGADO</v>
      </c>
    </row>
    <row r="5158" spans="1:11" x14ac:dyDescent="0.25">
      <c r="A5158"/>
      <c r="C5158" s="9" t="s">
        <v>4852</v>
      </c>
      <c r="D5158" t="s">
        <v>3833</v>
      </c>
      <c r="F5158" s="6">
        <v>70</v>
      </c>
      <c r="G5158" s="6">
        <f t="shared" si="258"/>
        <v>70</v>
      </c>
      <c r="H5158" s="6">
        <v>70</v>
      </c>
      <c r="I5158" s="26">
        <f t="shared" si="259"/>
        <v>0</v>
      </c>
      <c r="J5158" s="7" t="str">
        <f t="shared" si="260"/>
        <v>PAGADO</v>
      </c>
      <c r="K5158" s="33" t="s">
        <v>2639</v>
      </c>
    </row>
    <row r="5159" spans="1:11" x14ac:dyDescent="0.25">
      <c r="A5159"/>
      <c r="C5159" s="14" t="s">
        <v>4853</v>
      </c>
      <c r="D5159" s="14" t="s">
        <v>3213</v>
      </c>
      <c r="E5159" s="15"/>
      <c r="F5159" s="16">
        <v>150</v>
      </c>
      <c r="G5159" s="16">
        <f t="shared" si="258"/>
        <v>150</v>
      </c>
      <c r="H5159" s="16">
        <v>150</v>
      </c>
      <c r="I5159" s="83">
        <f t="shared" si="259"/>
        <v>0</v>
      </c>
      <c r="J5159" s="17" t="str">
        <f t="shared" si="260"/>
        <v>PAGADO</v>
      </c>
      <c r="K5159" s="18" t="s">
        <v>2712</v>
      </c>
    </row>
    <row r="5160" spans="1:11" x14ac:dyDescent="0.25">
      <c r="A5160"/>
      <c r="C5160" s="9" t="s">
        <v>4854</v>
      </c>
      <c r="D5160" s="9" t="s">
        <v>3352</v>
      </c>
      <c r="F5160" s="26">
        <v>90</v>
      </c>
      <c r="G5160" s="26">
        <f t="shared" si="258"/>
        <v>90</v>
      </c>
      <c r="H5160" s="26">
        <v>90</v>
      </c>
      <c r="I5160" s="26">
        <f t="shared" si="259"/>
        <v>0</v>
      </c>
      <c r="J5160" s="7" t="str">
        <f t="shared" si="260"/>
        <v>PAGADO</v>
      </c>
      <c r="K5160" s="33" t="s">
        <v>2712</v>
      </c>
    </row>
    <row r="5161" spans="1:11" x14ac:dyDescent="0.25">
      <c r="A5161"/>
      <c r="C5161" s="9" t="s">
        <v>4640</v>
      </c>
      <c r="D5161" s="9" t="s">
        <v>3352</v>
      </c>
      <c r="F5161" s="26">
        <v>70</v>
      </c>
      <c r="G5161" s="26">
        <f t="shared" si="258"/>
        <v>70</v>
      </c>
      <c r="H5161" s="26">
        <v>70</v>
      </c>
      <c r="I5161" s="26">
        <f t="shared" si="259"/>
        <v>0</v>
      </c>
      <c r="J5161" s="7" t="str">
        <f t="shared" si="260"/>
        <v>PAGADO</v>
      </c>
      <c r="K5161" s="33" t="s">
        <v>2712</v>
      </c>
    </row>
    <row r="5162" spans="1:11" x14ac:dyDescent="0.25">
      <c r="A5162"/>
      <c r="C5162" s="9" t="s">
        <v>4855</v>
      </c>
      <c r="D5162" s="9" t="s">
        <v>3352</v>
      </c>
      <c r="F5162" s="6">
        <v>60</v>
      </c>
      <c r="G5162" s="6">
        <f t="shared" si="258"/>
        <v>60</v>
      </c>
      <c r="H5162" s="6">
        <f>30+30</f>
        <v>60</v>
      </c>
      <c r="I5162" s="26">
        <f t="shared" si="259"/>
        <v>0</v>
      </c>
      <c r="J5162" s="7" t="str">
        <f t="shared" si="260"/>
        <v>PAGADO</v>
      </c>
      <c r="K5162" s="33" t="s">
        <v>3506</v>
      </c>
    </row>
    <row r="5163" spans="1:11" x14ac:dyDescent="0.25">
      <c r="A5163"/>
      <c r="C5163" s="9" t="s">
        <v>4856</v>
      </c>
      <c r="D5163" s="9" t="s">
        <v>3352</v>
      </c>
      <c r="F5163" s="6">
        <v>60</v>
      </c>
      <c r="G5163" s="6">
        <f t="shared" si="258"/>
        <v>60</v>
      </c>
      <c r="H5163" s="6">
        <f>30+30</f>
        <v>60</v>
      </c>
      <c r="I5163" s="26">
        <f t="shared" si="259"/>
        <v>0</v>
      </c>
      <c r="J5163" s="7" t="str">
        <f t="shared" si="260"/>
        <v>PAGADO</v>
      </c>
      <c r="K5163" s="33" t="s">
        <v>3506</v>
      </c>
    </row>
    <row r="5164" spans="1:11" x14ac:dyDescent="0.25">
      <c r="A5164"/>
      <c r="C5164" s="9" t="s">
        <v>4857</v>
      </c>
      <c r="D5164" s="9" t="s">
        <v>3352</v>
      </c>
      <c r="F5164" s="6">
        <v>65</v>
      </c>
      <c r="G5164" s="6">
        <f t="shared" si="258"/>
        <v>65</v>
      </c>
      <c r="H5164" s="6">
        <f>32.5+32.5</f>
        <v>65</v>
      </c>
      <c r="I5164" s="26">
        <f t="shared" si="259"/>
        <v>0</v>
      </c>
      <c r="J5164" s="7" t="str">
        <f t="shared" si="260"/>
        <v>PAGADO</v>
      </c>
      <c r="K5164" s="33" t="s">
        <v>3506</v>
      </c>
    </row>
    <row r="5165" spans="1:11" x14ac:dyDescent="0.25">
      <c r="A5165"/>
      <c r="C5165" s="14" t="s">
        <v>4858</v>
      </c>
      <c r="D5165" s="14" t="s">
        <v>3352</v>
      </c>
      <c r="E5165" s="15"/>
      <c r="F5165" s="16">
        <v>60</v>
      </c>
      <c r="G5165" s="16">
        <f t="shared" si="258"/>
        <v>60</v>
      </c>
      <c r="H5165" s="16">
        <v>60</v>
      </c>
      <c r="I5165" s="16">
        <f t="shared" si="259"/>
        <v>0</v>
      </c>
      <c r="J5165" s="17" t="str">
        <f t="shared" si="260"/>
        <v>PAGADO</v>
      </c>
      <c r="K5165" s="22" t="s">
        <v>2714</v>
      </c>
    </row>
    <row r="5166" spans="1:11" x14ac:dyDescent="0.25">
      <c r="A5166"/>
      <c r="C5166" s="9" t="s">
        <v>4859</v>
      </c>
      <c r="D5166" s="9" t="s">
        <v>3262</v>
      </c>
      <c r="F5166" s="6">
        <v>70</v>
      </c>
      <c r="G5166" s="6">
        <f t="shared" si="258"/>
        <v>70</v>
      </c>
      <c r="H5166" s="6">
        <f>35+35</f>
        <v>70</v>
      </c>
      <c r="I5166" s="26">
        <f t="shared" si="259"/>
        <v>0</v>
      </c>
      <c r="J5166" s="7" t="str">
        <f t="shared" si="260"/>
        <v>PAGADO</v>
      </c>
      <c r="K5166" s="33" t="s">
        <v>2639</v>
      </c>
    </row>
    <row r="5167" spans="1:11" x14ac:dyDescent="0.25">
      <c r="A5167"/>
      <c r="C5167" s="9" t="s">
        <v>4860</v>
      </c>
      <c r="D5167" s="9" t="s">
        <v>67</v>
      </c>
      <c r="F5167" s="6">
        <v>190</v>
      </c>
      <c r="G5167" s="6">
        <f t="shared" si="258"/>
        <v>190</v>
      </c>
      <c r="H5167" s="6">
        <v>190</v>
      </c>
      <c r="I5167" s="26">
        <f t="shared" si="259"/>
        <v>0</v>
      </c>
      <c r="J5167" s="7" t="str">
        <f t="shared" si="260"/>
        <v>PAGADO</v>
      </c>
      <c r="K5167" s="33" t="s">
        <v>3506</v>
      </c>
    </row>
    <row r="5168" spans="1:11" x14ac:dyDescent="0.25">
      <c r="A5168"/>
      <c r="C5168" s="9" t="s">
        <v>4861</v>
      </c>
      <c r="D5168" s="9" t="s">
        <v>4862</v>
      </c>
      <c r="F5168" s="6">
        <v>80</v>
      </c>
      <c r="G5168" s="6">
        <f t="shared" si="258"/>
        <v>80</v>
      </c>
      <c r="H5168" s="6">
        <v>80</v>
      </c>
      <c r="I5168" s="26">
        <f t="shared" si="259"/>
        <v>0</v>
      </c>
      <c r="J5168" s="7" t="str">
        <f t="shared" si="260"/>
        <v>PAGADO</v>
      </c>
    </row>
    <row r="5169" spans="1:11" x14ac:dyDescent="0.25">
      <c r="A5169"/>
      <c r="C5169" s="9" t="s">
        <v>4863</v>
      </c>
      <c r="D5169" s="9" t="s">
        <v>4352</v>
      </c>
      <c r="F5169" s="6">
        <v>10</v>
      </c>
      <c r="G5169" s="6">
        <f t="shared" si="258"/>
        <v>10</v>
      </c>
      <c r="H5169" s="6">
        <v>10</v>
      </c>
      <c r="I5169" s="26">
        <f t="shared" si="259"/>
        <v>0</v>
      </c>
      <c r="J5169" s="7" t="str">
        <f t="shared" si="260"/>
        <v>PAGADO</v>
      </c>
    </row>
    <row r="5170" spans="1:11" x14ac:dyDescent="0.25">
      <c r="A5170"/>
      <c r="C5170" s="9" t="s">
        <v>3968</v>
      </c>
      <c r="D5170" s="9" t="s">
        <v>4864</v>
      </c>
      <c r="F5170" s="6">
        <v>70</v>
      </c>
      <c r="G5170" s="6">
        <f t="shared" si="258"/>
        <v>70</v>
      </c>
      <c r="H5170" s="6">
        <v>70</v>
      </c>
      <c r="I5170" s="26">
        <f t="shared" si="259"/>
        <v>0</v>
      </c>
      <c r="J5170" s="7" t="str">
        <f t="shared" si="260"/>
        <v>PAGADO</v>
      </c>
    </row>
    <row r="5171" spans="1:11" x14ac:dyDescent="0.25">
      <c r="A5171"/>
      <c r="C5171" s="9" t="s">
        <v>4865</v>
      </c>
      <c r="D5171" s="9" t="s">
        <v>4864</v>
      </c>
      <c r="F5171" s="6">
        <v>60</v>
      </c>
      <c r="G5171" s="6">
        <f t="shared" si="258"/>
        <v>60</v>
      </c>
      <c r="H5171" s="6">
        <v>60</v>
      </c>
      <c r="I5171" s="26">
        <f t="shared" si="259"/>
        <v>0</v>
      </c>
      <c r="J5171" s="7" t="str">
        <f t="shared" si="260"/>
        <v>PAGADO</v>
      </c>
    </row>
    <row r="5172" spans="1:11" x14ac:dyDescent="0.25">
      <c r="A5172"/>
      <c r="C5172" s="9" t="s">
        <v>4866</v>
      </c>
      <c r="D5172" s="9" t="s">
        <v>4867</v>
      </c>
      <c r="F5172" s="6">
        <v>50</v>
      </c>
      <c r="G5172" s="6">
        <f t="shared" si="258"/>
        <v>50</v>
      </c>
      <c r="H5172" s="6">
        <v>50</v>
      </c>
      <c r="I5172" s="26">
        <f t="shared" si="259"/>
        <v>0</v>
      </c>
      <c r="J5172" s="7" t="str">
        <f t="shared" si="260"/>
        <v>PAGADO</v>
      </c>
    </row>
    <row r="5173" spans="1:11" x14ac:dyDescent="0.25">
      <c r="A5173"/>
      <c r="C5173" s="9" t="s">
        <v>4815</v>
      </c>
      <c r="D5173" s="9" t="s">
        <v>4868</v>
      </c>
      <c r="F5173" s="6">
        <v>70</v>
      </c>
      <c r="G5173" s="6">
        <f t="shared" si="258"/>
        <v>70</v>
      </c>
      <c r="H5173" s="6">
        <v>70</v>
      </c>
      <c r="I5173" s="26">
        <f t="shared" si="259"/>
        <v>0</v>
      </c>
      <c r="J5173" s="7" t="str">
        <f t="shared" si="260"/>
        <v>PAGADO</v>
      </c>
    </row>
    <row r="5174" spans="1:11" x14ac:dyDescent="0.25">
      <c r="A5174"/>
      <c r="C5174" s="9" t="s">
        <v>4667</v>
      </c>
      <c r="D5174" s="9" t="s">
        <v>4869</v>
      </c>
      <c r="F5174" s="6">
        <v>15</v>
      </c>
      <c r="G5174" s="6">
        <f t="shared" si="258"/>
        <v>15</v>
      </c>
      <c r="H5174" s="6">
        <v>15</v>
      </c>
      <c r="I5174" s="26">
        <f t="shared" si="259"/>
        <v>0</v>
      </c>
      <c r="J5174" s="7" t="str">
        <f t="shared" si="260"/>
        <v>PAGADO</v>
      </c>
    </row>
    <row r="5175" spans="1:11" x14ac:dyDescent="0.25">
      <c r="A5175"/>
      <c r="C5175" s="9" t="s">
        <v>4870</v>
      </c>
      <c r="D5175" s="9" t="s">
        <v>4871</v>
      </c>
      <c r="F5175" s="6">
        <v>60</v>
      </c>
      <c r="G5175" s="6">
        <f t="shared" si="258"/>
        <v>60</v>
      </c>
      <c r="H5175" s="6">
        <v>60</v>
      </c>
      <c r="I5175" s="26">
        <f t="shared" si="259"/>
        <v>0</v>
      </c>
      <c r="J5175" s="7" t="str">
        <f t="shared" si="260"/>
        <v>PAGADO</v>
      </c>
    </row>
    <row r="5176" spans="1:11" x14ac:dyDescent="0.25">
      <c r="A5176"/>
      <c r="C5176" s="9" t="s">
        <v>4872</v>
      </c>
      <c r="D5176" s="9" t="s">
        <v>4871</v>
      </c>
      <c r="F5176" s="6">
        <v>60</v>
      </c>
      <c r="G5176" s="6">
        <f t="shared" si="258"/>
        <v>60</v>
      </c>
      <c r="H5176" s="6">
        <v>60</v>
      </c>
      <c r="I5176" s="26">
        <f t="shared" si="259"/>
        <v>0</v>
      </c>
      <c r="J5176" s="7" t="str">
        <f t="shared" si="260"/>
        <v>PAGADO</v>
      </c>
    </row>
    <row r="5177" spans="1:11" x14ac:dyDescent="0.25">
      <c r="A5177"/>
      <c r="C5177" t="s">
        <v>4762</v>
      </c>
      <c r="D5177" s="9" t="s">
        <v>4873</v>
      </c>
      <c r="F5177" s="6">
        <v>55</v>
      </c>
      <c r="G5177" s="6">
        <f t="shared" si="258"/>
        <v>55</v>
      </c>
      <c r="H5177" s="6">
        <v>55</v>
      </c>
      <c r="I5177" s="26">
        <f t="shared" si="259"/>
        <v>0</v>
      </c>
      <c r="J5177" s="7" t="str">
        <f t="shared" si="260"/>
        <v>PAGADO</v>
      </c>
    </row>
    <row r="5178" spans="1:11" x14ac:dyDescent="0.25">
      <c r="A5178"/>
      <c r="C5178" t="s">
        <v>4874</v>
      </c>
      <c r="D5178" s="9" t="s">
        <v>4875</v>
      </c>
      <c r="F5178" s="6">
        <v>440</v>
      </c>
      <c r="G5178" s="6">
        <f t="shared" si="258"/>
        <v>440</v>
      </c>
      <c r="H5178" s="6">
        <v>440</v>
      </c>
      <c r="I5178" s="26">
        <f t="shared" si="259"/>
        <v>0</v>
      </c>
      <c r="J5178" s="7" t="str">
        <f t="shared" si="260"/>
        <v>PAGADO</v>
      </c>
    </row>
    <row r="5179" spans="1:11" x14ac:dyDescent="0.25">
      <c r="A5179"/>
      <c r="C5179" t="s">
        <v>4876</v>
      </c>
      <c r="D5179" s="9" t="s">
        <v>4598</v>
      </c>
      <c r="F5179" s="6">
        <v>170</v>
      </c>
      <c r="G5179" s="6">
        <f t="shared" si="258"/>
        <v>170</v>
      </c>
      <c r="H5179" s="6">
        <v>170</v>
      </c>
      <c r="I5179" s="26">
        <f t="shared" si="259"/>
        <v>0</v>
      </c>
      <c r="J5179" s="7" t="str">
        <f t="shared" si="260"/>
        <v>PAGADO</v>
      </c>
    </row>
    <row r="5180" spans="1:11" x14ac:dyDescent="0.25">
      <c r="A5180"/>
      <c r="C5180" t="s">
        <v>1262</v>
      </c>
      <c r="D5180" s="9" t="s">
        <v>4877</v>
      </c>
      <c r="F5180" s="6">
        <v>90</v>
      </c>
      <c r="G5180" s="6">
        <f t="shared" si="258"/>
        <v>90</v>
      </c>
      <c r="H5180" s="6">
        <f>45+45</f>
        <v>90</v>
      </c>
      <c r="I5180" s="26">
        <f t="shared" si="259"/>
        <v>0</v>
      </c>
      <c r="J5180" s="7" t="str">
        <f t="shared" si="260"/>
        <v>PAGADO</v>
      </c>
    </row>
    <row r="5181" spans="1:11" x14ac:dyDescent="0.25">
      <c r="A5181"/>
      <c r="C5181" t="s">
        <v>4878</v>
      </c>
      <c r="D5181" s="9" t="s">
        <v>4570</v>
      </c>
      <c r="F5181" s="6">
        <v>60</v>
      </c>
      <c r="G5181" s="6">
        <f t="shared" si="258"/>
        <v>60</v>
      </c>
      <c r="H5181" s="6">
        <f>30+30</f>
        <v>60</v>
      </c>
      <c r="I5181" s="26">
        <f t="shared" si="259"/>
        <v>0</v>
      </c>
      <c r="J5181" s="7" t="str">
        <f t="shared" si="260"/>
        <v>PAGADO</v>
      </c>
      <c r="K5181" s="33" t="s">
        <v>2639</v>
      </c>
    </row>
    <row r="5182" spans="1:11" x14ac:dyDescent="0.25">
      <c r="A5182"/>
      <c r="C5182" t="s">
        <v>4560</v>
      </c>
      <c r="D5182" s="9" t="s">
        <v>4879</v>
      </c>
      <c r="F5182" s="6">
        <v>65</v>
      </c>
      <c r="G5182" s="6">
        <f t="shared" ref="G5182:G5245" si="261">F5182-E5182</f>
        <v>65</v>
      </c>
      <c r="H5182" s="6">
        <v>65</v>
      </c>
      <c r="I5182" s="26">
        <f t="shared" si="259"/>
        <v>0</v>
      </c>
      <c r="J5182" s="7" t="str">
        <f t="shared" si="260"/>
        <v>PAGADO</v>
      </c>
    </row>
    <row r="5183" spans="1:11" x14ac:dyDescent="0.25">
      <c r="A5183"/>
      <c r="C5183" t="s">
        <v>4880</v>
      </c>
      <c r="D5183" s="9" t="s">
        <v>4881</v>
      </c>
      <c r="F5183" s="6">
        <v>90</v>
      </c>
      <c r="G5183" s="6">
        <f t="shared" si="261"/>
        <v>90</v>
      </c>
      <c r="H5183" s="6">
        <v>90</v>
      </c>
      <c r="I5183" s="26">
        <f t="shared" si="259"/>
        <v>0</v>
      </c>
      <c r="J5183" s="7" t="str">
        <f t="shared" si="260"/>
        <v>PAGADO</v>
      </c>
      <c r="K5183" s="28" t="s">
        <v>693</v>
      </c>
    </row>
    <row r="5184" spans="1:11" x14ac:dyDescent="0.25">
      <c r="A5184"/>
      <c r="C5184" s="9" t="s">
        <v>4882</v>
      </c>
      <c r="D5184" t="s">
        <v>3658</v>
      </c>
      <c r="F5184" s="6">
        <v>60</v>
      </c>
      <c r="G5184" s="6">
        <f t="shared" si="261"/>
        <v>60</v>
      </c>
      <c r="H5184" s="6">
        <v>60</v>
      </c>
      <c r="I5184" s="26">
        <f t="shared" si="259"/>
        <v>0</v>
      </c>
      <c r="J5184" s="7" t="str">
        <f t="shared" si="260"/>
        <v>PAGADO</v>
      </c>
    </row>
    <row r="5185" spans="1:11" x14ac:dyDescent="0.25">
      <c r="A5185"/>
      <c r="C5185" s="9" t="s">
        <v>4883</v>
      </c>
      <c r="D5185" t="s">
        <v>4884</v>
      </c>
      <c r="F5185" s="6">
        <v>50</v>
      </c>
      <c r="G5185" s="6">
        <f t="shared" si="261"/>
        <v>50</v>
      </c>
      <c r="H5185" s="6">
        <v>50</v>
      </c>
      <c r="I5185" s="26">
        <f t="shared" si="259"/>
        <v>0</v>
      </c>
      <c r="J5185" s="7" t="str">
        <f t="shared" si="260"/>
        <v>PAGADO</v>
      </c>
    </row>
    <row r="5186" spans="1:11" x14ac:dyDescent="0.25">
      <c r="A5186"/>
      <c r="C5186" s="9" t="s">
        <v>4885</v>
      </c>
      <c r="D5186" t="s">
        <v>4886</v>
      </c>
      <c r="F5186" s="6">
        <v>50</v>
      </c>
      <c r="G5186" s="6">
        <f t="shared" si="261"/>
        <v>50</v>
      </c>
      <c r="H5186" s="6">
        <v>50</v>
      </c>
      <c r="I5186" s="26">
        <f t="shared" si="259"/>
        <v>0</v>
      </c>
      <c r="J5186" s="7" t="str">
        <f t="shared" si="260"/>
        <v>PAGADO</v>
      </c>
    </row>
    <row r="5187" spans="1:11" x14ac:dyDescent="0.25">
      <c r="A5187"/>
      <c r="C5187" t="s">
        <v>4887</v>
      </c>
      <c r="D5187" s="9" t="s">
        <v>4789</v>
      </c>
      <c r="F5187" s="6">
        <v>180</v>
      </c>
      <c r="G5187" s="6">
        <f t="shared" si="261"/>
        <v>180</v>
      </c>
      <c r="H5187" s="6">
        <v>180</v>
      </c>
      <c r="I5187" s="26">
        <f t="shared" si="259"/>
        <v>0</v>
      </c>
      <c r="J5187" s="7" t="str">
        <f t="shared" si="260"/>
        <v>PAGADO</v>
      </c>
    </row>
    <row r="5188" spans="1:11" x14ac:dyDescent="0.25">
      <c r="A5188"/>
      <c r="C5188" t="s">
        <v>4888</v>
      </c>
      <c r="D5188" s="9" t="s">
        <v>4789</v>
      </c>
      <c r="F5188" s="6">
        <v>90</v>
      </c>
      <c r="G5188" s="6">
        <f t="shared" si="261"/>
        <v>90</v>
      </c>
      <c r="H5188" s="6">
        <v>90</v>
      </c>
      <c r="I5188" s="26">
        <f t="shared" si="259"/>
        <v>0</v>
      </c>
      <c r="J5188" s="7" t="str">
        <f t="shared" si="260"/>
        <v>PAGADO</v>
      </c>
    </row>
    <row r="5189" spans="1:11" x14ac:dyDescent="0.25">
      <c r="A5189"/>
      <c r="C5189" t="s">
        <v>4889</v>
      </c>
      <c r="D5189" s="9" t="s">
        <v>4890</v>
      </c>
      <c r="F5189" s="6">
        <v>80</v>
      </c>
      <c r="G5189" s="6">
        <f t="shared" si="261"/>
        <v>80</v>
      </c>
      <c r="H5189" s="6">
        <v>80</v>
      </c>
      <c r="I5189" s="26">
        <f t="shared" si="259"/>
        <v>0</v>
      </c>
      <c r="J5189" s="7" t="str">
        <f t="shared" si="260"/>
        <v>PAGADO</v>
      </c>
    </row>
    <row r="5190" spans="1:11" x14ac:dyDescent="0.25">
      <c r="A5190"/>
      <c r="C5190" t="s">
        <v>4891</v>
      </c>
      <c r="D5190" s="9" t="s">
        <v>4890</v>
      </c>
      <c r="F5190" s="6">
        <v>60</v>
      </c>
      <c r="G5190" s="6">
        <f t="shared" si="261"/>
        <v>60</v>
      </c>
      <c r="H5190" s="6">
        <v>60</v>
      </c>
      <c r="I5190" s="26">
        <f t="shared" si="259"/>
        <v>0</v>
      </c>
      <c r="J5190" s="7" t="str">
        <f t="shared" si="260"/>
        <v>PAGADO</v>
      </c>
    </row>
    <row r="5191" spans="1:11" x14ac:dyDescent="0.25">
      <c r="A5191"/>
      <c r="C5191" s="9" t="s">
        <v>4892</v>
      </c>
      <c r="D5191" s="9" t="s">
        <v>4381</v>
      </c>
      <c r="F5191" s="6">
        <v>190</v>
      </c>
      <c r="G5191" s="6">
        <f t="shared" si="261"/>
        <v>190</v>
      </c>
      <c r="H5191" s="6">
        <v>190</v>
      </c>
      <c r="I5191" s="26">
        <f t="shared" si="259"/>
        <v>0</v>
      </c>
      <c r="J5191" s="7" t="str">
        <f t="shared" si="260"/>
        <v>PAGADO</v>
      </c>
    </row>
    <row r="5192" spans="1:11" x14ac:dyDescent="0.25">
      <c r="A5192"/>
      <c r="C5192" s="9" t="s">
        <v>4893</v>
      </c>
      <c r="D5192" s="9" t="s">
        <v>4894</v>
      </c>
      <c r="F5192" s="6">
        <v>170</v>
      </c>
      <c r="G5192" s="6">
        <f t="shared" si="261"/>
        <v>170</v>
      </c>
      <c r="H5192" s="6">
        <v>170</v>
      </c>
      <c r="I5192" s="26">
        <f t="shared" si="259"/>
        <v>0</v>
      </c>
      <c r="J5192" s="7" t="str">
        <f t="shared" si="260"/>
        <v>PAGADO</v>
      </c>
    </row>
    <row r="5193" spans="1:11" x14ac:dyDescent="0.25">
      <c r="A5193"/>
      <c r="C5193" s="9" t="s">
        <v>4895</v>
      </c>
      <c r="D5193" s="9" t="s">
        <v>4665</v>
      </c>
      <c r="F5193" s="6">
        <v>60</v>
      </c>
      <c r="G5193" s="6">
        <f t="shared" si="261"/>
        <v>60</v>
      </c>
      <c r="H5193" s="6">
        <f>30+30</f>
        <v>60</v>
      </c>
      <c r="I5193" s="26">
        <f t="shared" si="259"/>
        <v>0</v>
      </c>
      <c r="J5193" s="7" t="str">
        <f t="shared" si="260"/>
        <v>PAGADO</v>
      </c>
      <c r="K5193" s="9" t="s">
        <v>3506</v>
      </c>
    </row>
    <row r="5194" spans="1:11" x14ac:dyDescent="0.25">
      <c r="A5194"/>
      <c r="C5194" s="9" t="s">
        <v>4896</v>
      </c>
      <c r="D5194" s="9" t="s">
        <v>4897</v>
      </c>
      <c r="F5194" s="6">
        <v>65</v>
      </c>
      <c r="G5194" s="6">
        <f t="shared" si="261"/>
        <v>65</v>
      </c>
      <c r="H5194" s="6">
        <v>65</v>
      </c>
      <c r="I5194" s="26">
        <f t="shared" si="259"/>
        <v>0</v>
      </c>
      <c r="J5194" s="7" t="str">
        <f t="shared" si="260"/>
        <v>PAGADO</v>
      </c>
    </row>
    <row r="5195" spans="1:11" x14ac:dyDescent="0.25">
      <c r="A5195"/>
      <c r="C5195" s="9" t="s">
        <v>4898</v>
      </c>
      <c r="D5195" s="9" t="s">
        <v>4899</v>
      </c>
      <c r="F5195" s="6">
        <v>190</v>
      </c>
      <c r="G5195" s="6">
        <f t="shared" si="261"/>
        <v>190</v>
      </c>
      <c r="H5195" s="6">
        <v>190</v>
      </c>
      <c r="I5195" s="26">
        <f t="shared" ref="I5195:I5258" si="262">F5195-H5195</f>
        <v>0</v>
      </c>
      <c r="J5195" s="7" t="str">
        <f t="shared" si="260"/>
        <v>PAGADO</v>
      </c>
    </row>
    <row r="5196" spans="1:11" x14ac:dyDescent="0.25">
      <c r="A5196"/>
      <c r="C5196" s="9" t="s">
        <v>4900</v>
      </c>
      <c r="D5196" s="9" t="s">
        <v>3026</v>
      </c>
      <c r="F5196" s="6">
        <v>65</v>
      </c>
      <c r="G5196" s="6">
        <f t="shared" si="261"/>
        <v>65</v>
      </c>
      <c r="H5196" s="6">
        <v>65</v>
      </c>
      <c r="I5196" s="26">
        <f t="shared" si="262"/>
        <v>0</v>
      </c>
      <c r="J5196" s="7" t="str">
        <f t="shared" si="260"/>
        <v>PAGADO</v>
      </c>
    </row>
    <row r="5197" spans="1:11" x14ac:dyDescent="0.25">
      <c r="A5197"/>
      <c r="C5197" s="9" t="s">
        <v>4901</v>
      </c>
      <c r="D5197" s="9" t="s">
        <v>3395</v>
      </c>
      <c r="F5197" s="6">
        <v>90</v>
      </c>
      <c r="G5197" s="6">
        <f t="shared" si="261"/>
        <v>90</v>
      </c>
      <c r="H5197" s="6">
        <v>90</v>
      </c>
      <c r="I5197" s="26">
        <f t="shared" si="262"/>
        <v>0</v>
      </c>
      <c r="J5197" s="7" t="str">
        <f t="shared" si="260"/>
        <v>PAGADO</v>
      </c>
    </row>
    <row r="5198" spans="1:11" x14ac:dyDescent="0.25">
      <c r="A5198"/>
      <c r="C5198" s="9" t="s">
        <v>4902</v>
      </c>
      <c r="D5198" s="9" t="s">
        <v>4503</v>
      </c>
      <c r="F5198" s="6">
        <v>60</v>
      </c>
      <c r="G5198" s="6">
        <f t="shared" si="261"/>
        <v>60</v>
      </c>
      <c r="H5198" s="6">
        <v>60</v>
      </c>
      <c r="I5198" s="26">
        <f t="shared" si="262"/>
        <v>0</v>
      </c>
      <c r="J5198" s="7" t="str">
        <f t="shared" si="260"/>
        <v>PAGADO</v>
      </c>
    </row>
    <row r="5199" spans="1:11" x14ac:dyDescent="0.25">
      <c r="A5199"/>
      <c r="C5199" s="9" t="s">
        <v>4903</v>
      </c>
      <c r="D5199" s="9" t="s">
        <v>4890</v>
      </c>
      <c r="F5199" s="6">
        <v>65</v>
      </c>
      <c r="G5199" s="6">
        <f t="shared" si="261"/>
        <v>65</v>
      </c>
      <c r="H5199" s="6">
        <v>65</v>
      </c>
      <c r="I5199" s="26">
        <f t="shared" si="262"/>
        <v>0</v>
      </c>
      <c r="J5199" s="7" t="str">
        <f t="shared" ref="J5199:J5262" si="263">IF(I5199&gt;0,"DEBE","PAGADO")</f>
        <v>PAGADO</v>
      </c>
    </row>
    <row r="5200" spans="1:11" x14ac:dyDescent="0.25">
      <c r="A5200"/>
      <c r="C5200" s="9" t="s">
        <v>4904</v>
      </c>
      <c r="D5200" s="9" t="s">
        <v>4905</v>
      </c>
      <c r="F5200" s="6">
        <v>140</v>
      </c>
      <c r="G5200" s="6">
        <f t="shared" si="261"/>
        <v>140</v>
      </c>
      <c r="H5200" s="6">
        <v>140</v>
      </c>
      <c r="I5200" s="26">
        <f t="shared" si="262"/>
        <v>0</v>
      </c>
      <c r="J5200" s="7" t="str">
        <f t="shared" si="263"/>
        <v>PAGADO</v>
      </c>
    </row>
    <row r="5201" spans="1:12" x14ac:dyDescent="0.25">
      <c r="A5201"/>
      <c r="C5201" s="9" t="s">
        <v>4703</v>
      </c>
      <c r="D5201" s="9" t="s">
        <v>4905</v>
      </c>
      <c r="F5201" s="6">
        <v>130</v>
      </c>
      <c r="G5201" s="6">
        <f t="shared" si="261"/>
        <v>130</v>
      </c>
      <c r="H5201" s="6">
        <v>130</v>
      </c>
      <c r="I5201" s="26">
        <f t="shared" si="262"/>
        <v>0</v>
      </c>
      <c r="J5201" s="7" t="str">
        <f t="shared" si="263"/>
        <v>PAGADO</v>
      </c>
    </row>
    <row r="5202" spans="1:12" x14ac:dyDescent="0.25">
      <c r="A5202"/>
      <c r="C5202" s="9" t="s">
        <v>4906</v>
      </c>
      <c r="D5202" s="9" t="s">
        <v>2018</v>
      </c>
      <c r="F5202" s="6">
        <v>75</v>
      </c>
      <c r="G5202" s="6">
        <f t="shared" si="261"/>
        <v>75</v>
      </c>
      <c r="H5202" s="6">
        <v>75</v>
      </c>
      <c r="I5202" s="26">
        <f t="shared" si="262"/>
        <v>0</v>
      </c>
      <c r="J5202" s="7" t="str">
        <f t="shared" si="263"/>
        <v>PAGADO</v>
      </c>
    </row>
    <row r="5203" spans="1:12" x14ac:dyDescent="0.25">
      <c r="A5203"/>
      <c r="C5203" s="9" t="s">
        <v>4907</v>
      </c>
      <c r="D5203" s="9" t="s">
        <v>2548</v>
      </c>
      <c r="F5203" s="6">
        <v>250</v>
      </c>
      <c r="G5203" s="6">
        <f t="shared" si="261"/>
        <v>250</v>
      </c>
      <c r="H5203" s="6">
        <v>250</v>
      </c>
      <c r="I5203" s="26">
        <f t="shared" si="262"/>
        <v>0</v>
      </c>
      <c r="J5203" s="7" t="str">
        <f t="shared" si="263"/>
        <v>PAGADO</v>
      </c>
      <c r="K5203" s="33" t="s">
        <v>2639</v>
      </c>
      <c r="L5203" s="9" t="s">
        <v>3794</v>
      </c>
    </row>
    <row r="5204" spans="1:12" x14ac:dyDescent="0.25">
      <c r="A5204"/>
      <c r="C5204" s="9" t="s">
        <v>4809</v>
      </c>
      <c r="D5204" s="9" t="s">
        <v>1510</v>
      </c>
      <c r="F5204" s="6">
        <v>70</v>
      </c>
      <c r="G5204" s="6">
        <f t="shared" si="261"/>
        <v>70</v>
      </c>
      <c r="H5204" s="6">
        <v>70</v>
      </c>
      <c r="I5204" s="26">
        <f t="shared" si="262"/>
        <v>0</v>
      </c>
      <c r="J5204" s="7" t="str">
        <f t="shared" si="263"/>
        <v>PAGADO</v>
      </c>
      <c r="K5204" s="33" t="s">
        <v>4908</v>
      </c>
    </row>
    <row r="5205" spans="1:12" x14ac:dyDescent="0.25">
      <c r="A5205"/>
      <c r="C5205" s="9" t="s">
        <v>4495</v>
      </c>
      <c r="D5205" s="9" t="s">
        <v>1510</v>
      </c>
      <c r="F5205" s="6">
        <v>70</v>
      </c>
      <c r="G5205" s="6">
        <f t="shared" si="261"/>
        <v>70</v>
      </c>
      <c r="H5205" s="6">
        <v>70</v>
      </c>
      <c r="I5205" s="26">
        <f t="shared" si="262"/>
        <v>0</v>
      </c>
      <c r="J5205" s="7" t="str">
        <f t="shared" si="263"/>
        <v>PAGADO</v>
      </c>
      <c r="K5205" s="33" t="s">
        <v>4908</v>
      </c>
    </row>
    <row r="5206" spans="1:12" x14ac:dyDescent="0.25">
      <c r="A5206"/>
      <c r="C5206" s="9" t="s">
        <v>4909</v>
      </c>
      <c r="D5206" s="9" t="s">
        <v>4407</v>
      </c>
      <c r="F5206" s="6">
        <v>65</v>
      </c>
      <c r="G5206" s="6">
        <f t="shared" si="261"/>
        <v>65</v>
      </c>
      <c r="H5206" s="6">
        <v>65</v>
      </c>
      <c r="I5206" s="26">
        <f t="shared" si="262"/>
        <v>0</v>
      </c>
      <c r="J5206" s="7" t="str">
        <f t="shared" si="263"/>
        <v>PAGADO</v>
      </c>
    </row>
    <row r="5207" spans="1:12" x14ac:dyDescent="0.25">
      <c r="A5207"/>
      <c r="C5207" s="9" t="s">
        <v>4910</v>
      </c>
      <c r="D5207" s="9" t="s">
        <v>1145</v>
      </c>
      <c r="F5207" s="6">
        <v>30</v>
      </c>
      <c r="G5207" s="6">
        <f t="shared" si="261"/>
        <v>30</v>
      </c>
      <c r="H5207" s="6">
        <v>30</v>
      </c>
      <c r="I5207" s="16">
        <f t="shared" si="262"/>
        <v>0</v>
      </c>
      <c r="J5207" s="7" t="str">
        <f t="shared" si="263"/>
        <v>PAGADO</v>
      </c>
      <c r="K5207" s="9" t="s">
        <v>3086</v>
      </c>
    </row>
    <row r="5208" spans="1:12" x14ac:dyDescent="0.25">
      <c r="A5208"/>
      <c r="C5208" s="9" t="s">
        <v>4911</v>
      </c>
      <c r="D5208" s="9" t="s">
        <v>4912</v>
      </c>
      <c r="F5208" s="6">
        <v>130</v>
      </c>
      <c r="G5208" s="6">
        <f t="shared" si="261"/>
        <v>130</v>
      </c>
      <c r="H5208" s="6">
        <v>130</v>
      </c>
      <c r="I5208" s="26">
        <f t="shared" si="262"/>
        <v>0</v>
      </c>
      <c r="J5208" s="7" t="str">
        <f t="shared" si="263"/>
        <v>PAGADO</v>
      </c>
    </row>
    <row r="5209" spans="1:12" x14ac:dyDescent="0.25">
      <c r="A5209"/>
      <c r="C5209" s="9" t="s">
        <v>4913</v>
      </c>
      <c r="D5209" s="9" t="s">
        <v>4912</v>
      </c>
      <c r="F5209" s="6">
        <v>60</v>
      </c>
      <c r="G5209" s="6">
        <f t="shared" si="261"/>
        <v>60</v>
      </c>
      <c r="H5209" s="6">
        <v>60</v>
      </c>
      <c r="I5209" s="26">
        <f t="shared" si="262"/>
        <v>0</v>
      </c>
      <c r="J5209" s="7" t="str">
        <f t="shared" si="263"/>
        <v>PAGADO</v>
      </c>
    </row>
    <row r="5210" spans="1:12" x14ac:dyDescent="0.25">
      <c r="A5210"/>
      <c r="C5210" s="9" t="s">
        <v>745</v>
      </c>
      <c r="D5210" s="9" t="s">
        <v>3591</v>
      </c>
      <c r="F5210" s="6">
        <v>70</v>
      </c>
      <c r="G5210" s="6">
        <f t="shared" si="261"/>
        <v>70</v>
      </c>
      <c r="H5210" s="6">
        <v>70</v>
      </c>
      <c r="I5210" s="26">
        <f t="shared" si="262"/>
        <v>0</v>
      </c>
      <c r="J5210" s="7" t="str">
        <f t="shared" si="263"/>
        <v>PAGADO</v>
      </c>
    </row>
    <row r="5211" spans="1:12" x14ac:dyDescent="0.25">
      <c r="A5211"/>
      <c r="C5211" s="9" t="s">
        <v>4914</v>
      </c>
      <c r="D5211" s="9" t="s">
        <v>1736</v>
      </c>
      <c r="F5211" s="6">
        <v>50</v>
      </c>
      <c r="G5211" s="6">
        <f t="shared" si="261"/>
        <v>50</v>
      </c>
      <c r="H5211" s="6">
        <f>25+25</f>
        <v>50</v>
      </c>
      <c r="I5211" s="26">
        <f t="shared" si="262"/>
        <v>0</v>
      </c>
      <c r="J5211" s="7" t="str">
        <f t="shared" si="263"/>
        <v>PAGADO</v>
      </c>
      <c r="K5211" s="33" t="s">
        <v>3819</v>
      </c>
    </row>
    <row r="5212" spans="1:12" x14ac:dyDescent="0.25">
      <c r="A5212"/>
      <c r="C5212" s="9" t="s">
        <v>4915</v>
      </c>
      <c r="D5212" s="9" t="s">
        <v>2314</v>
      </c>
      <c r="F5212" s="6">
        <v>35</v>
      </c>
      <c r="G5212" s="6">
        <f t="shared" si="261"/>
        <v>35</v>
      </c>
      <c r="H5212" s="6">
        <v>35</v>
      </c>
      <c r="I5212" s="26">
        <f t="shared" si="262"/>
        <v>0</v>
      </c>
      <c r="J5212" s="7" t="str">
        <f t="shared" si="263"/>
        <v>PAGADO</v>
      </c>
    </row>
    <row r="5213" spans="1:12" x14ac:dyDescent="0.25">
      <c r="A5213"/>
      <c r="C5213" s="9" t="s">
        <v>4916</v>
      </c>
      <c r="D5213" s="9" t="s">
        <v>4728</v>
      </c>
      <c r="F5213" s="6">
        <v>60</v>
      </c>
      <c r="G5213" s="6">
        <f t="shared" si="261"/>
        <v>60</v>
      </c>
      <c r="H5213" s="6">
        <v>60</v>
      </c>
      <c r="I5213" s="26">
        <f t="shared" si="262"/>
        <v>0</v>
      </c>
      <c r="J5213" s="7" t="str">
        <f t="shared" si="263"/>
        <v>PAGADO</v>
      </c>
    </row>
    <row r="5214" spans="1:12" x14ac:dyDescent="0.25">
      <c r="A5214"/>
      <c r="C5214" s="9" t="s">
        <v>4495</v>
      </c>
      <c r="D5214" s="9" t="s">
        <v>4728</v>
      </c>
      <c r="F5214" s="6">
        <v>65</v>
      </c>
      <c r="G5214" s="6">
        <f t="shared" si="261"/>
        <v>65</v>
      </c>
      <c r="H5214" s="6">
        <v>65</v>
      </c>
      <c r="I5214" s="26">
        <f t="shared" si="262"/>
        <v>0</v>
      </c>
      <c r="J5214" s="7" t="str">
        <f t="shared" si="263"/>
        <v>PAGADO</v>
      </c>
    </row>
    <row r="5215" spans="1:12" x14ac:dyDescent="0.25">
      <c r="A5215"/>
      <c r="C5215" s="9" t="s">
        <v>2648</v>
      </c>
      <c r="D5215" s="9" t="s">
        <v>4728</v>
      </c>
      <c r="F5215" s="6">
        <v>65</v>
      </c>
      <c r="G5215" s="6">
        <f t="shared" si="261"/>
        <v>65</v>
      </c>
      <c r="H5215" s="6">
        <v>65</v>
      </c>
      <c r="I5215" s="26">
        <f t="shared" si="262"/>
        <v>0</v>
      </c>
      <c r="J5215" s="7" t="str">
        <f t="shared" si="263"/>
        <v>PAGADO</v>
      </c>
    </row>
    <row r="5216" spans="1:12" x14ac:dyDescent="0.25">
      <c r="A5216"/>
      <c r="C5216" s="9" t="s">
        <v>4917</v>
      </c>
      <c r="D5216" s="9" t="s">
        <v>4728</v>
      </c>
      <c r="F5216" s="6">
        <v>80</v>
      </c>
      <c r="G5216" s="6">
        <f t="shared" si="261"/>
        <v>80</v>
      </c>
      <c r="H5216" s="6">
        <v>80</v>
      </c>
      <c r="I5216" s="26">
        <f t="shared" si="262"/>
        <v>0</v>
      </c>
      <c r="J5216" s="7" t="str">
        <f t="shared" si="263"/>
        <v>PAGADO</v>
      </c>
    </row>
    <row r="5217" spans="1:11" x14ac:dyDescent="0.25">
      <c r="A5217"/>
      <c r="C5217" s="9" t="s">
        <v>4918</v>
      </c>
      <c r="D5217" s="9" t="s">
        <v>4728</v>
      </c>
      <c r="F5217" s="6">
        <v>70</v>
      </c>
      <c r="G5217" s="6">
        <f t="shared" si="261"/>
        <v>70</v>
      </c>
      <c r="H5217" s="6">
        <v>70</v>
      </c>
      <c r="I5217" s="26">
        <f t="shared" si="262"/>
        <v>0</v>
      </c>
      <c r="J5217" s="7" t="str">
        <f t="shared" si="263"/>
        <v>PAGADO</v>
      </c>
    </row>
    <row r="5218" spans="1:11" x14ac:dyDescent="0.25">
      <c r="A5218"/>
      <c r="C5218" s="9" t="s">
        <v>4919</v>
      </c>
      <c r="D5218" s="9" t="s">
        <v>4728</v>
      </c>
      <c r="F5218" s="6">
        <v>70</v>
      </c>
      <c r="G5218" s="6">
        <f t="shared" si="261"/>
        <v>70</v>
      </c>
      <c r="H5218" s="6">
        <v>70</v>
      </c>
      <c r="I5218" s="26">
        <f t="shared" si="262"/>
        <v>0</v>
      </c>
      <c r="J5218" s="7" t="str">
        <f t="shared" si="263"/>
        <v>PAGADO</v>
      </c>
    </row>
    <row r="5219" spans="1:11" x14ac:dyDescent="0.25">
      <c r="A5219"/>
      <c r="C5219" s="9" t="s">
        <v>4920</v>
      </c>
      <c r="D5219" s="9" t="s">
        <v>4728</v>
      </c>
      <c r="F5219" s="6">
        <v>65</v>
      </c>
      <c r="G5219" s="6">
        <f t="shared" si="261"/>
        <v>65</v>
      </c>
      <c r="H5219" s="6">
        <v>65</v>
      </c>
      <c r="I5219" s="26">
        <f t="shared" si="262"/>
        <v>0</v>
      </c>
      <c r="J5219" s="7" t="str">
        <f t="shared" si="263"/>
        <v>PAGADO</v>
      </c>
    </row>
    <row r="5220" spans="1:11" x14ac:dyDescent="0.25">
      <c r="A5220"/>
      <c r="C5220" s="9" t="s">
        <v>4921</v>
      </c>
      <c r="D5220" s="9" t="s">
        <v>3331</v>
      </c>
      <c r="F5220" s="6">
        <v>270</v>
      </c>
      <c r="G5220" s="6">
        <f t="shared" si="261"/>
        <v>270</v>
      </c>
      <c r="H5220" s="6">
        <v>270</v>
      </c>
      <c r="I5220" s="26">
        <f t="shared" si="262"/>
        <v>0</v>
      </c>
      <c r="J5220" s="7" t="str">
        <f t="shared" si="263"/>
        <v>PAGADO</v>
      </c>
    </row>
    <row r="5221" spans="1:11" x14ac:dyDescent="0.25">
      <c r="A5221"/>
      <c r="C5221" s="9" t="s">
        <v>4922</v>
      </c>
      <c r="D5221" s="9" t="s">
        <v>4923</v>
      </c>
      <c r="F5221" s="6">
        <v>75</v>
      </c>
      <c r="G5221" s="6">
        <f t="shared" si="261"/>
        <v>75</v>
      </c>
      <c r="H5221" s="6">
        <v>75</v>
      </c>
      <c r="I5221" s="26">
        <f t="shared" si="262"/>
        <v>0</v>
      </c>
      <c r="J5221" s="7" t="str">
        <f t="shared" si="263"/>
        <v>PAGADO</v>
      </c>
    </row>
    <row r="5222" spans="1:11" x14ac:dyDescent="0.25">
      <c r="A5222"/>
      <c r="C5222" s="9" t="s">
        <v>4924</v>
      </c>
      <c r="D5222" s="9" t="s">
        <v>4923</v>
      </c>
      <c r="F5222" s="6">
        <v>60</v>
      </c>
      <c r="G5222" s="6">
        <f t="shared" si="261"/>
        <v>60</v>
      </c>
      <c r="H5222" s="6">
        <v>60</v>
      </c>
      <c r="I5222" s="26">
        <f t="shared" si="262"/>
        <v>0</v>
      </c>
      <c r="J5222" s="7" t="str">
        <f t="shared" si="263"/>
        <v>PAGADO</v>
      </c>
    </row>
    <row r="5223" spans="1:11" x14ac:dyDescent="0.25">
      <c r="A5223"/>
      <c r="C5223" s="9" t="s">
        <v>4648</v>
      </c>
      <c r="D5223" s="9" t="s">
        <v>4864</v>
      </c>
      <c r="F5223" s="6">
        <v>60</v>
      </c>
      <c r="G5223" s="6">
        <f t="shared" si="261"/>
        <v>60</v>
      </c>
      <c r="H5223" s="6">
        <v>60</v>
      </c>
      <c r="I5223" s="26">
        <f t="shared" si="262"/>
        <v>0</v>
      </c>
      <c r="J5223" s="7" t="str">
        <f t="shared" si="263"/>
        <v>PAGADO</v>
      </c>
      <c r="K5223" s="9" t="s">
        <v>2712</v>
      </c>
    </row>
    <row r="5224" spans="1:11" x14ac:dyDescent="0.25">
      <c r="A5224"/>
      <c r="C5224" s="9" t="s">
        <v>4925</v>
      </c>
      <c r="D5224" s="9" t="s">
        <v>18</v>
      </c>
      <c r="F5224" s="6">
        <v>140</v>
      </c>
      <c r="G5224" s="6">
        <f t="shared" si="261"/>
        <v>140</v>
      </c>
      <c r="H5224" s="6">
        <f>100+40</f>
        <v>140</v>
      </c>
      <c r="I5224" s="26">
        <f t="shared" si="262"/>
        <v>0</v>
      </c>
      <c r="J5224" s="7" t="str">
        <f t="shared" si="263"/>
        <v>PAGADO</v>
      </c>
    </row>
    <row r="5225" spans="1:11" x14ac:dyDescent="0.25">
      <c r="A5225"/>
      <c r="C5225" s="9" t="s">
        <v>4926</v>
      </c>
      <c r="D5225" s="9" t="s">
        <v>1399</v>
      </c>
      <c r="F5225" s="6">
        <v>60</v>
      </c>
      <c r="G5225" s="6">
        <f t="shared" si="261"/>
        <v>60</v>
      </c>
      <c r="H5225" s="6">
        <v>60</v>
      </c>
      <c r="I5225" s="26">
        <f t="shared" si="262"/>
        <v>0</v>
      </c>
      <c r="J5225" s="7" t="str">
        <f t="shared" si="263"/>
        <v>PAGADO</v>
      </c>
    </row>
    <row r="5226" spans="1:11" x14ac:dyDescent="0.25">
      <c r="A5226"/>
      <c r="C5226" s="9" t="s">
        <v>4927</v>
      </c>
      <c r="D5226" s="9" t="s">
        <v>2363</v>
      </c>
      <c r="F5226" s="6">
        <v>60</v>
      </c>
      <c r="G5226" s="6">
        <f t="shared" si="261"/>
        <v>60</v>
      </c>
      <c r="H5226" s="39">
        <v>60</v>
      </c>
      <c r="I5226" s="26">
        <f t="shared" si="262"/>
        <v>0</v>
      </c>
      <c r="J5226" s="7" t="str">
        <f t="shared" si="263"/>
        <v>PAGADO</v>
      </c>
      <c r="K5226" s="33" t="s">
        <v>693</v>
      </c>
    </row>
    <row r="5227" spans="1:11" x14ac:dyDescent="0.25">
      <c r="A5227"/>
      <c r="C5227" s="9" t="s">
        <v>4928</v>
      </c>
      <c r="D5227" s="9" t="s">
        <v>3736</v>
      </c>
      <c r="F5227" s="6">
        <v>65</v>
      </c>
      <c r="G5227" s="6">
        <f t="shared" si="261"/>
        <v>65</v>
      </c>
      <c r="H5227" s="6">
        <f>7.5+25.5+30+2</f>
        <v>65</v>
      </c>
      <c r="I5227" s="26">
        <f t="shared" si="262"/>
        <v>0</v>
      </c>
      <c r="J5227" s="7" t="str">
        <f t="shared" si="263"/>
        <v>PAGADO</v>
      </c>
      <c r="K5227" s="33" t="s">
        <v>2712</v>
      </c>
    </row>
    <row r="5228" spans="1:11" x14ac:dyDescent="0.25">
      <c r="A5228"/>
      <c r="C5228" s="9" t="s">
        <v>4929</v>
      </c>
      <c r="D5228" s="9" t="s">
        <v>4930</v>
      </c>
      <c r="F5228" s="6">
        <v>30</v>
      </c>
      <c r="G5228" s="6">
        <f t="shared" si="261"/>
        <v>30</v>
      </c>
      <c r="H5228" s="6">
        <v>30</v>
      </c>
      <c r="I5228" s="26">
        <f t="shared" si="262"/>
        <v>0</v>
      </c>
      <c r="J5228" s="7" t="str">
        <f t="shared" si="263"/>
        <v>PAGADO</v>
      </c>
    </row>
    <row r="5229" spans="1:11" x14ac:dyDescent="0.25">
      <c r="A5229"/>
      <c r="C5229" s="9" t="s">
        <v>4931</v>
      </c>
      <c r="D5229" t="s">
        <v>4932</v>
      </c>
      <c r="F5229" s="6">
        <v>300</v>
      </c>
      <c r="G5229" s="6">
        <f t="shared" si="261"/>
        <v>300</v>
      </c>
      <c r="H5229" s="6">
        <v>300</v>
      </c>
      <c r="I5229" s="26">
        <f t="shared" si="262"/>
        <v>0</v>
      </c>
      <c r="J5229" s="7" t="str">
        <f t="shared" si="263"/>
        <v>PAGADO</v>
      </c>
    </row>
    <row r="5230" spans="1:11" x14ac:dyDescent="0.25">
      <c r="A5230"/>
      <c r="C5230" s="9" t="s">
        <v>4501</v>
      </c>
      <c r="D5230" t="s">
        <v>4933</v>
      </c>
      <c r="F5230" s="6">
        <v>65</v>
      </c>
      <c r="G5230" s="6">
        <f t="shared" si="261"/>
        <v>65</v>
      </c>
      <c r="H5230" s="6">
        <v>65</v>
      </c>
      <c r="I5230" s="26">
        <f t="shared" si="262"/>
        <v>0</v>
      </c>
      <c r="J5230" s="7" t="str">
        <f t="shared" si="263"/>
        <v>PAGADO</v>
      </c>
    </row>
    <row r="5231" spans="1:11" x14ac:dyDescent="0.25">
      <c r="A5231"/>
      <c r="C5231" s="9" t="s">
        <v>4675</v>
      </c>
      <c r="D5231" s="9" t="s">
        <v>18</v>
      </c>
      <c r="F5231" s="6">
        <v>60</v>
      </c>
      <c r="G5231" s="6">
        <f t="shared" si="261"/>
        <v>60</v>
      </c>
      <c r="H5231" s="6">
        <v>60</v>
      </c>
      <c r="I5231" s="26">
        <f t="shared" si="262"/>
        <v>0</v>
      </c>
      <c r="J5231" s="7" t="str">
        <f t="shared" si="263"/>
        <v>PAGADO</v>
      </c>
    </row>
    <row r="5232" spans="1:11" x14ac:dyDescent="0.25">
      <c r="A5232"/>
      <c r="C5232" s="9" t="s">
        <v>4934</v>
      </c>
      <c r="D5232" s="9" t="s">
        <v>4935</v>
      </c>
      <c r="F5232" s="6">
        <v>65</v>
      </c>
      <c r="G5232" s="6">
        <f t="shared" si="261"/>
        <v>65</v>
      </c>
      <c r="H5232" s="6">
        <v>65</v>
      </c>
      <c r="I5232" s="26">
        <f t="shared" si="262"/>
        <v>0</v>
      </c>
      <c r="J5232" s="7" t="str">
        <f t="shared" si="263"/>
        <v>PAGADO</v>
      </c>
    </row>
    <row r="5233" spans="1:12" x14ac:dyDescent="0.25">
      <c r="A5233"/>
      <c r="C5233" s="9" t="s">
        <v>4936</v>
      </c>
      <c r="D5233" s="9" t="s">
        <v>597</v>
      </c>
      <c r="F5233" s="6">
        <v>170</v>
      </c>
      <c r="G5233" s="6">
        <f t="shared" si="261"/>
        <v>170</v>
      </c>
      <c r="H5233" s="6">
        <v>170</v>
      </c>
      <c r="I5233" s="26">
        <f t="shared" si="262"/>
        <v>0</v>
      </c>
      <c r="J5233" s="7" t="str">
        <f t="shared" si="263"/>
        <v>PAGADO</v>
      </c>
    </row>
    <row r="5234" spans="1:12" x14ac:dyDescent="0.25">
      <c r="A5234"/>
      <c r="C5234" s="9" t="s">
        <v>4937</v>
      </c>
      <c r="D5234" s="9" t="s">
        <v>1309</v>
      </c>
      <c r="F5234" s="6">
        <v>30</v>
      </c>
      <c r="G5234" s="6">
        <f t="shared" si="261"/>
        <v>30</v>
      </c>
      <c r="H5234" s="6">
        <v>30</v>
      </c>
      <c r="I5234" s="26">
        <f t="shared" si="262"/>
        <v>0</v>
      </c>
      <c r="J5234" s="7" t="str">
        <f t="shared" si="263"/>
        <v>PAGADO</v>
      </c>
    </row>
    <row r="5235" spans="1:12" x14ac:dyDescent="0.25">
      <c r="A5235"/>
      <c r="C5235" t="s">
        <v>361</v>
      </c>
      <c r="D5235" s="9" t="s">
        <v>3497</v>
      </c>
      <c r="F5235" s="6">
        <v>30</v>
      </c>
      <c r="G5235" s="6">
        <f t="shared" si="261"/>
        <v>30</v>
      </c>
      <c r="H5235" s="6">
        <v>30</v>
      </c>
      <c r="I5235" s="26">
        <f t="shared" si="262"/>
        <v>0</v>
      </c>
      <c r="J5235" s="7" t="str">
        <f t="shared" si="263"/>
        <v>PAGADO</v>
      </c>
    </row>
    <row r="5236" spans="1:12" x14ac:dyDescent="0.25">
      <c r="A5236"/>
      <c r="C5236" s="9" t="s">
        <v>4938</v>
      </c>
      <c r="D5236" t="s">
        <v>1390</v>
      </c>
      <c r="F5236" s="6">
        <v>110</v>
      </c>
      <c r="G5236" s="6">
        <f t="shared" si="261"/>
        <v>110</v>
      </c>
      <c r="H5236" s="6">
        <f>55+55</f>
        <v>110</v>
      </c>
      <c r="I5236" s="26">
        <f t="shared" si="262"/>
        <v>0</v>
      </c>
      <c r="J5236" s="7" t="str">
        <f t="shared" si="263"/>
        <v>PAGADO</v>
      </c>
      <c r="K5236" s="33" t="s">
        <v>3506</v>
      </c>
    </row>
    <row r="5237" spans="1:12" x14ac:dyDescent="0.25">
      <c r="A5237"/>
      <c r="C5237" s="9" t="s">
        <v>499</v>
      </c>
      <c r="D5237" t="s">
        <v>4939</v>
      </c>
      <c r="F5237" s="6">
        <v>70</v>
      </c>
      <c r="G5237" s="6">
        <f t="shared" si="261"/>
        <v>70</v>
      </c>
      <c r="H5237" s="6">
        <v>70</v>
      </c>
      <c r="I5237" s="26">
        <f t="shared" si="262"/>
        <v>0</v>
      </c>
      <c r="J5237" s="7" t="str">
        <f t="shared" si="263"/>
        <v>PAGADO</v>
      </c>
    </row>
    <row r="5238" spans="1:12" x14ac:dyDescent="0.25">
      <c r="A5238"/>
      <c r="C5238" s="9" t="s">
        <v>4155</v>
      </c>
      <c r="D5238" t="s">
        <v>4939</v>
      </c>
      <c r="F5238" s="6">
        <v>70</v>
      </c>
      <c r="G5238" s="6">
        <f t="shared" si="261"/>
        <v>70</v>
      </c>
      <c r="H5238" s="6">
        <v>70</v>
      </c>
      <c r="I5238" s="26">
        <f t="shared" si="262"/>
        <v>0</v>
      </c>
      <c r="J5238" s="7" t="str">
        <f t="shared" si="263"/>
        <v>PAGADO</v>
      </c>
    </row>
    <row r="5239" spans="1:12" x14ac:dyDescent="0.25">
      <c r="A5239"/>
      <c r="C5239" t="s">
        <v>4940</v>
      </c>
      <c r="D5239" s="9" t="s">
        <v>4579</v>
      </c>
      <c r="F5239" s="6">
        <v>240</v>
      </c>
      <c r="G5239" s="6">
        <f t="shared" si="261"/>
        <v>240</v>
      </c>
      <c r="H5239" s="6">
        <f>120+120</f>
        <v>240</v>
      </c>
      <c r="I5239" s="26">
        <f t="shared" si="262"/>
        <v>0</v>
      </c>
      <c r="J5239" s="7" t="str">
        <f t="shared" si="263"/>
        <v>PAGADO</v>
      </c>
      <c r="K5239" t="s">
        <v>3506</v>
      </c>
      <c r="L5239" s="9" t="s">
        <v>2247</v>
      </c>
    </row>
    <row r="5240" spans="1:12" x14ac:dyDescent="0.25">
      <c r="A5240"/>
      <c r="C5240" s="9" t="s">
        <v>3361</v>
      </c>
      <c r="D5240" s="9" t="s">
        <v>1510</v>
      </c>
      <c r="F5240" s="6">
        <v>75</v>
      </c>
      <c r="G5240" s="6">
        <f t="shared" si="261"/>
        <v>75</v>
      </c>
      <c r="H5240" s="6">
        <v>75</v>
      </c>
      <c r="I5240" s="26">
        <f t="shared" si="262"/>
        <v>0</v>
      </c>
      <c r="J5240" s="7" t="str">
        <f t="shared" si="263"/>
        <v>PAGADO</v>
      </c>
    </row>
    <row r="5241" spans="1:12" x14ac:dyDescent="0.25">
      <c r="A5241"/>
      <c r="C5241" s="9" t="s">
        <v>4941</v>
      </c>
      <c r="D5241" s="9" t="s">
        <v>1510</v>
      </c>
      <c r="F5241" s="6">
        <v>70</v>
      </c>
      <c r="G5241" s="6">
        <f t="shared" si="261"/>
        <v>70</v>
      </c>
      <c r="H5241" s="6">
        <v>70</v>
      </c>
      <c r="I5241" s="26">
        <f t="shared" si="262"/>
        <v>0</v>
      </c>
      <c r="J5241" s="7" t="str">
        <f t="shared" si="263"/>
        <v>PAGADO</v>
      </c>
    </row>
    <row r="5242" spans="1:12" x14ac:dyDescent="0.25">
      <c r="A5242"/>
      <c r="C5242" s="9" t="s">
        <v>4942</v>
      </c>
      <c r="D5242" s="9" t="s">
        <v>4943</v>
      </c>
      <c r="F5242" s="6">
        <v>60</v>
      </c>
      <c r="G5242" s="6">
        <f t="shared" si="261"/>
        <v>60</v>
      </c>
      <c r="H5242" s="6">
        <v>60</v>
      </c>
      <c r="I5242" s="26">
        <f t="shared" si="262"/>
        <v>0</v>
      </c>
      <c r="J5242" s="7" t="str">
        <f t="shared" si="263"/>
        <v>PAGADO</v>
      </c>
    </row>
    <row r="5243" spans="1:12" x14ac:dyDescent="0.25">
      <c r="A5243"/>
      <c r="C5243" s="14" t="s">
        <v>4944</v>
      </c>
      <c r="D5243" s="14" t="s">
        <v>3213</v>
      </c>
      <c r="E5243" s="15"/>
      <c r="F5243" s="16">
        <v>250</v>
      </c>
      <c r="G5243" s="16">
        <f t="shared" si="261"/>
        <v>250</v>
      </c>
      <c r="H5243" s="16">
        <v>250</v>
      </c>
      <c r="I5243" s="83">
        <f t="shared" si="262"/>
        <v>0</v>
      </c>
      <c r="J5243" s="17" t="str">
        <f t="shared" si="263"/>
        <v>PAGADO</v>
      </c>
      <c r="K5243" s="18" t="s">
        <v>2712</v>
      </c>
    </row>
    <row r="5244" spans="1:12" x14ac:dyDescent="0.25">
      <c r="A5244"/>
      <c r="C5244" s="9" t="s">
        <v>4945</v>
      </c>
      <c r="D5244" t="s">
        <v>1390</v>
      </c>
      <c r="F5244" s="6">
        <v>180</v>
      </c>
      <c r="G5244" s="6">
        <f t="shared" si="261"/>
        <v>180</v>
      </c>
      <c r="H5244" s="6">
        <f>90+90</f>
        <v>180</v>
      </c>
      <c r="I5244" s="26">
        <f t="shared" si="262"/>
        <v>0</v>
      </c>
      <c r="J5244" s="7" t="str">
        <f t="shared" si="263"/>
        <v>PAGADO</v>
      </c>
      <c r="K5244" s="33" t="s">
        <v>3506</v>
      </c>
    </row>
    <row r="5245" spans="1:12" x14ac:dyDescent="0.25">
      <c r="A5245"/>
      <c r="C5245" s="9" t="s">
        <v>4946</v>
      </c>
      <c r="D5245" s="9" t="s">
        <v>4890</v>
      </c>
      <c r="F5245" s="6">
        <v>70</v>
      </c>
      <c r="G5245" s="6">
        <f t="shared" si="261"/>
        <v>70</v>
      </c>
      <c r="H5245" s="6">
        <v>70</v>
      </c>
      <c r="I5245" s="26">
        <f t="shared" si="262"/>
        <v>0</v>
      </c>
      <c r="J5245" s="7" t="str">
        <f t="shared" si="263"/>
        <v>PAGADO</v>
      </c>
    </row>
    <row r="5246" spans="1:12" x14ac:dyDescent="0.25">
      <c r="A5246"/>
      <c r="C5246" s="9" t="s">
        <v>4947</v>
      </c>
      <c r="D5246" s="9" t="s">
        <v>4948</v>
      </c>
      <c r="F5246" s="6">
        <v>70</v>
      </c>
      <c r="G5246" s="6">
        <f t="shared" ref="G5246:G5309" si="264">F5246-E5246</f>
        <v>70</v>
      </c>
      <c r="H5246" s="6">
        <v>70</v>
      </c>
      <c r="I5246" s="26">
        <f t="shared" si="262"/>
        <v>0</v>
      </c>
      <c r="J5246" s="7" t="str">
        <f t="shared" si="263"/>
        <v>PAGADO</v>
      </c>
    </row>
    <row r="5247" spans="1:12" x14ac:dyDescent="0.25">
      <c r="A5247"/>
      <c r="C5247" s="9" t="s">
        <v>4949</v>
      </c>
      <c r="D5247" s="9" t="s">
        <v>4948</v>
      </c>
      <c r="F5247" s="6">
        <v>80</v>
      </c>
      <c r="G5247" s="6">
        <f t="shared" si="264"/>
        <v>80</v>
      </c>
      <c r="H5247" s="6">
        <v>80</v>
      </c>
      <c r="I5247" s="26">
        <f t="shared" si="262"/>
        <v>0</v>
      </c>
      <c r="J5247" s="7" t="str">
        <f t="shared" si="263"/>
        <v>PAGADO</v>
      </c>
    </row>
    <row r="5248" spans="1:12" x14ac:dyDescent="0.25">
      <c r="A5248"/>
      <c r="C5248" s="9" t="s">
        <v>4950</v>
      </c>
      <c r="D5248" s="9" t="s">
        <v>4948</v>
      </c>
      <c r="F5248" s="6">
        <v>60</v>
      </c>
      <c r="G5248" s="6">
        <f t="shared" si="264"/>
        <v>60</v>
      </c>
      <c r="H5248" s="6">
        <v>60</v>
      </c>
      <c r="I5248" s="26">
        <f t="shared" si="262"/>
        <v>0</v>
      </c>
      <c r="J5248" s="7" t="str">
        <f t="shared" si="263"/>
        <v>PAGADO</v>
      </c>
    </row>
    <row r="5249" spans="1:11" x14ac:dyDescent="0.25">
      <c r="A5249"/>
      <c r="C5249" s="9" t="s">
        <v>4951</v>
      </c>
      <c r="D5249" s="9" t="s">
        <v>4948</v>
      </c>
      <c r="F5249" s="6">
        <v>180</v>
      </c>
      <c r="G5249" s="6">
        <f t="shared" si="264"/>
        <v>180</v>
      </c>
      <c r="H5249" s="6">
        <v>180</v>
      </c>
      <c r="I5249" s="26">
        <f t="shared" si="262"/>
        <v>0</v>
      </c>
      <c r="J5249" s="7" t="str">
        <f t="shared" si="263"/>
        <v>PAGADO</v>
      </c>
    </row>
    <row r="5250" spans="1:11" x14ac:dyDescent="0.25">
      <c r="A5250"/>
      <c r="C5250" s="9" t="s">
        <v>4952</v>
      </c>
      <c r="D5250" s="9" t="s">
        <v>4948</v>
      </c>
      <c r="F5250" s="6">
        <v>70</v>
      </c>
      <c r="G5250" s="6">
        <f t="shared" si="264"/>
        <v>70</v>
      </c>
      <c r="H5250" s="6">
        <v>70</v>
      </c>
      <c r="I5250" s="26">
        <f t="shared" si="262"/>
        <v>0</v>
      </c>
      <c r="J5250" s="7" t="str">
        <f t="shared" si="263"/>
        <v>PAGADO</v>
      </c>
    </row>
    <row r="5251" spans="1:11" x14ac:dyDescent="0.25">
      <c r="A5251"/>
      <c r="C5251" s="9" t="s">
        <v>4953</v>
      </c>
      <c r="D5251" s="9" t="s">
        <v>4948</v>
      </c>
      <c r="F5251" s="6">
        <v>160</v>
      </c>
      <c r="G5251" s="6">
        <f t="shared" si="264"/>
        <v>160</v>
      </c>
      <c r="H5251" s="6">
        <v>160</v>
      </c>
      <c r="I5251" s="26">
        <f t="shared" si="262"/>
        <v>0</v>
      </c>
      <c r="J5251" s="7" t="str">
        <f t="shared" si="263"/>
        <v>PAGADO</v>
      </c>
    </row>
    <row r="5252" spans="1:11" x14ac:dyDescent="0.25">
      <c r="A5252"/>
      <c r="C5252" s="9" t="s">
        <v>4495</v>
      </c>
      <c r="D5252" s="9" t="s">
        <v>4948</v>
      </c>
      <c r="F5252" s="6">
        <v>70</v>
      </c>
      <c r="G5252" s="6">
        <f t="shared" si="264"/>
        <v>70</v>
      </c>
      <c r="H5252" s="6">
        <v>70</v>
      </c>
      <c r="I5252" s="26">
        <f t="shared" si="262"/>
        <v>0</v>
      </c>
      <c r="J5252" s="7" t="str">
        <f t="shared" si="263"/>
        <v>PAGADO</v>
      </c>
    </row>
    <row r="5253" spans="1:11" x14ac:dyDescent="0.25">
      <c r="A5253"/>
      <c r="C5253" s="9" t="s">
        <v>4954</v>
      </c>
      <c r="D5253" s="9" t="s">
        <v>4948</v>
      </c>
      <c r="F5253" s="6">
        <v>60</v>
      </c>
      <c r="G5253" s="6">
        <f t="shared" si="264"/>
        <v>60</v>
      </c>
      <c r="H5253" s="6">
        <v>60</v>
      </c>
      <c r="I5253" s="26">
        <f t="shared" si="262"/>
        <v>0</v>
      </c>
      <c r="J5253" s="7" t="str">
        <f t="shared" si="263"/>
        <v>PAGADO</v>
      </c>
    </row>
    <row r="5254" spans="1:11" x14ac:dyDescent="0.25">
      <c r="A5254"/>
      <c r="C5254" s="9" t="s">
        <v>4955</v>
      </c>
      <c r="D5254" s="9" t="s">
        <v>4948</v>
      </c>
      <c r="F5254" s="6">
        <v>80</v>
      </c>
      <c r="G5254" s="6">
        <f t="shared" si="264"/>
        <v>80</v>
      </c>
      <c r="H5254" s="6">
        <v>80</v>
      </c>
      <c r="I5254" s="26">
        <f t="shared" si="262"/>
        <v>0</v>
      </c>
      <c r="J5254" s="7" t="str">
        <f t="shared" si="263"/>
        <v>PAGADO</v>
      </c>
    </row>
    <row r="5255" spans="1:11" x14ac:dyDescent="0.25">
      <c r="A5255"/>
      <c r="C5255" s="9" t="s">
        <v>4956</v>
      </c>
      <c r="D5255" s="9" t="s">
        <v>4957</v>
      </c>
      <c r="F5255" s="6">
        <v>60</v>
      </c>
      <c r="G5255" s="6">
        <f t="shared" si="264"/>
        <v>60</v>
      </c>
      <c r="H5255" s="6">
        <v>60</v>
      </c>
      <c r="I5255" s="26">
        <f t="shared" si="262"/>
        <v>0</v>
      </c>
      <c r="J5255" s="7" t="str">
        <f t="shared" si="263"/>
        <v>PAGADO</v>
      </c>
    </row>
    <row r="5256" spans="1:11" x14ac:dyDescent="0.25">
      <c r="A5256"/>
      <c r="C5256" s="9" t="s">
        <v>4958</v>
      </c>
      <c r="D5256" s="9" t="s">
        <v>4795</v>
      </c>
      <c r="F5256" s="6">
        <v>70</v>
      </c>
      <c r="G5256" s="6">
        <f t="shared" si="264"/>
        <v>70</v>
      </c>
      <c r="H5256" s="6">
        <f>35+35</f>
        <v>70</v>
      </c>
      <c r="I5256" s="26">
        <f t="shared" si="262"/>
        <v>0</v>
      </c>
      <c r="J5256" s="7" t="str">
        <f t="shared" si="263"/>
        <v>PAGADO</v>
      </c>
      <c r="K5256" s="33" t="s">
        <v>3819</v>
      </c>
    </row>
    <row r="5257" spans="1:11" x14ac:dyDescent="0.25">
      <c r="A5257"/>
      <c r="C5257" t="s">
        <v>4959</v>
      </c>
      <c r="D5257" s="9" t="s">
        <v>4270</v>
      </c>
      <c r="F5257" s="6">
        <v>160</v>
      </c>
      <c r="G5257" s="6">
        <f t="shared" si="264"/>
        <v>160</v>
      </c>
      <c r="H5257" s="6">
        <v>160</v>
      </c>
      <c r="I5257" s="26">
        <f t="shared" si="262"/>
        <v>0</v>
      </c>
      <c r="J5257" s="7" t="str">
        <f t="shared" si="263"/>
        <v>PAGADO</v>
      </c>
      <c r="K5257" s="33" t="s">
        <v>3819</v>
      </c>
    </row>
    <row r="5258" spans="1:11" x14ac:dyDescent="0.25">
      <c r="A5258"/>
      <c r="C5258" t="s">
        <v>4959</v>
      </c>
      <c r="D5258" t="s">
        <v>1523</v>
      </c>
      <c r="F5258" s="6">
        <v>160</v>
      </c>
      <c r="G5258" s="6">
        <f t="shared" si="264"/>
        <v>160</v>
      </c>
      <c r="H5258" s="6">
        <f>50+110</f>
        <v>160</v>
      </c>
      <c r="I5258" s="58">
        <f t="shared" si="262"/>
        <v>0</v>
      </c>
      <c r="J5258" s="7" t="str">
        <f t="shared" si="263"/>
        <v>PAGADO</v>
      </c>
      <c r="K5258" s="33" t="s">
        <v>3819</v>
      </c>
    </row>
    <row r="5259" spans="1:11" x14ac:dyDescent="0.25">
      <c r="A5259"/>
      <c r="C5259" t="s">
        <v>4960</v>
      </c>
      <c r="D5259" t="s">
        <v>4961</v>
      </c>
      <c r="F5259" s="6">
        <v>80</v>
      </c>
      <c r="G5259" s="6">
        <f t="shared" si="264"/>
        <v>80</v>
      </c>
      <c r="H5259" s="6">
        <v>80</v>
      </c>
      <c r="I5259" s="26">
        <f t="shared" ref="I5259:I5322" si="265">F5259-H5259</f>
        <v>0</v>
      </c>
      <c r="J5259" s="7" t="str">
        <f t="shared" si="263"/>
        <v>PAGADO</v>
      </c>
    </row>
    <row r="5260" spans="1:11" x14ac:dyDescent="0.25">
      <c r="A5260"/>
      <c r="C5260" t="s">
        <v>4962</v>
      </c>
      <c r="D5260" t="s">
        <v>4963</v>
      </c>
      <c r="F5260" s="6">
        <v>20</v>
      </c>
      <c r="G5260" s="6">
        <f t="shared" si="264"/>
        <v>20</v>
      </c>
      <c r="H5260" s="6">
        <v>20</v>
      </c>
      <c r="I5260" s="26">
        <f t="shared" si="265"/>
        <v>0</v>
      </c>
      <c r="J5260" s="7" t="str">
        <f t="shared" si="263"/>
        <v>PAGADO</v>
      </c>
    </row>
    <row r="5261" spans="1:11" x14ac:dyDescent="0.25">
      <c r="A5261"/>
      <c r="C5261" s="9" t="s">
        <v>4964</v>
      </c>
      <c r="D5261" s="9" t="s">
        <v>4890</v>
      </c>
      <c r="F5261" s="6">
        <v>170</v>
      </c>
      <c r="G5261" s="6">
        <f t="shared" si="264"/>
        <v>170</v>
      </c>
      <c r="H5261" s="6">
        <v>170</v>
      </c>
      <c r="I5261" s="26">
        <f t="shared" si="265"/>
        <v>0</v>
      </c>
      <c r="J5261" s="7" t="str">
        <f t="shared" si="263"/>
        <v>PAGADO</v>
      </c>
    </row>
    <row r="5262" spans="1:11" x14ac:dyDescent="0.25">
      <c r="A5262"/>
      <c r="C5262" t="s">
        <v>805</v>
      </c>
      <c r="D5262" t="s">
        <v>4963</v>
      </c>
      <c r="F5262" s="6">
        <v>80</v>
      </c>
      <c r="G5262" s="6">
        <f t="shared" si="264"/>
        <v>80</v>
      </c>
      <c r="H5262" s="6">
        <v>80</v>
      </c>
      <c r="I5262" s="26">
        <f t="shared" si="265"/>
        <v>0</v>
      </c>
      <c r="J5262" s="7" t="str">
        <f t="shared" si="263"/>
        <v>PAGADO</v>
      </c>
    </row>
    <row r="5263" spans="1:11" x14ac:dyDescent="0.25">
      <c r="A5263"/>
      <c r="C5263" t="s">
        <v>4965</v>
      </c>
      <c r="D5263" t="s">
        <v>4963</v>
      </c>
      <c r="F5263" s="6">
        <v>55</v>
      </c>
      <c r="G5263" s="6">
        <f t="shared" si="264"/>
        <v>55</v>
      </c>
      <c r="H5263" s="6">
        <v>55</v>
      </c>
      <c r="I5263" s="26">
        <f t="shared" si="265"/>
        <v>0</v>
      </c>
      <c r="J5263" s="7" t="str">
        <f t="shared" ref="J5263:J5326" si="266">IF(I5263&gt;0,"DEBE","PAGADO")</f>
        <v>PAGADO</v>
      </c>
    </row>
    <row r="5264" spans="1:11" x14ac:dyDescent="0.25">
      <c r="A5264"/>
      <c r="C5264" t="s">
        <v>4966</v>
      </c>
      <c r="D5264" t="s">
        <v>4963</v>
      </c>
      <c r="F5264" s="6">
        <v>15</v>
      </c>
      <c r="G5264" s="6">
        <f t="shared" si="264"/>
        <v>15</v>
      </c>
      <c r="H5264" s="6">
        <v>15</v>
      </c>
      <c r="I5264" s="26">
        <f t="shared" si="265"/>
        <v>0</v>
      </c>
      <c r="J5264" s="7" t="str">
        <f t="shared" si="266"/>
        <v>PAGADO</v>
      </c>
    </row>
    <row r="5265" spans="1:11" x14ac:dyDescent="0.25">
      <c r="A5265"/>
      <c r="C5265" s="9" t="s">
        <v>4967</v>
      </c>
      <c r="D5265" s="9" t="s">
        <v>2360</v>
      </c>
      <c r="F5265" s="6">
        <v>70</v>
      </c>
      <c r="G5265" s="6">
        <f t="shared" si="264"/>
        <v>70</v>
      </c>
      <c r="H5265" s="6">
        <f>30+40</f>
        <v>70</v>
      </c>
      <c r="I5265" s="26">
        <f t="shared" si="265"/>
        <v>0</v>
      </c>
      <c r="J5265" s="7" t="str">
        <f t="shared" si="266"/>
        <v>PAGADO</v>
      </c>
      <c r="K5265" s="33" t="s">
        <v>3506</v>
      </c>
    </row>
    <row r="5266" spans="1:11" x14ac:dyDescent="0.25">
      <c r="A5266"/>
      <c r="C5266" s="9" t="s">
        <v>4968</v>
      </c>
      <c r="D5266" s="9" t="s">
        <v>2278</v>
      </c>
      <c r="F5266" s="6">
        <v>500</v>
      </c>
      <c r="G5266" s="6">
        <f t="shared" si="264"/>
        <v>500</v>
      </c>
      <c r="H5266" s="90">
        <f>250+250</f>
        <v>500</v>
      </c>
      <c r="I5266" s="26">
        <f t="shared" si="265"/>
        <v>0</v>
      </c>
      <c r="J5266" s="7" t="str">
        <f t="shared" si="266"/>
        <v>PAGADO</v>
      </c>
      <c r="K5266" t="s">
        <v>3819</v>
      </c>
    </row>
    <row r="5267" spans="1:11" x14ac:dyDescent="0.25">
      <c r="A5267"/>
      <c r="C5267" s="9" t="s">
        <v>4969</v>
      </c>
      <c r="D5267" s="9" t="s">
        <v>2278</v>
      </c>
      <c r="F5267" s="6">
        <v>420</v>
      </c>
      <c r="G5267" s="6">
        <f t="shared" si="264"/>
        <v>420</v>
      </c>
      <c r="H5267" s="90">
        <f>210+210</f>
        <v>420</v>
      </c>
      <c r="I5267" s="26">
        <f t="shared" si="265"/>
        <v>0</v>
      </c>
      <c r="J5267" s="7" t="str">
        <f t="shared" si="266"/>
        <v>PAGADO</v>
      </c>
      <c r="K5267" s="33" t="s">
        <v>3819</v>
      </c>
    </row>
    <row r="5268" spans="1:11" x14ac:dyDescent="0.25">
      <c r="A5268"/>
      <c r="C5268" s="9" t="s">
        <v>4970</v>
      </c>
      <c r="D5268" s="9" t="s">
        <v>2278</v>
      </c>
      <c r="F5268" s="6">
        <v>1100</v>
      </c>
      <c r="G5268" s="6">
        <f t="shared" si="264"/>
        <v>1100</v>
      </c>
      <c r="H5268" s="90">
        <f>550+550</f>
        <v>1100</v>
      </c>
      <c r="I5268" s="26">
        <f t="shared" si="265"/>
        <v>0</v>
      </c>
      <c r="J5268" s="7" t="str">
        <f t="shared" si="266"/>
        <v>PAGADO</v>
      </c>
      <c r="K5268" s="33" t="s">
        <v>3819</v>
      </c>
    </row>
    <row r="5269" spans="1:11" x14ac:dyDescent="0.25">
      <c r="A5269"/>
      <c r="C5269" s="9" t="s">
        <v>4971</v>
      </c>
      <c r="D5269" s="9" t="s">
        <v>2275</v>
      </c>
      <c r="F5269" s="6">
        <v>250</v>
      </c>
      <c r="G5269" s="6">
        <f t="shared" si="264"/>
        <v>250</v>
      </c>
      <c r="H5269" s="6">
        <f>125+125</f>
        <v>250</v>
      </c>
      <c r="I5269" s="51">
        <f t="shared" si="265"/>
        <v>0</v>
      </c>
      <c r="J5269" s="7" t="str">
        <f t="shared" si="266"/>
        <v>PAGADO</v>
      </c>
      <c r="K5269" s="33" t="s">
        <v>3819</v>
      </c>
    </row>
    <row r="5270" spans="1:11" x14ac:dyDescent="0.25">
      <c r="A5270"/>
      <c r="C5270" s="9" t="s">
        <v>4972</v>
      </c>
      <c r="D5270" s="9" t="s">
        <v>2683</v>
      </c>
      <c r="F5270" s="6">
        <v>70</v>
      </c>
      <c r="G5270" s="6">
        <f t="shared" si="264"/>
        <v>70</v>
      </c>
      <c r="H5270" s="6">
        <f>35+35</f>
        <v>70</v>
      </c>
      <c r="I5270" s="26">
        <f t="shared" si="265"/>
        <v>0</v>
      </c>
      <c r="J5270" s="7" t="str">
        <f t="shared" si="266"/>
        <v>PAGADO</v>
      </c>
      <c r="K5270" s="28" t="s">
        <v>2712</v>
      </c>
    </row>
    <row r="5271" spans="1:11" x14ac:dyDescent="0.25">
      <c r="A5271"/>
      <c r="C5271" s="9" t="s">
        <v>4973</v>
      </c>
      <c r="D5271" s="9" t="s">
        <v>4974</v>
      </c>
      <c r="F5271" s="6">
        <v>60</v>
      </c>
      <c r="G5271" s="6">
        <f t="shared" si="264"/>
        <v>60</v>
      </c>
      <c r="H5271" s="6">
        <v>60</v>
      </c>
      <c r="I5271" s="26">
        <f t="shared" si="265"/>
        <v>0</v>
      </c>
      <c r="J5271" s="7" t="str">
        <f t="shared" si="266"/>
        <v>PAGADO</v>
      </c>
    </row>
    <row r="5272" spans="1:11" x14ac:dyDescent="0.25">
      <c r="A5272"/>
      <c r="C5272" s="9" t="s">
        <v>2854</v>
      </c>
      <c r="D5272" s="9" t="s">
        <v>4975</v>
      </c>
      <c r="F5272" s="6">
        <v>60</v>
      </c>
      <c r="G5272" s="6">
        <f t="shared" si="264"/>
        <v>60</v>
      </c>
      <c r="H5272" s="6">
        <v>60</v>
      </c>
      <c r="I5272" s="26">
        <f t="shared" si="265"/>
        <v>0</v>
      </c>
      <c r="J5272" s="7" t="str">
        <f t="shared" si="266"/>
        <v>PAGADO</v>
      </c>
    </row>
    <row r="5273" spans="1:11" x14ac:dyDescent="0.25">
      <c r="A5273"/>
      <c r="C5273" s="9" t="s">
        <v>4976</v>
      </c>
      <c r="D5273" s="9" t="s">
        <v>1425</v>
      </c>
      <c r="F5273" s="6">
        <v>55</v>
      </c>
      <c r="G5273" s="6">
        <f t="shared" si="264"/>
        <v>55</v>
      </c>
      <c r="H5273" s="6">
        <v>55</v>
      </c>
      <c r="I5273" s="26">
        <f t="shared" si="265"/>
        <v>0</v>
      </c>
      <c r="J5273" s="7" t="str">
        <f t="shared" si="266"/>
        <v>PAGADO</v>
      </c>
    </row>
    <row r="5274" spans="1:11" x14ac:dyDescent="0.25">
      <c r="A5274"/>
      <c r="C5274" s="9" t="s">
        <v>4977</v>
      </c>
      <c r="D5274" s="9" t="s">
        <v>2935</v>
      </c>
      <c r="F5274" s="6">
        <v>12</v>
      </c>
      <c r="G5274" s="6">
        <f t="shared" si="264"/>
        <v>12</v>
      </c>
      <c r="H5274" s="6">
        <v>12</v>
      </c>
      <c r="I5274" s="26">
        <f t="shared" si="265"/>
        <v>0</v>
      </c>
      <c r="J5274" s="7" t="str">
        <f t="shared" si="266"/>
        <v>PAGADO</v>
      </c>
      <c r="K5274" s="33" t="s">
        <v>3506</v>
      </c>
    </row>
    <row r="5275" spans="1:11" x14ac:dyDescent="0.25">
      <c r="A5275"/>
      <c r="C5275" s="9" t="s">
        <v>4201</v>
      </c>
      <c r="D5275" s="9" t="s">
        <v>2935</v>
      </c>
      <c r="F5275" s="6">
        <v>25</v>
      </c>
      <c r="G5275" s="6">
        <f t="shared" si="264"/>
        <v>25</v>
      </c>
      <c r="H5275" s="6">
        <v>25</v>
      </c>
      <c r="I5275" s="26">
        <f t="shared" si="265"/>
        <v>0</v>
      </c>
      <c r="J5275" s="7" t="str">
        <f t="shared" si="266"/>
        <v>PAGADO</v>
      </c>
      <c r="K5275" s="9" t="s">
        <v>3506</v>
      </c>
    </row>
    <row r="5276" spans="1:11" x14ac:dyDescent="0.25">
      <c r="A5276"/>
      <c r="C5276" t="s">
        <v>4978</v>
      </c>
      <c r="D5276" t="s">
        <v>4294</v>
      </c>
      <c r="F5276" s="6">
        <v>65</v>
      </c>
      <c r="G5276" s="6">
        <f t="shared" si="264"/>
        <v>65</v>
      </c>
      <c r="H5276" s="6">
        <f>35+30</f>
        <v>65</v>
      </c>
      <c r="I5276" s="26">
        <f t="shared" si="265"/>
        <v>0</v>
      </c>
      <c r="J5276" s="7" t="str">
        <f t="shared" si="266"/>
        <v>PAGADO</v>
      </c>
      <c r="K5276" s="9" t="s">
        <v>2712</v>
      </c>
    </row>
    <row r="5277" spans="1:11" x14ac:dyDescent="0.25">
      <c r="A5277"/>
      <c r="C5277" t="s">
        <v>4979</v>
      </c>
      <c r="D5277" t="s">
        <v>4294</v>
      </c>
      <c r="F5277" s="6">
        <v>90</v>
      </c>
      <c r="G5277" s="6">
        <f t="shared" si="264"/>
        <v>90</v>
      </c>
      <c r="H5277" s="6">
        <f>45+45</f>
        <v>90</v>
      </c>
      <c r="I5277" s="26">
        <f t="shared" si="265"/>
        <v>0</v>
      </c>
      <c r="J5277" s="7" t="str">
        <f t="shared" si="266"/>
        <v>PAGADO</v>
      </c>
      <c r="K5277" s="33" t="s">
        <v>3819</v>
      </c>
    </row>
    <row r="5278" spans="1:11" x14ac:dyDescent="0.25">
      <c r="A5278"/>
      <c r="C5278" t="s">
        <v>4980</v>
      </c>
      <c r="D5278" t="s">
        <v>4933</v>
      </c>
      <c r="F5278" s="6">
        <v>70</v>
      </c>
      <c r="G5278" s="6">
        <f t="shared" si="264"/>
        <v>70</v>
      </c>
      <c r="H5278" s="6">
        <f>35+35</f>
        <v>70</v>
      </c>
      <c r="I5278" s="26">
        <f t="shared" si="265"/>
        <v>0</v>
      </c>
      <c r="J5278" s="7" t="str">
        <f t="shared" si="266"/>
        <v>PAGADO</v>
      </c>
    </row>
    <row r="5279" spans="1:11" x14ac:dyDescent="0.25">
      <c r="A5279"/>
      <c r="C5279" t="s">
        <v>4979</v>
      </c>
      <c r="D5279" s="9" t="s">
        <v>3449</v>
      </c>
      <c r="F5279" s="6">
        <v>90</v>
      </c>
      <c r="G5279" s="6">
        <f t="shared" si="264"/>
        <v>90</v>
      </c>
      <c r="H5279" s="6">
        <f>45+45</f>
        <v>90</v>
      </c>
      <c r="I5279" s="26">
        <f t="shared" si="265"/>
        <v>0</v>
      </c>
      <c r="J5279" s="7" t="str">
        <f t="shared" si="266"/>
        <v>PAGADO</v>
      </c>
      <c r="K5279" s="33" t="s">
        <v>3819</v>
      </c>
    </row>
    <row r="5280" spans="1:11" x14ac:dyDescent="0.25">
      <c r="A5280"/>
      <c r="C5280" s="9" t="s">
        <v>4981</v>
      </c>
      <c r="D5280" s="9" t="s">
        <v>2935</v>
      </c>
      <c r="F5280" s="6">
        <v>60</v>
      </c>
      <c r="G5280" s="6">
        <f t="shared" si="264"/>
        <v>60</v>
      </c>
      <c r="H5280" s="6">
        <f>30+30</f>
        <v>60</v>
      </c>
      <c r="I5280" s="26">
        <f t="shared" si="265"/>
        <v>0</v>
      </c>
      <c r="J5280" s="7" t="str">
        <f t="shared" si="266"/>
        <v>PAGADO</v>
      </c>
      <c r="K5280" s="33" t="s">
        <v>3819</v>
      </c>
    </row>
    <row r="5281" spans="1:12" x14ac:dyDescent="0.25">
      <c r="A5281"/>
      <c r="C5281" s="9" t="s">
        <v>4982</v>
      </c>
      <c r="D5281" s="9" t="s">
        <v>3198</v>
      </c>
      <c r="F5281" s="6">
        <v>50</v>
      </c>
      <c r="G5281" s="6">
        <f t="shared" si="264"/>
        <v>50</v>
      </c>
      <c r="H5281" s="39">
        <v>50</v>
      </c>
      <c r="I5281" s="26">
        <f t="shared" si="265"/>
        <v>0</v>
      </c>
      <c r="J5281" s="7" t="str">
        <f t="shared" si="266"/>
        <v>PAGADO</v>
      </c>
      <c r="K5281" s="33" t="s">
        <v>3819</v>
      </c>
    </row>
    <row r="5282" spans="1:12" x14ac:dyDescent="0.25">
      <c r="A5282"/>
      <c r="C5282" s="9" t="s">
        <v>4983</v>
      </c>
      <c r="D5282" s="9" t="s">
        <v>2548</v>
      </c>
      <c r="F5282" s="6">
        <v>80</v>
      </c>
      <c r="G5282" s="6">
        <f t="shared" si="264"/>
        <v>80</v>
      </c>
      <c r="H5282" s="6">
        <v>80</v>
      </c>
      <c r="I5282" s="26">
        <f t="shared" si="265"/>
        <v>0</v>
      </c>
      <c r="J5282" s="7" t="str">
        <f t="shared" si="266"/>
        <v>PAGADO</v>
      </c>
      <c r="K5282" s="33" t="s">
        <v>3819</v>
      </c>
      <c r="L5282" t="s">
        <v>4984</v>
      </c>
    </row>
    <row r="5283" spans="1:12" x14ac:dyDescent="0.25">
      <c r="A5283"/>
      <c r="C5283" s="9" t="s">
        <v>4985</v>
      </c>
      <c r="D5283" s="9" t="s">
        <v>3198</v>
      </c>
      <c r="F5283" s="6">
        <v>60</v>
      </c>
      <c r="G5283" s="6">
        <f t="shared" si="264"/>
        <v>60</v>
      </c>
      <c r="H5283" s="39">
        <v>60</v>
      </c>
      <c r="I5283" s="26">
        <f t="shared" si="265"/>
        <v>0</v>
      </c>
      <c r="J5283" s="7" t="str">
        <f t="shared" si="266"/>
        <v>PAGADO</v>
      </c>
      <c r="K5283" s="33" t="s">
        <v>3819</v>
      </c>
    </row>
    <row r="5284" spans="1:12" x14ac:dyDescent="0.25">
      <c r="A5284"/>
      <c r="C5284" s="9" t="s">
        <v>4986</v>
      </c>
      <c r="D5284" s="9" t="s">
        <v>2548</v>
      </c>
      <c r="F5284" s="6">
        <v>80</v>
      </c>
      <c r="G5284" s="6">
        <f t="shared" si="264"/>
        <v>80</v>
      </c>
      <c r="H5284" s="6">
        <v>80</v>
      </c>
      <c r="I5284" s="26">
        <f t="shared" si="265"/>
        <v>0</v>
      </c>
      <c r="J5284" s="7" t="str">
        <f t="shared" si="266"/>
        <v>PAGADO</v>
      </c>
      <c r="K5284" s="33" t="s">
        <v>3819</v>
      </c>
      <c r="L5284" t="s">
        <v>4984</v>
      </c>
    </row>
    <row r="5285" spans="1:12" x14ac:dyDescent="0.25">
      <c r="A5285"/>
      <c r="C5285" t="s">
        <v>4987</v>
      </c>
      <c r="D5285" s="9" t="s">
        <v>3449</v>
      </c>
      <c r="F5285" s="6">
        <v>70</v>
      </c>
      <c r="G5285" s="6">
        <f t="shared" si="264"/>
        <v>70</v>
      </c>
      <c r="H5285" s="6">
        <f>35+35</f>
        <v>70</v>
      </c>
      <c r="I5285" s="26">
        <f t="shared" si="265"/>
        <v>0</v>
      </c>
      <c r="J5285" s="7" t="str">
        <f t="shared" si="266"/>
        <v>PAGADO</v>
      </c>
      <c r="K5285" s="33" t="s">
        <v>3819</v>
      </c>
    </row>
    <row r="5286" spans="1:12" x14ac:dyDescent="0.25">
      <c r="A5286"/>
      <c r="C5286" t="s">
        <v>4988</v>
      </c>
      <c r="D5286" s="9" t="s">
        <v>2906</v>
      </c>
      <c r="F5286" s="6">
        <v>25</v>
      </c>
      <c r="G5286" s="6">
        <f t="shared" si="264"/>
        <v>25</v>
      </c>
      <c r="H5286" s="6">
        <v>25</v>
      </c>
      <c r="I5286" s="16">
        <f t="shared" si="265"/>
        <v>0</v>
      </c>
      <c r="J5286" s="7" t="str">
        <f t="shared" si="266"/>
        <v>PAGADO</v>
      </c>
      <c r="K5286" s="33" t="s">
        <v>3819</v>
      </c>
    </row>
    <row r="5287" spans="1:12" x14ac:dyDescent="0.25">
      <c r="A5287"/>
      <c r="C5287" t="s">
        <v>4989</v>
      </c>
      <c r="D5287" s="9" t="s">
        <v>2906</v>
      </c>
      <c r="F5287" s="6">
        <v>50</v>
      </c>
      <c r="G5287" s="6">
        <f t="shared" si="264"/>
        <v>50</v>
      </c>
      <c r="H5287" s="6">
        <v>50</v>
      </c>
      <c r="I5287" s="16">
        <f t="shared" si="265"/>
        <v>0</v>
      </c>
      <c r="J5287" s="7" t="str">
        <f t="shared" si="266"/>
        <v>PAGADO</v>
      </c>
      <c r="K5287" s="33" t="s">
        <v>3819</v>
      </c>
    </row>
    <row r="5288" spans="1:12" x14ac:dyDescent="0.25">
      <c r="A5288"/>
      <c r="C5288" t="s">
        <v>4990</v>
      </c>
      <c r="D5288" s="9" t="s">
        <v>2906</v>
      </c>
      <c r="F5288" s="6">
        <v>160</v>
      </c>
      <c r="G5288" s="6">
        <f t="shared" si="264"/>
        <v>160</v>
      </c>
      <c r="H5288" s="6">
        <v>160</v>
      </c>
      <c r="I5288" s="16">
        <f t="shared" si="265"/>
        <v>0</v>
      </c>
      <c r="J5288" s="7" t="str">
        <f t="shared" si="266"/>
        <v>PAGADO</v>
      </c>
      <c r="K5288" s="33" t="s">
        <v>3819</v>
      </c>
    </row>
    <row r="5289" spans="1:12" x14ac:dyDescent="0.25">
      <c r="A5289"/>
      <c r="C5289" s="9" t="s">
        <v>4023</v>
      </c>
      <c r="D5289" s="9" t="s">
        <v>2548</v>
      </c>
      <c r="F5289" s="6">
        <v>90</v>
      </c>
      <c r="G5289" s="6">
        <f t="shared" si="264"/>
        <v>90</v>
      </c>
      <c r="H5289" s="6">
        <v>90</v>
      </c>
      <c r="I5289" s="26">
        <f t="shared" si="265"/>
        <v>0</v>
      </c>
      <c r="J5289" s="7" t="str">
        <f t="shared" si="266"/>
        <v>PAGADO</v>
      </c>
      <c r="K5289" s="33" t="s">
        <v>3819</v>
      </c>
      <c r="L5289" t="s">
        <v>4984</v>
      </c>
    </row>
    <row r="5290" spans="1:12" x14ac:dyDescent="0.25">
      <c r="A5290"/>
      <c r="C5290" s="9" t="s">
        <v>4991</v>
      </c>
      <c r="D5290" s="9" t="s">
        <v>1523</v>
      </c>
      <c r="F5290" s="6">
        <v>80</v>
      </c>
      <c r="G5290" s="6">
        <f t="shared" si="264"/>
        <v>80</v>
      </c>
      <c r="H5290" s="6">
        <f>50+30</f>
        <v>80</v>
      </c>
      <c r="I5290" s="58">
        <f t="shared" si="265"/>
        <v>0</v>
      </c>
      <c r="J5290" s="7" t="str">
        <f t="shared" si="266"/>
        <v>PAGADO</v>
      </c>
      <c r="K5290" s="33" t="s">
        <v>3819</v>
      </c>
    </row>
    <row r="5291" spans="1:12" x14ac:dyDescent="0.25">
      <c r="A5291"/>
      <c r="C5291" t="s">
        <v>4978</v>
      </c>
      <c r="D5291" s="9" t="s">
        <v>1523</v>
      </c>
      <c r="F5291" s="6">
        <v>70</v>
      </c>
      <c r="G5291" s="6">
        <f t="shared" si="264"/>
        <v>70</v>
      </c>
      <c r="H5291" s="6">
        <f>50+20</f>
        <v>70</v>
      </c>
      <c r="I5291" s="58">
        <f t="shared" si="265"/>
        <v>0</v>
      </c>
      <c r="J5291" s="7" t="str">
        <f t="shared" si="266"/>
        <v>PAGADO</v>
      </c>
      <c r="K5291" s="33" t="s">
        <v>3819</v>
      </c>
    </row>
    <row r="5292" spans="1:12" x14ac:dyDescent="0.25">
      <c r="A5292"/>
      <c r="C5292" t="s">
        <v>4958</v>
      </c>
      <c r="D5292" s="9" t="s">
        <v>1523</v>
      </c>
      <c r="F5292" s="6">
        <v>70</v>
      </c>
      <c r="G5292" s="6">
        <f t="shared" si="264"/>
        <v>70</v>
      </c>
      <c r="H5292" s="6">
        <f>50+20</f>
        <v>70</v>
      </c>
      <c r="I5292" s="58">
        <f t="shared" si="265"/>
        <v>0</v>
      </c>
      <c r="J5292" s="7" t="str">
        <f t="shared" si="266"/>
        <v>PAGADO</v>
      </c>
      <c r="K5292" s="33" t="s">
        <v>3819</v>
      </c>
    </row>
    <row r="5293" spans="1:12" x14ac:dyDescent="0.25">
      <c r="A5293"/>
      <c r="C5293" t="s">
        <v>4992</v>
      </c>
      <c r="D5293" s="9" t="s">
        <v>1523</v>
      </c>
      <c r="F5293" s="6">
        <v>70</v>
      </c>
      <c r="G5293" s="6">
        <f t="shared" si="264"/>
        <v>70</v>
      </c>
      <c r="H5293" s="6">
        <f>50+20</f>
        <v>70</v>
      </c>
      <c r="I5293" s="58">
        <f t="shared" si="265"/>
        <v>0</v>
      </c>
      <c r="J5293" s="7" t="str">
        <f t="shared" si="266"/>
        <v>PAGADO</v>
      </c>
      <c r="K5293" s="33" t="s">
        <v>3819</v>
      </c>
    </row>
    <row r="5294" spans="1:12" x14ac:dyDescent="0.25">
      <c r="A5294"/>
      <c r="C5294" t="s">
        <v>4993</v>
      </c>
      <c r="D5294" s="9" t="s">
        <v>4816</v>
      </c>
      <c r="F5294" s="6">
        <v>65</v>
      </c>
      <c r="G5294" s="6">
        <f t="shared" si="264"/>
        <v>65</v>
      </c>
      <c r="H5294" s="6">
        <f>35+30</f>
        <v>65</v>
      </c>
      <c r="I5294" s="26">
        <f t="shared" si="265"/>
        <v>0</v>
      </c>
      <c r="J5294" s="7" t="str">
        <f t="shared" si="266"/>
        <v>PAGADO</v>
      </c>
      <c r="K5294" s="33" t="s">
        <v>3819</v>
      </c>
    </row>
    <row r="5295" spans="1:12" x14ac:dyDescent="0.25">
      <c r="A5295"/>
      <c r="C5295" s="9" t="s">
        <v>4994</v>
      </c>
      <c r="D5295" s="9" t="s">
        <v>4890</v>
      </c>
      <c r="F5295" s="6">
        <v>140</v>
      </c>
      <c r="G5295" s="6">
        <f t="shared" si="264"/>
        <v>140</v>
      </c>
      <c r="H5295" s="6">
        <f>70+70</f>
        <v>140</v>
      </c>
      <c r="I5295" s="26">
        <f t="shared" si="265"/>
        <v>0</v>
      </c>
      <c r="J5295" s="7" t="str">
        <f t="shared" si="266"/>
        <v>PAGADO</v>
      </c>
      <c r="K5295" s="33" t="s">
        <v>3819</v>
      </c>
    </row>
    <row r="5296" spans="1:12" x14ac:dyDescent="0.25">
      <c r="A5296"/>
      <c r="C5296" s="9" t="s">
        <v>4995</v>
      </c>
      <c r="D5296" s="9" t="s">
        <v>4864</v>
      </c>
      <c r="F5296" s="6">
        <v>60</v>
      </c>
      <c r="G5296" s="6">
        <f t="shared" si="264"/>
        <v>60</v>
      </c>
      <c r="H5296" s="6">
        <v>60</v>
      </c>
      <c r="I5296" s="26">
        <f t="shared" si="265"/>
        <v>0</v>
      </c>
      <c r="J5296" s="7" t="str">
        <f t="shared" si="266"/>
        <v>PAGADO</v>
      </c>
      <c r="K5296" s="33" t="s">
        <v>3819</v>
      </c>
    </row>
    <row r="5297" spans="1:11" x14ac:dyDescent="0.25">
      <c r="A5297"/>
      <c r="C5297" s="9" t="s">
        <v>4996</v>
      </c>
      <c r="D5297" s="9" t="s">
        <v>3213</v>
      </c>
      <c r="F5297" s="6">
        <v>50</v>
      </c>
      <c r="G5297" s="6">
        <f t="shared" si="264"/>
        <v>50</v>
      </c>
      <c r="H5297" s="6">
        <v>25</v>
      </c>
      <c r="I5297" s="26">
        <f t="shared" si="265"/>
        <v>25</v>
      </c>
      <c r="J5297" s="7" t="str">
        <f t="shared" si="266"/>
        <v>DEBE</v>
      </c>
      <c r="K5297" s="56" t="s">
        <v>3819</v>
      </c>
    </row>
    <row r="5298" spans="1:11" x14ac:dyDescent="0.25">
      <c r="A5298"/>
      <c r="C5298" t="s">
        <v>4997</v>
      </c>
      <c r="D5298" s="9" t="s">
        <v>2363</v>
      </c>
      <c r="F5298" s="6">
        <v>120</v>
      </c>
      <c r="G5298" s="6">
        <f t="shared" si="264"/>
        <v>120</v>
      </c>
      <c r="H5298" s="6">
        <v>120</v>
      </c>
      <c r="I5298" s="26">
        <f t="shared" si="265"/>
        <v>0</v>
      </c>
      <c r="J5298" s="7" t="str">
        <f t="shared" si="266"/>
        <v>PAGADO</v>
      </c>
      <c r="K5298" s="59" t="s">
        <v>4998</v>
      </c>
    </row>
    <row r="5299" spans="1:11" x14ac:dyDescent="0.25">
      <c r="A5299"/>
      <c r="C5299" t="s">
        <v>4999</v>
      </c>
      <c r="D5299" s="9" t="s">
        <v>2363</v>
      </c>
      <c r="F5299" s="6">
        <v>65</v>
      </c>
      <c r="G5299" s="6">
        <f t="shared" si="264"/>
        <v>65</v>
      </c>
      <c r="H5299" s="6">
        <v>65</v>
      </c>
      <c r="I5299" s="26">
        <f t="shared" si="265"/>
        <v>0</v>
      </c>
      <c r="J5299" s="7" t="str">
        <f t="shared" si="266"/>
        <v>PAGADO</v>
      </c>
      <c r="K5299" s="59" t="s">
        <v>4998</v>
      </c>
    </row>
    <row r="5300" spans="1:11" x14ac:dyDescent="0.25">
      <c r="A5300"/>
      <c r="C5300" t="s">
        <v>5000</v>
      </c>
      <c r="D5300" s="9" t="s">
        <v>2363</v>
      </c>
      <c r="F5300" s="6">
        <v>60</v>
      </c>
      <c r="G5300" s="6">
        <f t="shared" si="264"/>
        <v>60</v>
      </c>
      <c r="H5300" s="6">
        <v>60</v>
      </c>
      <c r="I5300" s="26">
        <f t="shared" si="265"/>
        <v>0</v>
      </c>
      <c r="J5300" s="7" t="str">
        <f t="shared" si="266"/>
        <v>PAGADO</v>
      </c>
      <c r="K5300" s="59" t="s">
        <v>4998</v>
      </c>
    </row>
    <row r="5301" spans="1:11" x14ac:dyDescent="0.25">
      <c r="A5301"/>
      <c r="C5301" t="s">
        <v>1926</v>
      </c>
      <c r="D5301" s="9" t="s">
        <v>2363</v>
      </c>
      <c r="F5301" s="6">
        <v>70</v>
      </c>
      <c r="G5301" s="6">
        <f t="shared" si="264"/>
        <v>70</v>
      </c>
      <c r="H5301" s="6">
        <v>70</v>
      </c>
      <c r="I5301" s="26">
        <f t="shared" si="265"/>
        <v>0</v>
      </c>
      <c r="J5301" s="7" t="str">
        <f t="shared" si="266"/>
        <v>PAGADO</v>
      </c>
      <c r="K5301" s="59" t="s">
        <v>4998</v>
      </c>
    </row>
    <row r="5302" spans="1:11" x14ac:dyDescent="0.25">
      <c r="A5302"/>
      <c r="C5302" t="s">
        <v>5001</v>
      </c>
      <c r="D5302" s="9" t="s">
        <v>2363</v>
      </c>
      <c r="F5302" s="6">
        <v>60</v>
      </c>
      <c r="G5302" s="6">
        <f t="shared" si="264"/>
        <v>60</v>
      </c>
      <c r="H5302" s="6">
        <v>60</v>
      </c>
      <c r="I5302" s="26">
        <f t="shared" si="265"/>
        <v>0</v>
      </c>
      <c r="J5302" s="7" t="str">
        <f t="shared" si="266"/>
        <v>PAGADO</v>
      </c>
      <c r="K5302" s="59" t="s">
        <v>4998</v>
      </c>
    </row>
    <row r="5303" spans="1:11" x14ac:dyDescent="0.25">
      <c r="A5303"/>
      <c r="C5303" s="9" t="s">
        <v>5002</v>
      </c>
      <c r="D5303" s="9" t="s">
        <v>4864</v>
      </c>
      <c r="F5303" s="6">
        <v>140</v>
      </c>
      <c r="G5303" s="6">
        <f t="shared" si="264"/>
        <v>140</v>
      </c>
      <c r="H5303" s="6">
        <v>140</v>
      </c>
      <c r="I5303" s="26">
        <f t="shared" si="265"/>
        <v>0</v>
      </c>
      <c r="J5303" s="7" t="str">
        <f t="shared" si="266"/>
        <v>PAGADO</v>
      </c>
      <c r="K5303" s="33" t="s">
        <v>3819</v>
      </c>
    </row>
    <row r="5304" spans="1:11" x14ac:dyDescent="0.25">
      <c r="A5304"/>
      <c r="C5304" s="9" t="s">
        <v>5003</v>
      </c>
      <c r="D5304" s="9" t="s">
        <v>3376</v>
      </c>
      <c r="F5304" s="6">
        <v>50</v>
      </c>
      <c r="G5304" s="6">
        <f t="shared" si="264"/>
        <v>50</v>
      </c>
      <c r="H5304" s="6">
        <f>25+25</f>
        <v>50</v>
      </c>
      <c r="I5304" s="26">
        <f t="shared" si="265"/>
        <v>0</v>
      </c>
      <c r="J5304" s="7" t="str">
        <f t="shared" si="266"/>
        <v>PAGADO</v>
      </c>
      <c r="K5304" s="33" t="s">
        <v>3819</v>
      </c>
    </row>
    <row r="5305" spans="1:11" x14ac:dyDescent="0.25">
      <c r="A5305"/>
      <c r="C5305" s="9" t="s">
        <v>5004</v>
      </c>
      <c r="D5305" s="9" t="s">
        <v>1523</v>
      </c>
      <c r="F5305" s="6">
        <v>60</v>
      </c>
      <c r="G5305" s="6">
        <f t="shared" si="264"/>
        <v>60</v>
      </c>
      <c r="H5305" s="6">
        <v>60</v>
      </c>
      <c r="I5305" s="58">
        <f t="shared" si="265"/>
        <v>0</v>
      </c>
      <c r="J5305" s="7" t="str">
        <f t="shared" si="266"/>
        <v>PAGADO</v>
      </c>
      <c r="K5305" s="33" t="s">
        <v>3819</v>
      </c>
    </row>
    <row r="5306" spans="1:11" x14ac:dyDescent="0.25">
      <c r="A5306"/>
      <c r="C5306" s="9" t="s">
        <v>5005</v>
      </c>
      <c r="D5306" s="9" t="s">
        <v>1523</v>
      </c>
      <c r="F5306" s="6">
        <v>55</v>
      </c>
      <c r="G5306" s="6">
        <f t="shared" si="264"/>
        <v>55</v>
      </c>
      <c r="H5306" s="26">
        <f>25+30</f>
        <v>55</v>
      </c>
      <c r="I5306" s="58">
        <f t="shared" si="265"/>
        <v>0</v>
      </c>
      <c r="J5306" s="7" t="str">
        <f t="shared" si="266"/>
        <v>PAGADO</v>
      </c>
      <c r="K5306" s="33" t="s">
        <v>3819</v>
      </c>
    </row>
    <row r="5307" spans="1:11" x14ac:dyDescent="0.25">
      <c r="A5307"/>
      <c r="C5307" s="9" t="s">
        <v>5006</v>
      </c>
      <c r="D5307" s="9" t="s">
        <v>2278</v>
      </c>
      <c r="F5307" s="6">
        <v>110</v>
      </c>
      <c r="G5307" s="6">
        <f t="shared" si="264"/>
        <v>110</v>
      </c>
      <c r="H5307" s="16">
        <f>55+55</f>
        <v>110</v>
      </c>
      <c r="I5307" s="26">
        <f t="shared" si="265"/>
        <v>0</v>
      </c>
      <c r="J5307" s="7" t="str">
        <f t="shared" si="266"/>
        <v>PAGADO</v>
      </c>
      <c r="K5307" s="33" t="s">
        <v>2712</v>
      </c>
    </row>
    <row r="5308" spans="1:11" x14ac:dyDescent="0.25">
      <c r="A5308"/>
      <c r="C5308" s="9" t="s">
        <v>5007</v>
      </c>
      <c r="D5308" s="9" t="s">
        <v>2278</v>
      </c>
      <c r="F5308" s="6">
        <v>180</v>
      </c>
      <c r="G5308" s="6">
        <f t="shared" si="264"/>
        <v>180</v>
      </c>
      <c r="H5308" s="16">
        <f>90+90</f>
        <v>180</v>
      </c>
      <c r="I5308" s="26">
        <f t="shared" si="265"/>
        <v>0</v>
      </c>
      <c r="J5308" s="7" t="str">
        <f t="shared" si="266"/>
        <v>PAGADO</v>
      </c>
      <c r="K5308" s="33" t="s">
        <v>3819</v>
      </c>
    </row>
    <row r="5309" spans="1:11" x14ac:dyDescent="0.25">
      <c r="A5309"/>
      <c r="C5309" s="9" t="s">
        <v>5008</v>
      </c>
      <c r="D5309" s="9" t="s">
        <v>2180</v>
      </c>
      <c r="F5309" s="6">
        <v>80</v>
      </c>
      <c r="G5309" s="6">
        <f t="shared" si="264"/>
        <v>80</v>
      </c>
      <c r="H5309" s="6">
        <f>40+40</f>
        <v>80</v>
      </c>
      <c r="I5309" s="26">
        <f t="shared" si="265"/>
        <v>0</v>
      </c>
      <c r="J5309" s="7" t="str">
        <f t="shared" si="266"/>
        <v>PAGADO</v>
      </c>
      <c r="K5309" s="33" t="s">
        <v>3819</v>
      </c>
    </row>
    <row r="5310" spans="1:11" x14ac:dyDescent="0.25">
      <c r="A5310"/>
      <c r="C5310" s="9" t="s">
        <v>4959</v>
      </c>
      <c r="D5310" s="9" t="s">
        <v>3352</v>
      </c>
      <c r="F5310" s="6">
        <v>160</v>
      </c>
      <c r="G5310" s="6">
        <f t="shared" ref="G5310:G5373" si="267">F5310-E5310</f>
        <v>160</v>
      </c>
      <c r="H5310" s="6">
        <v>160</v>
      </c>
      <c r="I5310" s="16">
        <f t="shared" si="265"/>
        <v>0</v>
      </c>
      <c r="J5310" s="7" t="str">
        <f t="shared" si="266"/>
        <v>PAGADO</v>
      </c>
      <c r="K5310" s="33" t="s">
        <v>3819</v>
      </c>
    </row>
    <row r="5311" spans="1:11" x14ac:dyDescent="0.25">
      <c r="A5311"/>
      <c r="C5311" s="9" t="s">
        <v>5009</v>
      </c>
      <c r="D5311" s="9" t="s">
        <v>2278</v>
      </c>
      <c r="F5311" s="6">
        <v>150</v>
      </c>
      <c r="G5311" s="6">
        <f t="shared" si="267"/>
        <v>150</v>
      </c>
      <c r="H5311" s="16">
        <f>45+105</f>
        <v>150</v>
      </c>
      <c r="I5311" s="26">
        <f t="shared" si="265"/>
        <v>0</v>
      </c>
      <c r="J5311" s="7" t="str">
        <f t="shared" si="266"/>
        <v>PAGADO</v>
      </c>
      <c r="K5311" s="33" t="s">
        <v>3819</v>
      </c>
    </row>
    <row r="5312" spans="1:11" x14ac:dyDescent="0.25">
      <c r="A5312"/>
      <c r="C5312" s="9" t="s">
        <v>5009</v>
      </c>
      <c r="D5312" s="9" t="s">
        <v>2018</v>
      </c>
      <c r="F5312" s="6">
        <v>150</v>
      </c>
      <c r="G5312" s="6">
        <f t="shared" si="267"/>
        <v>150</v>
      </c>
      <c r="H5312" s="16">
        <f>75+75</f>
        <v>150</v>
      </c>
      <c r="I5312" s="26">
        <f t="shared" si="265"/>
        <v>0</v>
      </c>
      <c r="J5312" s="7" t="str">
        <f t="shared" si="266"/>
        <v>PAGADO</v>
      </c>
      <c r="K5312" s="33" t="s">
        <v>3819</v>
      </c>
    </row>
    <row r="5313" spans="1:12" x14ac:dyDescent="0.25">
      <c r="A5313"/>
      <c r="C5313" s="9" t="s">
        <v>5009</v>
      </c>
      <c r="D5313" s="9" t="s">
        <v>3833</v>
      </c>
      <c r="F5313" s="6">
        <v>150</v>
      </c>
      <c r="G5313" s="6">
        <f t="shared" si="267"/>
        <v>150</v>
      </c>
      <c r="H5313" s="6">
        <f>75+75</f>
        <v>150</v>
      </c>
      <c r="I5313" s="16">
        <f t="shared" si="265"/>
        <v>0</v>
      </c>
      <c r="J5313" s="7" t="str">
        <f t="shared" si="266"/>
        <v>PAGADO</v>
      </c>
      <c r="K5313" s="33" t="s">
        <v>3819</v>
      </c>
    </row>
    <row r="5314" spans="1:12" x14ac:dyDescent="0.25">
      <c r="A5314"/>
      <c r="C5314" s="9" t="s">
        <v>5009</v>
      </c>
      <c r="D5314" s="9" t="s">
        <v>1510</v>
      </c>
      <c r="F5314" s="6">
        <v>150</v>
      </c>
      <c r="G5314" s="6">
        <f t="shared" si="267"/>
        <v>150</v>
      </c>
      <c r="H5314" s="26">
        <v>150</v>
      </c>
      <c r="I5314" s="26">
        <f t="shared" si="265"/>
        <v>0</v>
      </c>
      <c r="J5314" s="7" t="str">
        <f t="shared" si="266"/>
        <v>PAGADO</v>
      </c>
      <c r="K5314" s="33" t="s">
        <v>3819</v>
      </c>
    </row>
    <row r="5315" spans="1:12" x14ac:dyDescent="0.25">
      <c r="A5315"/>
      <c r="C5315" s="9" t="s">
        <v>5010</v>
      </c>
      <c r="D5315" s="9" t="s">
        <v>4111</v>
      </c>
      <c r="F5315" s="6">
        <v>70</v>
      </c>
      <c r="G5315" s="6">
        <f t="shared" si="267"/>
        <v>70</v>
      </c>
      <c r="H5315" s="6">
        <f>35+35</f>
        <v>70</v>
      </c>
      <c r="I5315" s="26">
        <f t="shared" si="265"/>
        <v>0</v>
      </c>
      <c r="J5315" s="7" t="str">
        <f t="shared" si="266"/>
        <v>PAGADO</v>
      </c>
      <c r="K5315" s="33" t="s">
        <v>3819</v>
      </c>
    </row>
    <row r="5316" spans="1:12" x14ac:dyDescent="0.25">
      <c r="A5316"/>
      <c r="C5316" s="9" t="s">
        <v>5011</v>
      </c>
      <c r="D5316" s="9" t="s">
        <v>4963</v>
      </c>
      <c r="F5316" s="6">
        <v>80</v>
      </c>
      <c r="G5316" s="6">
        <f t="shared" si="267"/>
        <v>80</v>
      </c>
      <c r="H5316" s="6">
        <v>80</v>
      </c>
      <c r="I5316" s="26">
        <f t="shared" si="265"/>
        <v>0</v>
      </c>
      <c r="J5316" s="7" t="str">
        <f t="shared" si="266"/>
        <v>PAGADO</v>
      </c>
      <c r="K5316" s="33" t="s">
        <v>3819</v>
      </c>
    </row>
    <row r="5317" spans="1:12" x14ac:dyDescent="0.25">
      <c r="A5317"/>
      <c r="C5317" s="41" t="s">
        <v>5012</v>
      </c>
      <c r="D5317" s="41" t="s">
        <v>4587</v>
      </c>
      <c r="E5317" s="87"/>
      <c r="F5317" s="58">
        <v>90</v>
      </c>
      <c r="G5317" s="58">
        <f t="shared" si="267"/>
        <v>90</v>
      </c>
      <c r="H5317" s="58">
        <v>90</v>
      </c>
      <c r="I5317" s="58">
        <f t="shared" si="265"/>
        <v>0</v>
      </c>
      <c r="J5317" s="88" t="str">
        <f t="shared" si="266"/>
        <v>PAGADO</v>
      </c>
      <c r="K5317" s="56" t="s">
        <v>3819</v>
      </c>
      <c r="L5317" s="41"/>
    </row>
    <row r="5318" spans="1:12" x14ac:dyDescent="0.25">
      <c r="A5318"/>
      <c r="C5318" s="41" t="s">
        <v>5013</v>
      </c>
      <c r="D5318" s="41" t="s">
        <v>4587</v>
      </c>
      <c r="E5318" s="87"/>
      <c r="F5318" s="58">
        <v>70</v>
      </c>
      <c r="G5318" s="58">
        <f t="shared" si="267"/>
        <v>70</v>
      </c>
      <c r="H5318" s="58">
        <v>70</v>
      </c>
      <c r="I5318" s="58">
        <f t="shared" si="265"/>
        <v>0</v>
      </c>
      <c r="J5318" s="88" t="str">
        <f t="shared" si="266"/>
        <v>PAGADO</v>
      </c>
      <c r="K5318" s="56" t="s">
        <v>3819</v>
      </c>
      <c r="L5318" s="41"/>
    </row>
    <row r="5319" spans="1:12" x14ac:dyDescent="0.25">
      <c r="A5319"/>
      <c r="C5319" s="41" t="s">
        <v>5014</v>
      </c>
      <c r="D5319" s="41" t="s">
        <v>4587</v>
      </c>
      <c r="E5319" s="87"/>
      <c r="F5319" s="58">
        <v>65</v>
      </c>
      <c r="G5319" s="58">
        <f t="shared" si="267"/>
        <v>65</v>
      </c>
      <c r="H5319" s="58">
        <v>65</v>
      </c>
      <c r="I5319" s="58">
        <f t="shared" si="265"/>
        <v>0</v>
      </c>
      <c r="J5319" s="88" t="str">
        <f t="shared" si="266"/>
        <v>PAGADO</v>
      </c>
      <c r="K5319" s="56" t="s">
        <v>3819</v>
      </c>
      <c r="L5319" s="41"/>
    </row>
    <row r="5320" spans="1:12" x14ac:dyDescent="0.25">
      <c r="A5320"/>
      <c r="C5320" s="9" t="s">
        <v>5015</v>
      </c>
      <c r="D5320" s="9" t="s">
        <v>1309</v>
      </c>
      <c r="F5320" s="6">
        <v>90</v>
      </c>
      <c r="G5320" s="6">
        <f t="shared" si="267"/>
        <v>90</v>
      </c>
      <c r="H5320" s="6">
        <v>90</v>
      </c>
      <c r="I5320" s="26">
        <f t="shared" si="265"/>
        <v>0</v>
      </c>
      <c r="J5320" s="7" t="str">
        <f t="shared" si="266"/>
        <v>PAGADO</v>
      </c>
      <c r="K5320" s="33" t="s">
        <v>3819</v>
      </c>
    </row>
    <row r="5321" spans="1:12" x14ac:dyDescent="0.25">
      <c r="A5321"/>
      <c r="C5321" s="9" t="s">
        <v>5015</v>
      </c>
      <c r="D5321" t="s">
        <v>3497</v>
      </c>
      <c r="F5321" s="6">
        <v>90</v>
      </c>
      <c r="G5321" s="6">
        <f t="shared" si="267"/>
        <v>90</v>
      </c>
      <c r="H5321" s="6">
        <f>45+45</f>
        <v>90</v>
      </c>
      <c r="I5321" s="26">
        <f t="shared" si="265"/>
        <v>0</v>
      </c>
      <c r="J5321" s="7" t="str">
        <f t="shared" si="266"/>
        <v>PAGADO</v>
      </c>
      <c r="K5321" s="33" t="s">
        <v>3819</v>
      </c>
    </row>
    <row r="5322" spans="1:12" x14ac:dyDescent="0.25">
      <c r="A5322"/>
      <c r="C5322" s="9" t="s">
        <v>5016</v>
      </c>
      <c r="D5322" s="9" t="s">
        <v>1309</v>
      </c>
      <c r="F5322" s="6">
        <v>60</v>
      </c>
      <c r="G5322" s="6">
        <f t="shared" si="267"/>
        <v>60</v>
      </c>
      <c r="H5322" s="6">
        <v>60</v>
      </c>
      <c r="I5322" s="26">
        <f t="shared" si="265"/>
        <v>0</v>
      </c>
      <c r="J5322" s="7" t="str">
        <f t="shared" si="266"/>
        <v>PAGADO</v>
      </c>
      <c r="K5322" s="33" t="s">
        <v>3819</v>
      </c>
    </row>
    <row r="5323" spans="1:12" x14ac:dyDescent="0.25">
      <c r="A5323"/>
      <c r="C5323" s="9" t="s">
        <v>1781</v>
      </c>
      <c r="D5323" s="9" t="s">
        <v>4963</v>
      </c>
      <c r="F5323" s="6">
        <v>60</v>
      </c>
      <c r="G5323" s="6">
        <f t="shared" si="267"/>
        <v>60</v>
      </c>
      <c r="H5323" s="6">
        <v>60</v>
      </c>
      <c r="I5323" s="26">
        <f t="shared" ref="I5323:I5386" si="268">F5323-H5323</f>
        <v>0</v>
      </c>
      <c r="J5323" s="7" t="str">
        <f t="shared" si="266"/>
        <v>PAGADO</v>
      </c>
      <c r="K5323" s="33" t="s">
        <v>3819</v>
      </c>
    </row>
    <row r="5324" spans="1:12" x14ac:dyDescent="0.25">
      <c r="A5324"/>
      <c r="C5324" s="9" t="s">
        <v>5017</v>
      </c>
      <c r="D5324" s="9" t="s">
        <v>1510</v>
      </c>
      <c r="F5324" s="6">
        <v>120</v>
      </c>
      <c r="G5324" s="6">
        <f t="shared" si="267"/>
        <v>120</v>
      </c>
      <c r="H5324" s="26">
        <v>120</v>
      </c>
      <c r="I5324" s="26">
        <f t="shared" si="268"/>
        <v>0</v>
      </c>
      <c r="J5324" s="7" t="str">
        <f t="shared" si="266"/>
        <v>PAGADO</v>
      </c>
      <c r="K5324" s="33" t="s">
        <v>3819</v>
      </c>
    </row>
    <row r="5325" spans="1:12" x14ac:dyDescent="0.25">
      <c r="A5325"/>
      <c r="C5325" s="9" t="s">
        <v>5018</v>
      </c>
      <c r="D5325" s="9" t="s">
        <v>1510</v>
      </c>
      <c r="F5325" s="6">
        <v>65</v>
      </c>
      <c r="G5325" s="6">
        <f t="shared" si="267"/>
        <v>65</v>
      </c>
      <c r="H5325" s="26">
        <v>65</v>
      </c>
      <c r="I5325" s="26">
        <f t="shared" si="268"/>
        <v>0</v>
      </c>
      <c r="J5325" s="7" t="str">
        <f t="shared" si="266"/>
        <v>PAGADO</v>
      </c>
      <c r="K5325" s="33" t="s">
        <v>3819</v>
      </c>
    </row>
    <row r="5326" spans="1:12" x14ac:dyDescent="0.25">
      <c r="A5326"/>
      <c r="C5326" s="9" t="s">
        <v>5019</v>
      </c>
      <c r="D5326" s="9" t="s">
        <v>1510</v>
      </c>
      <c r="F5326" s="6">
        <f>25*7</f>
        <v>175</v>
      </c>
      <c r="G5326" s="6">
        <f t="shared" si="267"/>
        <v>175</v>
      </c>
      <c r="H5326" s="26">
        <v>175</v>
      </c>
      <c r="I5326" s="26">
        <f t="shared" si="268"/>
        <v>0</v>
      </c>
      <c r="J5326" s="7" t="str">
        <f t="shared" si="266"/>
        <v>PAGADO</v>
      </c>
      <c r="K5326" s="33" t="s">
        <v>3819</v>
      </c>
    </row>
    <row r="5327" spans="1:12" x14ac:dyDescent="0.25">
      <c r="A5327"/>
      <c r="C5327" s="9" t="s">
        <v>5020</v>
      </c>
      <c r="D5327" s="9" t="s">
        <v>1510</v>
      </c>
      <c r="F5327" s="6">
        <v>160</v>
      </c>
      <c r="G5327" s="6">
        <f t="shared" si="267"/>
        <v>160</v>
      </c>
      <c r="H5327" s="26">
        <v>160</v>
      </c>
      <c r="I5327" s="26">
        <f t="shared" si="268"/>
        <v>0</v>
      </c>
      <c r="J5327" s="7" t="str">
        <f t="shared" ref="J5327:J5390" si="269">IF(I5327&gt;0,"DEBE","PAGADO")</f>
        <v>PAGADO</v>
      </c>
      <c r="K5327" s="33" t="s">
        <v>3819</v>
      </c>
    </row>
    <row r="5328" spans="1:12" x14ac:dyDescent="0.25">
      <c r="A5328"/>
      <c r="C5328" s="9" t="s">
        <v>5003</v>
      </c>
      <c r="D5328" s="9" t="s">
        <v>1510</v>
      </c>
      <c r="F5328" s="6">
        <v>50</v>
      </c>
      <c r="G5328" s="6">
        <f t="shared" si="267"/>
        <v>50</v>
      </c>
      <c r="H5328" s="26">
        <v>50</v>
      </c>
      <c r="I5328" s="26">
        <f t="shared" si="268"/>
        <v>0</v>
      </c>
      <c r="J5328" s="7" t="str">
        <f t="shared" si="269"/>
        <v>PAGADO</v>
      </c>
      <c r="K5328" s="33" t="s">
        <v>3819</v>
      </c>
    </row>
    <row r="5329" spans="1:11" x14ac:dyDescent="0.25">
      <c r="A5329"/>
      <c r="C5329" s="9" t="s">
        <v>5008</v>
      </c>
      <c r="D5329" s="9" t="s">
        <v>1510</v>
      </c>
      <c r="F5329" s="6">
        <v>80</v>
      </c>
      <c r="G5329" s="6">
        <f t="shared" si="267"/>
        <v>80</v>
      </c>
      <c r="H5329" s="26">
        <v>80</v>
      </c>
      <c r="I5329" s="26">
        <f t="shared" si="268"/>
        <v>0</v>
      </c>
      <c r="J5329" s="7" t="str">
        <f t="shared" si="269"/>
        <v>PAGADO</v>
      </c>
      <c r="K5329" s="33" t="s">
        <v>3819</v>
      </c>
    </row>
    <row r="5330" spans="1:11" x14ac:dyDescent="0.25">
      <c r="A5330"/>
      <c r="C5330" s="9" t="s">
        <v>5021</v>
      </c>
      <c r="D5330" s="9" t="s">
        <v>1510</v>
      </c>
      <c r="F5330" s="6">
        <v>80</v>
      </c>
      <c r="G5330" s="6">
        <f t="shared" si="267"/>
        <v>80</v>
      </c>
      <c r="H5330" s="26">
        <v>80</v>
      </c>
      <c r="I5330" s="26">
        <f t="shared" si="268"/>
        <v>0</v>
      </c>
      <c r="J5330" s="7" t="str">
        <f t="shared" si="269"/>
        <v>PAGADO</v>
      </c>
      <c r="K5330" s="33" t="s">
        <v>3819</v>
      </c>
    </row>
    <row r="5331" spans="1:11" x14ac:dyDescent="0.25">
      <c r="A5331"/>
      <c r="C5331" s="9" t="s">
        <v>4337</v>
      </c>
      <c r="D5331" s="9" t="s">
        <v>1510</v>
      </c>
      <c r="F5331" s="6">
        <v>70</v>
      </c>
      <c r="G5331" s="6">
        <f t="shared" si="267"/>
        <v>70</v>
      </c>
      <c r="H5331" s="26">
        <v>70</v>
      </c>
      <c r="I5331" s="26">
        <f t="shared" si="268"/>
        <v>0</v>
      </c>
      <c r="J5331" s="7" t="str">
        <f t="shared" si="269"/>
        <v>PAGADO</v>
      </c>
      <c r="K5331" s="33" t="s">
        <v>3819</v>
      </c>
    </row>
    <row r="5332" spans="1:11" x14ac:dyDescent="0.25">
      <c r="A5332"/>
      <c r="C5332" s="9" t="s">
        <v>5022</v>
      </c>
      <c r="D5332" s="9" t="s">
        <v>1510</v>
      </c>
      <c r="F5332" s="6">
        <v>90</v>
      </c>
      <c r="G5332" s="6">
        <f t="shared" si="267"/>
        <v>90</v>
      </c>
      <c r="H5332" s="26">
        <v>90</v>
      </c>
      <c r="I5332" s="26">
        <f t="shared" si="268"/>
        <v>0</v>
      </c>
      <c r="J5332" s="7" t="str">
        <f t="shared" si="269"/>
        <v>PAGADO</v>
      </c>
      <c r="K5332" s="33" t="s">
        <v>3819</v>
      </c>
    </row>
    <row r="5333" spans="1:11" x14ac:dyDescent="0.25">
      <c r="A5333"/>
      <c r="C5333" s="9" t="s">
        <v>4959</v>
      </c>
      <c r="D5333" s="9" t="s">
        <v>1510</v>
      </c>
      <c r="F5333" s="6">
        <v>160</v>
      </c>
      <c r="G5333" s="6">
        <f t="shared" si="267"/>
        <v>160</v>
      </c>
      <c r="H5333" s="26">
        <v>160</v>
      </c>
      <c r="I5333" s="26">
        <f t="shared" si="268"/>
        <v>0</v>
      </c>
      <c r="J5333" s="7" t="str">
        <f t="shared" si="269"/>
        <v>PAGADO</v>
      </c>
      <c r="K5333" s="33" t="s">
        <v>3819</v>
      </c>
    </row>
    <row r="5334" spans="1:11" x14ac:dyDescent="0.25">
      <c r="A5334"/>
      <c r="C5334" s="9" t="s">
        <v>5004</v>
      </c>
      <c r="D5334" s="9" t="s">
        <v>1510</v>
      </c>
      <c r="F5334" s="6">
        <v>65</v>
      </c>
      <c r="G5334" s="6">
        <f t="shared" si="267"/>
        <v>65</v>
      </c>
      <c r="H5334" s="26">
        <v>65</v>
      </c>
      <c r="I5334" s="26">
        <f t="shared" si="268"/>
        <v>0</v>
      </c>
      <c r="J5334" s="7" t="str">
        <f t="shared" si="269"/>
        <v>PAGADO</v>
      </c>
      <c r="K5334" s="33" t="s">
        <v>3819</v>
      </c>
    </row>
    <row r="5335" spans="1:11" x14ac:dyDescent="0.25">
      <c r="A5335"/>
      <c r="C5335" s="9" t="s">
        <v>5023</v>
      </c>
      <c r="D5335" s="9" t="s">
        <v>1510</v>
      </c>
      <c r="F5335" s="6">
        <v>70</v>
      </c>
      <c r="G5335" s="6">
        <f t="shared" si="267"/>
        <v>70</v>
      </c>
      <c r="H5335" s="26">
        <v>70</v>
      </c>
      <c r="I5335" s="26">
        <f t="shared" si="268"/>
        <v>0</v>
      </c>
      <c r="J5335" s="7" t="str">
        <f t="shared" si="269"/>
        <v>PAGADO</v>
      </c>
      <c r="K5335" s="33" t="s">
        <v>3819</v>
      </c>
    </row>
    <row r="5336" spans="1:11" x14ac:dyDescent="0.25">
      <c r="A5336"/>
      <c r="C5336" s="9" t="s">
        <v>5024</v>
      </c>
      <c r="D5336" s="9" t="s">
        <v>1510</v>
      </c>
      <c r="F5336" s="6">
        <v>60</v>
      </c>
      <c r="G5336" s="6">
        <f t="shared" si="267"/>
        <v>60</v>
      </c>
      <c r="H5336" s="26">
        <v>60</v>
      </c>
      <c r="I5336" s="26">
        <f t="shared" si="268"/>
        <v>0</v>
      </c>
      <c r="J5336" s="7" t="str">
        <f t="shared" si="269"/>
        <v>PAGADO</v>
      </c>
      <c r="K5336" s="33" t="s">
        <v>3819</v>
      </c>
    </row>
    <row r="5337" spans="1:11" x14ac:dyDescent="0.25">
      <c r="A5337"/>
      <c r="C5337" s="9" t="s">
        <v>5025</v>
      </c>
      <c r="D5337" s="9" t="s">
        <v>1510</v>
      </c>
      <c r="F5337" s="6">
        <v>180</v>
      </c>
      <c r="G5337" s="6">
        <f t="shared" si="267"/>
        <v>180</v>
      </c>
      <c r="H5337" s="26">
        <v>180</v>
      </c>
      <c r="I5337" s="26">
        <f t="shared" si="268"/>
        <v>0</v>
      </c>
      <c r="J5337" s="7" t="str">
        <f t="shared" si="269"/>
        <v>PAGADO</v>
      </c>
      <c r="K5337" s="33" t="s">
        <v>3819</v>
      </c>
    </row>
    <row r="5338" spans="1:11" x14ac:dyDescent="0.25">
      <c r="A5338"/>
      <c r="C5338" s="9" t="s">
        <v>5026</v>
      </c>
      <c r="D5338" s="9" t="s">
        <v>1510</v>
      </c>
      <c r="F5338" s="6">
        <v>180</v>
      </c>
      <c r="G5338" s="6">
        <f t="shared" si="267"/>
        <v>180</v>
      </c>
      <c r="H5338" s="26">
        <v>180</v>
      </c>
      <c r="I5338" s="26">
        <f t="shared" si="268"/>
        <v>0</v>
      </c>
      <c r="J5338" s="7" t="str">
        <f t="shared" si="269"/>
        <v>PAGADO</v>
      </c>
      <c r="K5338" s="33" t="s">
        <v>3819</v>
      </c>
    </row>
    <row r="5339" spans="1:11" x14ac:dyDescent="0.25">
      <c r="A5339"/>
      <c r="C5339" t="s">
        <v>4978</v>
      </c>
      <c r="D5339" s="9" t="s">
        <v>1510</v>
      </c>
      <c r="F5339" s="6">
        <v>65</v>
      </c>
      <c r="G5339" s="6">
        <f t="shared" si="267"/>
        <v>65</v>
      </c>
      <c r="H5339" s="26">
        <v>65</v>
      </c>
      <c r="I5339" s="26">
        <f t="shared" si="268"/>
        <v>0</v>
      </c>
      <c r="J5339" s="7" t="str">
        <f t="shared" si="269"/>
        <v>PAGADO</v>
      </c>
      <c r="K5339" s="33" t="s">
        <v>3819</v>
      </c>
    </row>
    <row r="5340" spans="1:11" x14ac:dyDescent="0.25">
      <c r="A5340"/>
      <c r="C5340" t="s">
        <v>5027</v>
      </c>
      <c r="D5340" s="9" t="s">
        <v>1510</v>
      </c>
      <c r="F5340" s="6">
        <v>85</v>
      </c>
      <c r="G5340" s="6">
        <f t="shared" si="267"/>
        <v>85</v>
      </c>
      <c r="H5340" s="26">
        <v>85</v>
      </c>
      <c r="I5340" s="26">
        <f t="shared" si="268"/>
        <v>0</v>
      </c>
      <c r="J5340" s="7" t="str">
        <f t="shared" si="269"/>
        <v>PAGADO</v>
      </c>
      <c r="K5340" s="33" t="s">
        <v>3819</v>
      </c>
    </row>
    <row r="5341" spans="1:11" x14ac:dyDescent="0.25">
      <c r="A5341"/>
      <c r="C5341" t="s">
        <v>5028</v>
      </c>
      <c r="D5341" s="9" t="s">
        <v>1510</v>
      </c>
      <c r="F5341" s="6">
        <v>90</v>
      </c>
      <c r="G5341" s="6">
        <f t="shared" si="267"/>
        <v>90</v>
      </c>
      <c r="H5341" s="26">
        <v>90</v>
      </c>
      <c r="I5341" s="26">
        <f t="shared" si="268"/>
        <v>0</v>
      </c>
      <c r="J5341" s="7" t="str">
        <f t="shared" si="269"/>
        <v>PAGADO</v>
      </c>
      <c r="K5341" s="33" t="s">
        <v>3819</v>
      </c>
    </row>
    <row r="5342" spans="1:11" x14ac:dyDescent="0.25">
      <c r="A5342"/>
      <c r="C5342" t="s">
        <v>5028</v>
      </c>
      <c r="D5342" s="9" t="s">
        <v>3444</v>
      </c>
      <c r="F5342" s="6">
        <v>90</v>
      </c>
      <c r="G5342" s="6">
        <f t="shared" si="267"/>
        <v>90</v>
      </c>
      <c r="H5342" s="6">
        <v>90</v>
      </c>
      <c r="I5342" s="26">
        <f t="shared" si="268"/>
        <v>0</v>
      </c>
      <c r="J5342" s="7" t="str">
        <f t="shared" si="269"/>
        <v>PAGADO</v>
      </c>
      <c r="K5342" s="33" t="s">
        <v>3819</v>
      </c>
    </row>
    <row r="5343" spans="1:11" x14ac:dyDescent="0.25">
      <c r="A5343"/>
      <c r="C5343" t="s">
        <v>808</v>
      </c>
      <c r="D5343" s="9" t="s">
        <v>1510</v>
      </c>
      <c r="F5343" s="6">
        <v>45</v>
      </c>
      <c r="G5343" s="6">
        <f t="shared" si="267"/>
        <v>45</v>
      </c>
      <c r="H5343" s="26">
        <v>45</v>
      </c>
      <c r="I5343" s="26">
        <f t="shared" si="268"/>
        <v>0</v>
      </c>
      <c r="J5343" s="7" t="str">
        <f t="shared" si="269"/>
        <v>PAGADO</v>
      </c>
      <c r="K5343" s="33" t="s">
        <v>3819</v>
      </c>
    </row>
    <row r="5344" spans="1:11" x14ac:dyDescent="0.25">
      <c r="A5344"/>
      <c r="C5344" s="9" t="s">
        <v>5012</v>
      </c>
      <c r="D5344" t="s">
        <v>2969</v>
      </c>
      <c r="F5344" s="6">
        <v>90</v>
      </c>
      <c r="G5344" s="6">
        <f t="shared" si="267"/>
        <v>90</v>
      </c>
      <c r="H5344" s="6">
        <v>90</v>
      </c>
      <c r="I5344" s="26">
        <f t="shared" si="268"/>
        <v>0</v>
      </c>
      <c r="J5344" s="7" t="str">
        <f t="shared" si="269"/>
        <v>PAGADO</v>
      </c>
      <c r="K5344" s="33" t="s">
        <v>3819</v>
      </c>
    </row>
    <row r="5345" spans="1:11" x14ac:dyDescent="0.25">
      <c r="A5345"/>
      <c r="C5345" s="9" t="s">
        <v>5015</v>
      </c>
      <c r="D5345" t="s">
        <v>2969</v>
      </c>
      <c r="F5345" s="6">
        <v>90</v>
      </c>
      <c r="G5345" s="6">
        <f t="shared" si="267"/>
        <v>90</v>
      </c>
      <c r="H5345" s="6">
        <v>90</v>
      </c>
      <c r="I5345" s="26">
        <f t="shared" si="268"/>
        <v>0</v>
      </c>
      <c r="J5345" s="7" t="str">
        <f t="shared" si="269"/>
        <v>PAGADO</v>
      </c>
      <c r="K5345" s="33" t="s">
        <v>3819</v>
      </c>
    </row>
    <row r="5346" spans="1:11" x14ac:dyDescent="0.25">
      <c r="A5346"/>
      <c r="C5346" s="9" t="s">
        <v>5029</v>
      </c>
      <c r="D5346" t="s">
        <v>2969</v>
      </c>
      <c r="F5346" s="6">
        <v>65</v>
      </c>
      <c r="G5346" s="6">
        <f t="shared" si="267"/>
        <v>65</v>
      </c>
      <c r="H5346" s="6">
        <v>65</v>
      </c>
      <c r="I5346" s="26">
        <f t="shared" si="268"/>
        <v>0</v>
      </c>
      <c r="J5346" s="7" t="str">
        <f t="shared" si="269"/>
        <v>PAGADO</v>
      </c>
      <c r="K5346" s="33" t="s">
        <v>3819</v>
      </c>
    </row>
    <row r="5347" spans="1:11" x14ac:dyDescent="0.25">
      <c r="A5347"/>
      <c r="C5347" t="s">
        <v>5030</v>
      </c>
      <c r="D5347" s="9" t="s">
        <v>4881</v>
      </c>
      <c r="F5347" s="6">
        <v>65</v>
      </c>
      <c r="G5347" s="6">
        <f t="shared" si="267"/>
        <v>65</v>
      </c>
      <c r="H5347" s="6">
        <v>65</v>
      </c>
      <c r="I5347" s="63">
        <f t="shared" si="268"/>
        <v>0</v>
      </c>
      <c r="J5347" s="7" t="str">
        <f t="shared" si="269"/>
        <v>PAGADO</v>
      </c>
      <c r="K5347" s="33" t="s">
        <v>3819</v>
      </c>
    </row>
    <row r="5348" spans="1:11" x14ac:dyDescent="0.25">
      <c r="A5348"/>
      <c r="C5348" t="s">
        <v>5031</v>
      </c>
      <c r="D5348" s="9" t="s">
        <v>4974</v>
      </c>
      <c r="F5348" s="6">
        <v>60</v>
      </c>
      <c r="G5348" s="6">
        <f t="shared" si="267"/>
        <v>60</v>
      </c>
      <c r="H5348" s="6">
        <f>30+20+10</f>
        <v>60</v>
      </c>
      <c r="I5348" s="26">
        <f t="shared" si="268"/>
        <v>0</v>
      </c>
      <c r="J5348" s="7" t="str">
        <f t="shared" si="269"/>
        <v>PAGADO</v>
      </c>
      <c r="K5348" s="33" t="s">
        <v>3819</v>
      </c>
    </row>
    <row r="5349" spans="1:11" x14ac:dyDescent="0.25">
      <c r="A5349"/>
      <c r="C5349" s="9" t="s">
        <v>5020</v>
      </c>
      <c r="D5349" t="s">
        <v>1640</v>
      </c>
      <c r="F5349" s="6">
        <v>150</v>
      </c>
      <c r="G5349" s="6">
        <f t="shared" si="267"/>
        <v>150</v>
      </c>
      <c r="H5349" s="6">
        <f>75+75</f>
        <v>150</v>
      </c>
      <c r="I5349" s="26">
        <f t="shared" si="268"/>
        <v>0</v>
      </c>
      <c r="J5349" s="7" t="str">
        <f t="shared" si="269"/>
        <v>PAGADO</v>
      </c>
      <c r="K5349" s="33" t="s">
        <v>3819</v>
      </c>
    </row>
    <row r="5350" spans="1:11" x14ac:dyDescent="0.25">
      <c r="A5350"/>
      <c r="C5350" s="9" t="s">
        <v>5020</v>
      </c>
      <c r="D5350" t="s">
        <v>597</v>
      </c>
      <c r="F5350" s="6">
        <v>150</v>
      </c>
      <c r="G5350" s="6">
        <f t="shared" si="267"/>
        <v>150</v>
      </c>
      <c r="H5350" s="6">
        <v>150</v>
      </c>
      <c r="I5350" s="26">
        <f t="shared" si="268"/>
        <v>0</v>
      </c>
      <c r="J5350" s="7" t="str">
        <f t="shared" si="269"/>
        <v>PAGADO</v>
      </c>
      <c r="K5350" s="33" t="s">
        <v>3819</v>
      </c>
    </row>
    <row r="5351" spans="1:11" x14ac:dyDescent="0.25">
      <c r="A5351"/>
      <c r="C5351" s="9" t="s">
        <v>5020</v>
      </c>
      <c r="D5351" t="s">
        <v>2275</v>
      </c>
      <c r="F5351" s="6">
        <v>160</v>
      </c>
      <c r="G5351" s="6">
        <f t="shared" si="267"/>
        <v>160</v>
      </c>
      <c r="H5351" s="6">
        <f>80+80</f>
        <v>160</v>
      </c>
      <c r="I5351" s="51">
        <f t="shared" si="268"/>
        <v>0</v>
      </c>
      <c r="J5351" s="7" t="str">
        <f t="shared" si="269"/>
        <v>PAGADO</v>
      </c>
      <c r="K5351" s="33" t="s">
        <v>3819</v>
      </c>
    </row>
    <row r="5352" spans="1:11" x14ac:dyDescent="0.25">
      <c r="A5352"/>
      <c r="C5352" s="9" t="s">
        <v>4979</v>
      </c>
      <c r="D5352" s="9" t="s">
        <v>3742</v>
      </c>
      <c r="F5352" s="6">
        <v>90</v>
      </c>
      <c r="G5352" s="6">
        <f t="shared" si="267"/>
        <v>90</v>
      </c>
      <c r="H5352" s="6">
        <f>45+35+10</f>
        <v>90</v>
      </c>
      <c r="I5352" s="26">
        <f t="shared" si="268"/>
        <v>0</v>
      </c>
      <c r="J5352" s="7" t="str">
        <f t="shared" si="269"/>
        <v>PAGADO</v>
      </c>
      <c r="K5352" s="33" t="s">
        <v>3819</v>
      </c>
    </row>
    <row r="5353" spans="1:11" x14ac:dyDescent="0.25">
      <c r="A5353"/>
      <c r="C5353" s="9" t="s">
        <v>4958</v>
      </c>
      <c r="D5353" s="9" t="s">
        <v>3742</v>
      </c>
      <c r="F5353" s="6">
        <v>70</v>
      </c>
      <c r="G5353" s="6">
        <f t="shared" si="267"/>
        <v>70</v>
      </c>
      <c r="H5353" s="6">
        <f>15+20+25+10</f>
        <v>70</v>
      </c>
      <c r="I5353" s="26">
        <f t="shared" si="268"/>
        <v>0</v>
      </c>
      <c r="J5353" s="7" t="str">
        <f t="shared" si="269"/>
        <v>PAGADO</v>
      </c>
      <c r="K5353" s="33" t="s">
        <v>3819</v>
      </c>
    </row>
    <row r="5354" spans="1:11" x14ac:dyDescent="0.25">
      <c r="A5354"/>
      <c r="C5354" s="9" t="s">
        <v>5008</v>
      </c>
      <c r="D5354" s="9" t="s">
        <v>3742</v>
      </c>
      <c r="F5354" s="6">
        <v>80</v>
      </c>
      <c r="G5354" s="6">
        <f t="shared" si="267"/>
        <v>80</v>
      </c>
      <c r="H5354" s="6">
        <f>40+40</f>
        <v>80</v>
      </c>
      <c r="I5354" s="26">
        <f t="shared" si="268"/>
        <v>0</v>
      </c>
      <c r="J5354" s="7" t="str">
        <f t="shared" si="269"/>
        <v>PAGADO</v>
      </c>
      <c r="K5354" s="33" t="s">
        <v>3819</v>
      </c>
    </row>
    <row r="5355" spans="1:11" x14ac:dyDescent="0.25">
      <c r="A5355"/>
      <c r="C5355" s="9" t="s">
        <v>5032</v>
      </c>
      <c r="D5355" s="9" t="s">
        <v>3742</v>
      </c>
      <c r="F5355" s="6">
        <v>80</v>
      </c>
      <c r="G5355" s="6">
        <f t="shared" si="267"/>
        <v>80</v>
      </c>
      <c r="H5355" s="6">
        <v>80</v>
      </c>
      <c r="I5355" s="26">
        <f t="shared" si="268"/>
        <v>0</v>
      </c>
      <c r="J5355" s="7" t="str">
        <f t="shared" si="269"/>
        <v>PAGADO</v>
      </c>
      <c r="K5355" s="33" t="s">
        <v>2714</v>
      </c>
    </row>
    <row r="5356" spans="1:11" x14ac:dyDescent="0.25">
      <c r="A5356"/>
      <c r="C5356" s="9" t="s">
        <v>5033</v>
      </c>
      <c r="D5356" s="9" t="s">
        <v>4864</v>
      </c>
      <c r="F5356" s="6">
        <v>80</v>
      </c>
      <c r="G5356" s="6">
        <f t="shared" si="267"/>
        <v>80</v>
      </c>
      <c r="H5356" s="6">
        <v>80</v>
      </c>
      <c r="I5356" s="26">
        <f t="shared" si="268"/>
        <v>0</v>
      </c>
      <c r="J5356" s="7" t="str">
        <f t="shared" si="269"/>
        <v>PAGADO</v>
      </c>
      <c r="K5356" s="33" t="s">
        <v>3819</v>
      </c>
    </row>
    <row r="5357" spans="1:11" x14ac:dyDescent="0.25">
      <c r="A5357"/>
      <c r="C5357" s="9" t="s">
        <v>4978</v>
      </c>
      <c r="D5357" s="9" t="s">
        <v>1055</v>
      </c>
      <c r="F5357" s="6">
        <v>65</v>
      </c>
      <c r="G5357" s="6">
        <f t="shared" si="267"/>
        <v>65</v>
      </c>
      <c r="H5357" s="6">
        <f>30+35</f>
        <v>65</v>
      </c>
      <c r="I5357" s="26">
        <f t="shared" si="268"/>
        <v>0</v>
      </c>
      <c r="J5357" s="7" t="str">
        <f t="shared" si="269"/>
        <v>PAGADO</v>
      </c>
      <c r="K5357" s="33" t="s">
        <v>2712</v>
      </c>
    </row>
    <row r="5358" spans="1:11" x14ac:dyDescent="0.25">
      <c r="A5358"/>
      <c r="C5358" t="s">
        <v>4987</v>
      </c>
      <c r="D5358" s="9" t="s">
        <v>2275</v>
      </c>
      <c r="F5358" s="6">
        <v>70</v>
      </c>
      <c r="G5358" s="6">
        <f t="shared" si="267"/>
        <v>70</v>
      </c>
      <c r="H5358" s="6">
        <f>35+35</f>
        <v>70</v>
      </c>
      <c r="I5358" s="51">
        <f t="shared" si="268"/>
        <v>0</v>
      </c>
      <c r="J5358" s="7" t="str">
        <f t="shared" si="269"/>
        <v>PAGADO</v>
      </c>
      <c r="K5358" s="33" t="s">
        <v>3819</v>
      </c>
    </row>
    <row r="5359" spans="1:11" x14ac:dyDescent="0.25">
      <c r="A5359"/>
      <c r="C5359" t="s">
        <v>5034</v>
      </c>
      <c r="D5359" s="9" t="s">
        <v>2275</v>
      </c>
      <c r="F5359" s="6">
        <v>70</v>
      </c>
      <c r="G5359" s="6">
        <f t="shared" si="267"/>
        <v>70</v>
      </c>
      <c r="H5359" s="6">
        <f>35+35</f>
        <v>70</v>
      </c>
      <c r="I5359" s="51">
        <f t="shared" si="268"/>
        <v>0</v>
      </c>
      <c r="J5359" s="7" t="str">
        <f t="shared" si="269"/>
        <v>PAGADO</v>
      </c>
      <c r="K5359" s="33" t="s">
        <v>3819</v>
      </c>
    </row>
    <row r="5360" spans="1:11" x14ac:dyDescent="0.25">
      <c r="A5360"/>
      <c r="C5360" s="9" t="s">
        <v>5035</v>
      </c>
      <c r="D5360" s="9" t="s">
        <v>4387</v>
      </c>
      <c r="F5360" s="6">
        <v>80</v>
      </c>
      <c r="G5360" s="6">
        <f t="shared" si="267"/>
        <v>80</v>
      </c>
      <c r="H5360" s="6">
        <f>40+40</f>
        <v>80</v>
      </c>
      <c r="I5360" s="26">
        <f t="shared" si="268"/>
        <v>0</v>
      </c>
      <c r="J5360" s="7" t="str">
        <f t="shared" si="269"/>
        <v>PAGADO</v>
      </c>
      <c r="K5360" s="33" t="s">
        <v>3819</v>
      </c>
    </row>
    <row r="5361" spans="1:11" x14ac:dyDescent="0.25">
      <c r="A5361"/>
      <c r="C5361" t="s">
        <v>5036</v>
      </c>
      <c r="D5361" s="9" t="s">
        <v>4387</v>
      </c>
      <c r="F5361" s="6">
        <v>90</v>
      </c>
      <c r="G5361" s="6">
        <f t="shared" si="267"/>
        <v>90</v>
      </c>
      <c r="H5361" s="6">
        <f>45+45</f>
        <v>90</v>
      </c>
      <c r="I5361" s="26">
        <f t="shared" si="268"/>
        <v>0</v>
      </c>
      <c r="J5361" s="7" t="str">
        <f t="shared" si="269"/>
        <v>PAGADO</v>
      </c>
      <c r="K5361" s="33" t="s">
        <v>3819</v>
      </c>
    </row>
    <row r="5362" spans="1:11" x14ac:dyDescent="0.25">
      <c r="A5362"/>
      <c r="C5362" t="s">
        <v>5028</v>
      </c>
      <c r="D5362" s="9" t="s">
        <v>4387</v>
      </c>
      <c r="F5362" s="6">
        <v>90</v>
      </c>
      <c r="G5362" s="6">
        <f t="shared" si="267"/>
        <v>90</v>
      </c>
      <c r="H5362" s="6">
        <f>45+45</f>
        <v>90</v>
      </c>
      <c r="I5362" s="26">
        <f t="shared" si="268"/>
        <v>0</v>
      </c>
      <c r="J5362" s="7" t="str">
        <f t="shared" si="269"/>
        <v>PAGADO</v>
      </c>
      <c r="K5362" s="33" t="s">
        <v>3819</v>
      </c>
    </row>
    <row r="5363" spans="1:11" x14ac:dyDescent="0.25">
      <c r="A5363"/>
      <c r="C5363" s="9" t="s">
        <v>5037</v>
      </c>
      <c r="D5363" s="9" t="s">
        <v>4734</v>
      </c>
      <c r="F5363" s="6">
        <v>60</v>
      </c>
      <c r="G5363" s="6">
        <f t="shared" si="267"/>
        <v>60</v>
      </c>
      <c r="H5363" s="6">
        <f>30+30</f>
        <v>60</v>
      </c>
      <c r="I5363" s="26">
        <f t="shared" si="268"/>
        <v>0</v>
      </c>
      <c r="J5363" s="7" t="str">
        <f t="shared" si="269"/>
        <v>PAGADO</v>
      </c>
      <c r="K5363" s="9" t="s">
        <v>3506</v>
      </c>
    </row>
    <row r="5364" spans="1:11" x14ac:dyDescent="0.25">
      <c r="A5364"/>
      <c r="C5364" s="9" t="s">
        <v>5038</v>
      </c>
      <c r="D5364" s="9" t="s">
        <v>3316</v>
      </c>
      <c r="F5364" s="6">
        <v>65</v>
      </c>
      <c r="G5364" s="6">
        <f t="shared" si="267"/>
        <v>65</v>
      </c>
      <c r="H5364" s="48">
        <f>35+30</f>
        <v>65</v>
      </c>
      <c r="I5364" s="26">
        <f t="shared" si="268"/>
        <v>0</v>
      </c>
      <c r="J5364" s="7" t="str">
        <f t="shared" si="269"/>
        <v>PAGADO</v>
      </c>
      <c r="K5364" s="33" t="s">
        <v>3819</v>
      </c>
    </row>
    <row r="5365" spans="1:11" x14ac:dyDescent="0.25">
      <c r="A5365"/>
      <c r="C5365" t="s">
        <v>5039</v>
      </c>
      <c r="D5365" s="9" t="s">
        <v>1510</v>
      </c>
      <c r="F5365" s="6">
        <v>140</v>
      </c>
      <c r="G5365" s="6">
        <f t="shared" si="267"/>
        <v>140</v>
      </c>
      <c r="H5365" s="26">
        <f>70+70</f>
        <v>140</v>
      </c>
      <c r="I5365" s="26">
        <f t="shared" si="268"/>
        <v>0</v>
      </c>
      <c r="J5365" s="7" t="str">
        <f t="shared" si="269"/>
        <v>PAGADO</v>
      </c>
      <c r="K5365" s="33" t="s">
        <v>3506</v>
      </c>
    </row>
    <row r="5366" spans="1:11" x14ac:dyDescent="0.25">
      <c r="A5366"/>
      <c r="C5366" t="s">
        <v>5040</v>
      </c>
      <c r="D5366" s="9" t="s">
        <v>1510</v>
      </c>
      <c r="F5366" s="6">
        <v>80</v>
      </c>
      <c r="G5366" s="6">
        <f t="shared" si="267"/>
        <v>80</v>
      </c>
      <c r="H5366" s="26">
        <f>40+40</f>
        <v>80</v>
      </c>
      <c r="I5366" s="26">
        <f t="shared" si="268"/>
        <v>0</v>
      </c>
      <c r="J5366" s="7" t="str">
        <f t="shared" si="269"/>
        <v>PAGADO</v>
      </c>
      <c r="K5366" s="33" t="s">
        <v>3506</v>
      </c>
    </row>
    <row r="5367" spans="1:11" x14ac:dyDescent="0.25">
      <c r="A5367"/>
      <c r="C5367" t="s">
        <v>4326</v>
      </c>
      <c r="D5367" s="9" t="s">
        <v>1510</v>
      </c>
      <c r="F5367" s="6">
        <v>100</v>
      </c>
      <c r="G5367" s="6">
        <f t="shared" si="267"/>
        <v>100</v>
      </c>
      <c r="H5367" s="26">
        <f>50+50</f>
        <v>100</v>
      </c>
      <c r="I5367" s="26">
        <f t="shared" si="268"/>
        <v>0</v>
      </c>
      <c r="J5367" s="7" t="str">
        <f t="shared" si="269"/>
        <v>PAGADO</v>
      </c>
      <c r="K5367" s="33" t="s">
        <v>3506</v>
      </c>
    </row>
    <row r="5368" spans="1:11" x14ac:dyDescent="0.25">
      <c r="A5368"/>
      <c r="C5368" t="s">
        <v>5041</v>
      </c>
      <c r="D5368" s="9" t="s">
        <v>4881</v>
      </c>
      <c r="F5368" s="6">
        <v>75</v>
      </c>
      <c r="G5368" s="6">
        <f t="shared" si="267"/>
        <v>75</v>
      </c>
      <c r="H5368" s="6">
        <v>75</v>
      </c>
      <c r="I5368" s="63">
        <f t="shared" si="268"/>
        <v>0</v>
      </c>
      <c r="J5368" s="7" t="str">
        <f t="shared" si="269"/>
        <v>PAGADO</v>
      </c>
      <c r="K5368" s="33" t="s">
        <v>3819</v>
      </c>
    </row>
    <row r="5369" spans="1:11" x14ac:dyDescent="0.25">
      <c r="A5369"/>
      <c r="C5369" s="9" t="s">
        <v>5042</v>
      </c>
      <c r="D5369" s="9" t="s">
        <v>3980</v>
      </c>
      <c r="F5369" s="6">
        <v>80</v>
      </c>
      <c r="G5369" s="6">
        <f t="shared" si="267"/>
        <v>80</v>
      </c>
      <c r="H5369" s="6">
        <v>80</v>
      </c>
      <c r="I5369" s="26">
        <f t="shared" si="268"/>
        <v>0</v>
      </c>
      <c r="J5369" s="7" t="str">
        <f t="shared" si="269"/>
        <v>PAGADO</v>
      </c>
      <c r="K5369" s="9" t="s">
        <v>3819</v>
      </c>
    </row>
    <row r="5370" spans="1:11" x14ac:dyDescent="0.25">
      <c r="A5370"/>
      <c r="C5370" s="9" t="s">
        <v>5043</v>
      </c>
      <c r="D5370" s="9" t="s">
        <v>3980</v>
      </c>
      <c r="F5370" s="6">
        <v>65</v>
      </c>
      <c r="G5370" s="6">
        <f t="shared" si="267"/>
        <v>65</v>
      </c>
      <c r="H5370" s="6">
        <v>65</v>
      </c>
      <c r="I5370" s="26">
        <f t="shared" si="268"/>
        <v>0</v>
      </c>
      <c r="J5370" s="7" t="str">
        <f t="shared" si="269"/>
        <v>PAGADO</v>
      </c>
      <c r="K5370" s="9" t="s">
        <v>3819</v>
      </c>
    </row>
    <row r="5371" spans="1:11" x14ac:dyDescent="0.25">
      <c r="A5371"/>
      <c r="C5371" s="9" t="s">
        <v>4979</v>
      </c>
      <c r="D5371" s="9" t="s">
        <v>3980</v>
      </c>
      <c r="F5371" s="6">
        <v>90</v>
      </c>
      <c r="G5371" s="6">
        <f t="shared" si="267"/>
        <v>90</v>
      </c>
      <c r="H5371" s="6">
        <v>90</v>
      </c>
      <c r="I5371" s="26">
        <f t="shared" si="268"/>
        <v>0</v>
      </c>
      <c r="J5371" s="7" t="str">
        <f t="shared" si="269"/>
        <v>PAGADO</v>
      </c>
      <c r="K5371" s="9" t="s">
        <v>3819</v>
      </c>
    </row>
    <row r="5372" spans="1:11" x14ac:dyDescent="0.25">
      <c r="A5372"/>
      <c r="C5372" t="s">
        <v>4244</v>
      </c>
      <c r="D5372" s="9" t="s">
        <v>3395</v>
      </c>
      <c r="F5372" s="6">
        <v>80</v>
      </c>
      <c r="G5372" s="6">
        <f t="shared" si="267"/>
        <v>80</v>
      </c>
      <c r="H5372" s="6">
        <f>20+60</f>
        <v>80</v>
      </c>
      <c r="I5372" s="26">
        <f t="shared" si="268"/>
        <v>0</v>
      </c>
      <c r="J5372" s="7" t="str">
        <f t="shared" si="269"/>
        <v>PAGADO</v>
      </c>
      <c r="K5372" s="9" t="s">
        <v>3506</v>
      </c>
    </row>
    <row r="5373" spans="1:11" x14ac:dyDescent="0.25">
      <c r="A5373"/>
      <c r="C5373" t="s">
        <v>5044</v>
      </c>
      <c r="D5373" s="9" t="s">
        <v>4141</v>
      </c>
      <c r="F5373" s="6">
        <v>60</v>
      </c>
      <c r="G5373" s="6">
        <f t="shared" si="267"/>
        <v>60</v>
      </c>
      <c r="H5373" s="6">
        <v>60</v>
      </c>
      <c r="I5373" s="26">
        <f t="shared" si="268"/>
        <v>0</v>
      </c>
      <c r="J5373" s="7" t="str">
        <f t="shared" si="269"/>
        <v>PAGADO</v>
      </c>
      <c r="K5373" t="s">
        <v>2714</v>
      </c>
    </row>
    <row r="5374" spans="1:11" x14ac:dyDescent="0.25">
      <c r="A5374"/>
      <c r="C5374" s="9" t="s">
        <v>5045</v>
      </c>
      <c r="D5374" s="9" t="s">
        <v>18</v>
      </c>
      <c r="F5374" s="6">
        <v>530</v>
      </c>
      <c r="G5374" s="6">
        <f t="shared" ref="G5374:G5437" si="270">F5374-E5374</f>
        <v>530</v>
      </c>
      <c r="H5374" s="6">
        <f>30+50+100+100+100+100+50</f>
        <v>530</v>
      </c>
      <c r="I5374" s="26">
        <f t="shared" si="268"/>
        <v>0</v>
      </c>
      <c r="J5374" s="7" t="str">
        <f t="shared" si="269"/>
        <v>PAGADO</v>
      </c>
      <c r="K5374" s="33" t="s">
        <v>5046</v>
      </c>
    </row>
    <row r="5375" spans="1:11" x14ac:dyDescent="0.25">
      <c r="A5375"/>
      <c r="C5375" s="9" t="s">
        <v>5047</v>
      </c>
      <c r="D5375" s="9" t="s">
        <v>5048</v>
      </c>
      <c r="F5375" s="6">
        <v>70</v>
      </c>
      <c r="G5375" s="6">
        <f t="shared" si="270"/>
        <v>70</v>
      </c>
      <c r="H5375" s="6">
        <v>70</v>
      </c>
      <c r="I5375" s="26">
        <f t="shared" si="268"/>
        <v>0</v>
      </c>
      <c r="J5375" s="7" t="str">
        <f t="shared" si="269"/>
        <v>PAGADO</v>
      </c>
    </row>
    <row r="5376" spans="1:11" x14ac:dyDescent="0.25">
      <c r="A5376"/>
      <c r="C5376" s="9" t="s">
        <v>5049</v>
      </c>
      <c r="D5376" s="9" t="s">
        <v>4732</v>
      </c>
      <c r="F5376" s="6">
        <v>110</v>
      </c>
      <c r="G5376" s="6">
        <f t="shared" si="270"/>
        <v>110</v>
      </c>
      <c r="H5376" s="6">
        <v>110</v>
      </c>
      <c r="I5376" s="26">
        <f t="shared" si="268"/>
        <v>0</v>
      </c>
      <c r="J5376" s="7" t="str">
        <f t="shared" si="269"/>
        <v>PAGADO</v>
      </c>
    </row>
    <row r="5377" spans="1:11" x14ac:dyDescent="0.25">
      <c r="A5377"/>
      <c r="C5377" s="9" t="s">
        <v>5050</v>
      </c>
      <c r="D5377" s="9" t="s">
        <v>4890</v>
      </c>
      <c r="F5377" s="6">
        <v>60</v>
      </c>
      <c r="G5377" s="6">
        <f t="shared" si="270"/>
        <v>60</v>
      </c>
      <c r="H5377" s="6">
        <v>60</v>
      </c>
      <c r="I5377" s="26">
        <f t="shared" si="268"/>
        <v>0</v>
      </c>
      <c r="J5377" s="7" t="str">
        <f t="shared" si="269"/>
        <v>PAGADO</v>
      </c>
      <c r="K5377" s="9" t="s">
        <v>2712</v>
      </c>
    </row>
    <row r="5378" spans="1:11" x14ac:dyDescent="0.25">
      <c r="A5378"/>
      <c r="C5378" s="9" t="s">
        <v>5051</v>
      </c>
      <c r="D5378" s="9" t="s">
        <v>4890</v>
      </c>
      <c r="F5378" s="6">
        <v>50</v>
      </c>
      <c r="G5378" s="6">
        <f t="shared" si="270"/>
        <v>50</v>
      </c>
      <c r="H5378" s="6">
        <v>50</v>
      </c>
      <c r="I5378" s="26">
        <f t="shared" si="268"/>
        <v>0</v>
      </c>
      <c r="J5378" s="7" t="str">
        <f t="shared" si="269"/>
        <v>PAGADO</v>
      </c>
      <c r="K5378" s="9" t="s">
        <v>2712</v>
      </c>
    </row>
    <row r="5379" spans="1:11" x14ac:dyDescent="0.25">
      <c r="A5379"/>
      <c r="C5379" s="9" t="s">
        <v>5052</v>
      </c>
      <c r="D5379" s="9" t="s">
        <v>3331</v>
      </c>
      <c r="F5379" s="6">
        <v>250</v>
      </c>
      <c r="G5379" s="6">
        <f t="shared" si="270"/>
        <v>250</v>
      </c>
      <c r="H5379" s="6">
        <v>250</v>
      </c>
      <c r="I5379" s="26">
        <f t="shared" si="268"/>
        <v>0</v>
      </c>
      <c r="J5379" s="7" t="str">
        <f t="shared" si="269"/>
        <v>PAGADO</v>
      </c>
    </row>
    <row r="5380" spans="1:11" x14ac:dyDescent="0.25">
      <c r="A5380"/>
      <c r="C5380" s="9" t="s">
        <v>3974</v>
      </c>
      <c r="D5380" s="9" t="s">
        <v>5053</v>
      </c>
      <c r="F5380" s="6">
        <v>150</v>
      </c>
      <c r="G5380" s="6">
        <f t="shared" si="270"/>
        <v>150</v>
      </c>
      <c r="H5380" s="6">
        <v>150</v>
      </c>
      <c r="I5380" s="26">
        <f t="shared" si="268"/>
        <v>0</v>
      </c>
      <c r="J5380" s="7" t="str">
        <f t="shared" si="269"/>
        <v>PAGADO</v>
      </c>
    </row>
    <row r="5381" spans="1:11" x14ac:dyDescent="0.25">
      <c r="A5381"/>
      <c r="C5381" s="9" t="s">
        <v>5054</v>
      </c>
      <c r="D5381" s="9" t="s">
        <v>1309</v>
      </c>
      <c r="F5381" s="6">
        <v>80</v>
      </c>
      <c r="G5381" s="6">
        <f t="shared" si="270"/>
        <v>80</v>
      </c>
      <c r="H5381" s="6">
        <v>80</v>
      </c>
      <c r="I5381" s="26">
        <f t="shared" si="268"/>
        <v>0</v>
      </c>
      <c r="J5381" s="7" t="str">
        <f t="shared" si="269"/>
        <v>PAGADO</v>
      </c>
    </row>
    <row r="5382" spans="1:11" x14ac:dyDescent="0.25">
      <c r="A5382"/>
      <c r="C5382" s="9" t="s">
        <v>5055</v>
      </c>
      <c r="D5382" s="9" t="s">
        <v>1504</v>
      </c>
      <c r="F5382" s="6">
        <v>65</v>
      </c>
      <c r="G5382" s="6">
        <f t="shared" si="270"/>
        <v>65</v>
      </c>
      <c r="H5382" s="6">
        <f>60+5</f>
        <v>65</v>
      </c>
      <c r="I5382" s="16">
        <f t="shared" si="268"/>
        <v>0</v>
      </c>
      <c r="J5382" s="7" t="str">
        <f t="shared" si="269"/>
        <v>PAGADO</v>
      </c>
      <c r="K5382" s="33" t="s">
        <v>2714</v>
      </c>
    </row>
    <row r="5383" spans="1:11" x14ac:dyDescent="0.25">
      <c r="A5383"/>
      <c r="C5383" s="9" t="s">
        <v>5056</v>
      </c>
      <c r="D5383" s="9" t="s">
        <v>1504</v>
      </c>
      <c r="F5383" s="6">
        <v>70</v>
      </c>
      <c r="G5383" s="6">
        <f t="shared" si="270"/>
        <v>70</v>
      </c>
      <c r="H5383" s="6">
        <v>70</v>
      </c>
      <c r="I5383" s="26">
        <f t="shared" si="268"/>
        <v>0</v>
      </c>
      <c r="J5383" s="7" t="str">
        <f t="shared" si="269"/>
        <v>PAGADO</v>
      </c>
      <c r="K5383" s="33" t="s">
        <v>2714</v>
      </c>
    </row>
    <row r="5384" spans="1:11" x14ac:dyDescent="0.25">
      <c r="A5384"/>
      <c r="C5384" s="9" t="s">
        <v>5057</v>
      </c>
      <c r="D5384" s="9" t="s">
        <v>1504</v>
      </c>
      <c r="F5384" s="6">
        <v>250</v>
      </c>
      <c r="G5384" s="6">
        <f t="shared" si="270"/>
        <v>250</v>
      </c>
      <c r="H5384" s="6">
        <v>250</v>
      </c>
      <c r="I5384" s="16">
        <f t="shared" si="268"/>
        <v>0</v>
      </c>
      <c r="J5384" s="7" t="str">
        <f t="shared" si="269"/>
        <v>PAGADO</v>
      </c>
      <c r="K5384" s="33" t="s">
        <v>2714</v>
      </c>
    </row>
    <row r="5385" spans="1:11" x14ac:dyDescent="0.25">
      <c r="A5385"/>
      <c r="C5385" s="9" t="s">
        <v>5058</v>
      </c>
      <c r="D5385" s="9" t="s">
        <v>5059</v>
      </c>
      <c r="F5385" s="6">
        <v>60</v>
      </c>
      <c r="G5385" s="6">
        <f t="shared" si="270"/>
        <v>60</v>
      </c>
      <c r="H5385" s="6">
        <v>60</v>
      </c>
      <c r="I5385" s="26">
        <f t="shared" si="268"/>
        <v>0</v>
      </c>
      <c r="J5385" s="7" t="str">
        <f t="shared" si="269"/>
        <v>PAGADO</v>
      </c>
    </row>
    <row r="5386" spans="1:11" x14ac:dyDescent="0.25">
      <c r="A5386"/>
      <c r="C5386" s="9" t="s">
        <v>5008</v>
      </c>
      <c r="D5386" s="9" t="s">
        <v>2548</v>
      </c>
      <c r="F5386" s="6">
        <v>80</v>
      </c>
      <c r="G5386" s="6">
        <f t="shared" si="270"/>
        <v>80</v>
      </c>
      <c r="H5386" s="6">
        <v>80</v>
      </c>
      <c r="I5386" s="26">
        <f t="shared" si="268"/>
        <v>0</v>
      </c>
      <c r="J5386" s="7" t="str">
        <f t="shared" si="269"/>
        <v>PAGADO</v>
      </c>
      <c r="K5386" s="33" t="s">
        <v>3819</v>
      </c>
    </row>
    <row r="5387" spans="1:11" x14ac:dyDescent="0.25">
      <c r="A5387"/>
      <c r="C5387" s="9" t="s">
        <v>5060</v>
      </c>
      <c r="D5387" s="9" t="s">
        <v>5061</v>
      </c>
      <c r="F5387" s="6">
        <v>60</v>
      </c>
      <c r="G5387" s="6">
        <f t="shared" si="270"/>
        <v>60</v>
      </c>
      <c r="H5387" s="6">
        <f>30+30</f>
        <v>60</v>
      </c>
      <c r="I5387" s="26">
        <f t="shared" ref="I5387:I5450" si="271">F5387-H5387</f>
        <v>0</v>
      </c>
      <c r="J5387" s="7" t="str">
        <f t="shared" si="269"/>
        <v>PAGADO</v>
      </c>
    </row>
    <row r="5388" spans="1:11" x14ac:dyDescent="0.25">
      <c r="A5388"/>
      <c r="C5388" s="9" t="s">
        <v>3945</v>
      </c>
      <c r="D5388" s="9" t="s">
        <v>5062</v>
      </c>
      <c r="F5388" s="6">
        <v>75</v>
      </c>
      <c r="G5388" s="6">
        <f t="shared" si="270"/>
        <v>75</v>
      </c>
      <c r="H5388" s="6">
        <v>75</v>
      </c>
      <c r="I5388" s="26">
        <f t="shared" si="271"/>
        <v>0</v>
      </c>
      <c r="J5388" s="7" t="str">
        <f t="shared" si="269"/>
        <v>PAGADO</v>
      </c>
    </row>
    <row r="5389" spans="1:11" x14ac:dyDescent="0.25">
      <c r="A5389"/>
      <c r="C5389" s="9" t="s">
        <v>5008</v>
      </c>
      <c r="D5389" s="9" t="s">
        <v>680</v>
      </c>
      <c r="F5389" s="6">
        <v>80</v>
      </c>
      <c r="G5389" s="6">
        <f t="shared" si="270"/>
        <v>80</v>
      </c>
      <c r="H5389" s="6">
        <f>40+40</f>
        <v>80</v>
      </c>
      <c r="I5389" s="26">
        <f t="shared" si="271"/>
        <v>0</v>
      </c>
      <c r="J5389" s="7" t="str">
        <f t="shared" si="269"/>
        <v>PAGADO</v>
      </c>
      <c r="K5389" s="33" t="s">
        <v>3819</v>
      </c>
    </row>
    <row r="5390" spans="1:11" x14ac:dyDescent="0.25">
      <c r="A5390"/>
      <c r="C5390" s="9" t="s">
        <v>4686</v>
      </c>
      <c r="D5390" s="9" t="s">
        <v>680</v>
      </c>
      <c r="F5390" s="6">
        <v>60</v>
      </c>
      <c r="G5390" s="6">
        <f t="shared" si="270"/>
        <v>60</v>
      </c>
      <c r="H5390" s="6">
        <f>30+30</f>
        <v>60</v>
      </c>
      <c r="I5390" s="26">
        <f t="shared" si="271"/>
        <v>0</v>
      </c>
      <c r="J5390" s="7" t="str">
        <f t="shared" si="269"/>
        <v>PAGADO</v>
      </c>
      <c r="K5390" s="33" t="s">
        <v>3819</v>
      </c>
    </row>
    <row r="5391" spans="1:11" x14ac:dyDescent="0.25">
      <c r="A5391"/>
      <c r="C5391" s="9" t="s">
        <v>4337</v>
      </c>
      <c r="D5391" s="9" t="s">
        <v>4378</v>
      </c>
      <c r="F5391" s="6">
        <v>70</v>
      </c>
      <c r="G5391" s="6">
        <f t="shared" si="270"/>
        <v>70</v>
      </c>
      <c r="H5391" s="6">
        <v>70</v>
      </c>
      <c r="I5391" s="26">
        <f t="shared" si="271"/>
        <v>0</v>
      </c>
      <c r="J5391" s="7" t="str">
        <f t="shared" ref="J5391:J5454" si="272">IF(I5391&gt;0,"DEBE","PAGADO")</f>
        <v>PAGADO</v>
      </c>
      <c r="K5391" s="33" t="s">
        <v>3819</v>
      </c>
    </row>
    <row r="5392" spans="1:11" x14ac:dyDescent="0.25">
      <c r="A5392"/>
      <c r="C5392" s="9" t="s">
        <v>5063</v>
      </c>
      <c r="D5392" s="9" t="s">
        <v>2363</v>
      </c>
      <c r="F5392" s="6">
        <v>80</v>
      </c>
      <c r="G5392" s="6">
        <f t="shared" si="270"/>
        <v>80</v>
      </c>
      <c r="H5392" s="6">
        <v>80</v>
      </c>
      <c r="I5392" s="26">
        <f t="shared" si="271"/>
        <v>0</v>
      </c>
      <c r="J5392" s="7" t="str">
        <f t="shared" si="272"/>
        <v>PAGADO</v>
      </c>
      <c r="K5392" s="59" t="s">
        <v>4998</v>
      </c>
    </row>
    <row r="5393" spans="1:11" x14ac:dyDescent="0.25">
      <c r="A5393"/>
      <c r="C5393" s="9" t="s">
        <v>5064</v>
      </c>
      <c r="D5393" s="9" t="s">
        <v>2363</v>
      </c>
      <c r="F5393" s="6">
        <v>80</v>
      </c>
      <c r="G5393" s="6">
        <f t="shared" si="270"/>
        <v>80</v>
      </c>
      <c r="H5393" s="6">
        <v>80</v>
      </c>
      <c r="I5393" s="26">
        <f t="shared" si="271"/>
        <v>0</v>
      </c>
      <c r="J5393" s="7" t="str">
        <f t="shared" si="272"/>
        <v>PAGADO</v>
      </c>
      <c r="K5393" s="59" t="s">
        <v>4998</v>
      </c>
    </row>
    <row r="5394" spans="1:11" x14ac:dyDescent="0.25">
      <c r="A5394"/>
      <c r="C5394" s="9" t="s">
        <v>5065</v>
      </c>
      <c r="D5394" s="9" t="s">
        <v>2363</v>
      </c>
      <c r="F5394" s="6">
        <v>90</v>
      </c>
      <c r="G5394" s="6">
        <f t="shared" si="270"/>
        <v>90</v>
      </c>
      <c r="H5394" s="6">
        <v>90</v>
      </c>
      <c r="I5394" s="26">
        <f t="shared" si="271"/>
        <v>0</v>
      </c>
      <c r="J5394" s="7" t="str">
        <f t="shared" si="272"/>
        <v>PAGADO</v>
      </c>
      <c r="K5394" s="33" t="s">
        <v>693</v>
      </c>
    </row>
    <row r="5395" spans="1:11" x14ac:dyDescent="0.25">
      <c r="A5395"/>
      <c r="C5395" s="9" t="s">
        <v>5008</v>
      </c>
      <c r="D5395" s="9" t="s">
        <v>4862</v>
      </c>
      <c r="F5395" s="6">
        <v>80</v>
      </c>
      <c r="G5395" s="6">
        <f t="shared" si="270"/>
        <v>80</v>
      </c>
      <c r="H5395" s="6">
        <f>40+40</f>
        <v>80</v>
      </c>
      <c r="I5395" s="26">
        <f t="shared" si="271"/>
        <v>0</v>
      </c>
      <c r="J5395" s="7" t="str">
        <f t="shared" si="272"/>
        <v>PAGADO</v>
      </c>
      <c r="K5395" s="33" t="s">
        <v>3819</v>
      </c>
    </row>
    <row r="5396" spans="1:11" x14ac:dyDescent="0.25">
      <c r="A5396"/>
      <c r="C5396" s="9" t="s">
        <v>4506</v>
      </c>
      <c r="D5396" s="9" t="s">
        <v>4862</v>
      </c>
      <c r="F5396" s="6">
        <v>60</v>
      </c>
      <c r="G5396" s="6">
        <f t="shared" si="270"/>
        <v>60</v>
      </c>
      <c r="H5396" s="6">
        <f>30+30</f>
        <v>60</v>
      </c>
      <c r="I5396" s="26">
        <f t="shared" si="271"/>
        <v>0</v>
      </c>
      <c r="J5396" s="7" t="str">
        <f t="shared" si="272"/>
        <v>PAGADO</v>
      </c>
      <c r="K5396" s="33" t="s">
        <v>3819</v>
      </c>
    </row>
    <row r="5397" spans="1:11" x14ac:dyDescent="0.25">
      <c r="A5397"/>
      <c r="C5397" s="9" t="s">
        <v>5066</v>
      </c>
      <c r="D5397" s="9" t="s">
        <v>3666</v>
      </c>
      <c r="F5397" s="6">
        <v>180</v>
      </c>
      <c r="G5397" s="6">
        <f t="shared" si="270"/>
        <v>180</v>
      </c>
      <c r="H5397" s="6">
        <f>90+90</f>
        <v>180</v>
      </c>
      <c r="I5397" s="26">
        <f t="shared" si="271"/>
        <v>0</v>
      </c>
      <c r="J5397" s="7" t="str">
        <f t="shared" si="272"/>
        <v>PAGADO</v>
      </c>
      <c r="K5397" s="33" t="s">
        <v>3819</v>
      </c>
    </row>
    <row r="5398" spans="1:11" x14ac:dyDescent="0.25">
      <c r="A5398"/>
      <c r="C5398" s="9" t="s">
        <v>5067</v>
      </c>
      <c r="D5398" s="9" t="s">
        <v>4381</v>
      </c>
      <c r="F5398" s="6">
        <v>60</v>
      </c>
      <c r="G5398" s="6">
        <f t="shared" si="270"/>
        <v>60</v>
      </c>
      <c r="H5398" s="6">
        <f>30+30</f>
        <v>60</v>
      </c>
      <c r="I5398" s="26">
        <f t="shared" si="271"/>
        <v>0</v>
      </c>
      <c r="J5398" s="7" t="str">
        <f t="shared" si="272"/>
        <v>PAGADO</v>
      </c>
      <c r="K5398" s="33" t="s">
        <v>3819</v>
      </c>
    </row>
    <row r="5399" spans="1:11" x14ac:dyDescent="0.25">
      <c r="A5399"/>
      <c r="C5399" s="9" t="s">
        <v>5068</v>
      </c>
      <c r="D5399" s="9" t="s">
        <v>4381</v>
      </c>
      <c r="F5399" s="6">
        <v>70</v>
      </c>
      <c r="G5399" s="6">
        <f t="shared" si="270"/>
        <v>70</v>
      </c>
      <c r="H5399" s="6">
        <f>35+35</f>
        <v>70</v>
      </c>
      <c r="I5399" s="26">
        <f t="shared" si="271"/>
        <v>0</v>
      </c>
      <c r="J5399" s="7" t="str">
        <f t="shared" si="272"/>
        <v>PAGADO</v>
      </c>
      <c r="K5399" s="33" t="s">
        <v>3819</v>
      </c>
    </row>
    <row r="5400" spans="1:11" x14ac:dyDescent="0.25">
      <c r="A5400"/>
      <c r="C5400" s="9" t="s">
        <v>5069</v>
      </c>
      <c r="D5400" s="9" t="s">
        <v>2018</v>
      </c>
      <c r="F5400" s="6">
        <v>80</v>
      </c>
      <c r="G5400" s="6">
        <f t="shared" si="270"/>
        <v>80</v>
      </c>
      <c r="H5400" s="6">
        <v>80</v>
      </c>
      <c r="I5400" s="26">
        <f t="shared" si="271"/>
        <v>0</v>
      </c>
      <c r="J5400" s="7" t="str">
        <f t="shared" si="272"/>
        <v>PAGADO</v>
      </c>
      <c r="K5400" s="33" t="s">
        <v>2712</v>
      </c>
    </row>
    <row r="5401" spans="1:11" x14ac:dyDescent="0.25">
      <c r="A5401"/>
      <c r="C5401" s="9" t="s">
        <v>5070</v>
      </c>
      <c r="D5401" s="9" t="s">
        <v>2018</v>
      </c>
      <c r="F5401" s="6">
        <v>20</v>
      </c>
      <c r="G5401" s="6">
        <f t="shared" si="270"/>
        <v>20</v>
      </c>
      <c r="H5401" s="6">
        <v>20</v>
      </c>
      <c r="I5401" s="26">
        <f t="shared" si="271"/>
        <v>0</v>
      </c>
      <c r="J5401" s="7" t="str">
        <f t="shared" si="272"/>
        <v>PAGADO</v>
      </c>
      <c r="K5401" s="33" t="s">
        <v>2712</v>
      </c>
    </row>
    <row r="5402" spans="1:11" x14ac:dyDescent="0.25">
      <c r="A5402"/>
      <c r="C5402" s="9" t="s">
        <v>5071</v>
      </c>
      <c r="D5402" s="9" t="s">
        <v>597</v>
      </c>
      <c r="F5402" s="6">
        <v>250</v>
      </c>
      <c r="G5402" s="6">
        <f t="shared" si="270"/>
        <v>250</v>
      </c>
      <c r="H5402" s="6">
        <v>250</v>
      </c>
      <c r="I5402" s="26">
        <f t="shared" si="271"/>
        <v>0</v>
      </c>
      <c r="J5402" s="7" t="str">
        <f t="shared" si="272"/>
        <v>PAGADO</v>
      </c>
      <c r="K5402" s="33" t="s">
        <v>2714</v>
      </c>
    </row>
    <row r="5403" spans="1:11" x14ac:dyDescent="0.25">
      <c r="A5403"/>
      <c r="C5403" s="14" t="s">
        <v>5072</v>
      </c>
      <c r="D5403" s="14" t="s">
        <v>597</v>
      </c>
      <c r="E5403" s="15"/>
      <c r="F5403" s="16">
        <v>140</v>
      </c>
      <c r="G5403" s="16">
        <f t="shared" si="270"/>
        <v>140</v>
      </c>
      <c r="H5403" s="16">
        <f>50+90</f>
        <v>140</v>
      </c>
      <c r="I5403" s="16">
        <f t="shared" si="271"/>
        <v>0</v>
      </c>
      <c r="J5403" s="17" t="str">
        <f t="shared" si="272"/>
        <v>PAGADO</v>
      </c>
      <c r="K5403" s="59" t="s">
        <v>2712</v>
      </c>
    </row>
    <row r="5404" spans="1:11" x14ac:dyDescent="0.25">
      <c r="A5404"/>
      <c r="C5404" s="9" t="s">
        <v>5073</v>
      </c>
      <c r="D5404" s="9" t="s">
        <v>4407</v>
      </c>
      <c r="F5404" s="6">
        <v>110</v>
      </c>
      <c r="G5404" s="6">
        <f t="shared" si="270"/>
        <v>110</v>
      </c>
      <c r="H5404" s="6">
        <v>110</v>
      </c>
      <c r="I5404" s="26">
        <f t="shared" si="271"/>
        <v>0</v>
      </c>
      <c r="J5404" s="7" t="str">
        <f t="shared" si="272"/>
        <v>PAGADO</v>
      </c>
    </row>
    <row r="5405" spans="1:11" x14ac:dyDescent="0.25">
      <c r="A5405"/>
      <c r="C5405" t="s">
        <v>5023</v>
      </c>
      <c r="D5405" s="9" t="s">
        <v>4875</v>
      </c>
      <c r="F5405" s="6">
        <v>70</v>
      </c>
      <c r="G5405" s="6">
        <f t="shared" si="270"/>
        <v>70</v>
      </c>
      <c r="H5405" s="6">
        <f>35+35</f>
        <v>70</v>
      </c>
      <c r="I5405" s="26">
        <f t="shared" si="271"/>
        <v>0</v>
      </c>
      <c r="J5405" s="7" t="str">
        <f t="shared" si="272"/>
        <v>PAGADO</v>
      </c>
      <c r="K5405" s="33" t="s">
        <v>3819</v>
      </c>
    </row>
    <row r="5406" spans="1:11" x14ac:dyDescent="0.25">
      <c r="A5406"/>
      <c r="C5406" t="s">
        <v>5074</v>
      </c>
      <c r="D5406" s="9" t="s">
        <v>4875</v>
      </c>
      <c r="F5406" s="6">
        <v>90</v>
      </c>
      <c r="G5406" s="6">
        <f t="shared" si="270"/>
        <v>90</v>
      </c>
      <c r="H5406" s="6">
        <f>30+60</f>
        <v>90</v>
      </c>
      <c r="I5406" s="26">
        <f t="shared" si="271"/>
        <v>0</v>
      </c>
      <c r="J5406" s="7" t="str">
        <f t="shared" si="272"/>
        <v>PAGADO</v>
      </c>
      <c r="K5406" s="33" t="s">
        <v>3819</v>
      </c>
    </row>
    <row r="5407" spans="1:11" x14ac:dyDescent="0.25">
      <c r="A5407"/>
      <c r="C5407" t="s">
        <v>5075</v>
      </c>
      <c r="D5407" s="9" t="s">
        <v>4875</v>
      </c>
      <c r="F5407" s="6">
        <v>80</v>
      </c>
      <c r="G5407" s="6">
        <f t="shared" si="270"/>
        <v>80</v>
      </c>
      <c r="H5407" s="6">
        <f>35+45</f>
        <v>80</v>
      </c>
      <c r="I5407" s="26">
        <f t="shared" si="271"/>
        <v>0</v>
      </c>
      <c r="J5407" s="7" t="str">
        <f t="shared" si="272"/>
        <v>PAGADO</v>
      </c>
      <c r="K5407" s="33" t="s">
        <v>3819</v>
      </c>
    </row>
    <row r="5408" spans="1:11" x14ac:dyDescent="0.25">
      <c r="A5408"/>
      <c r="C5408" t="s">
        <v>5076</v>
      </c>
      <c r="D5408" s="9" t="s">
        <v>4141</v>
      </c>
      <c r="F5408" s="6">
        <v>60</v>
      </c>
      <c r="G5408" s="6">
        <f t="shared" si="270"/>
        <v>60</v>
      </c>
      <c r="H5408" s="6">
        <v>60</v>
      </c>
      <c r="I5408" s="26">
        <f t="shared" si="271"/>
        <v>0</v>
      </c>
      <c r="J5408" s="7" t="str">
        <f t="shared" si="272"/>
        <v>PAGADO</v>
      </c>
      <c r="K5408" s="33" t="s">
        <v>2712</v>
      </c>
    </row>
    <row r="5409" spans="1:12" x14ac:dyDescent="0.25">
      <c r="A5409"/>
      <c r="C5409" s="9" t="s">
        <v>5077</v>
      </c>
      <c r="D5409" s="9" t="s">
        <v>2530</v>
      </c>
      <c r="F5409" s="6">
        <v>65</v>
      </c>
      <c r="G5409" s="6">
        <f t="shared" si="270"/>
        <v>65</v>
      </c>
      <c r="H5409" s="75">
        <v>65</v>
      </c>
      <c r="I5409" s="26">
        <f t="shared" si="271"/>
        <v>0</v>
      </c>
      <c r="J5409" s="7" t="str">
        <f t="shared" si="272"/>
        <v>PAGADO</v>
      </c>
      <c r="K5409" s="33" t="s">
        <v>2714</v>
      </c>
    </row>
    <row r="5410" spans="1:12" x14ac:dyDescent="0.25">
      <c r="A5410"/>
      <c r="C5410" s="9" t="s">
        <v>5078</v>
      </c>
      <c r="D5410" s="9" t="s">
        <v>1078</v>
      </c>
      <c r="F5410" s="6">
        <v>50</v>
      </c>
      <c r="G5410" s="6">
        <f t="shared" si="270"/>
        <v>50</v>
      </c>
      <c r="H5410" s="6">
        <v>50</v>
      </c>
      <c r="I5410" s="26">
        <f t="shared" si="271"/>
        <v>0</v>
      </c>
      <c r="J5410" s="7" t="str">
        <f t="shared" si="272"/>
        <v>PAGADO</v>
      </c>
    </row>
    <row r="5411" spans="1:12" x14ac:dyDescent="0.25">
      <c r="A5411"/>
      <c r="C5411" s="9" t="s">
        <v>4991</v>
      </c>
      <c r="D5411" s="9" t="s">
        <v>3980</v>
      </c>
      <c r="F5411" s="6">
        <v>80</v>
      </c>
      <c r="G5411" s="6">
        <f t="shared" si="270"/>
        <v>80</v>
      </c>
      <c r="H5411" s="6">
        <v>80</v>
      </c>
      <c r="I5411" s="26">
        <f t="shared" si="271"/>
        <v>0</v>
      </c>
      <c r="J5411" s="7" t="str">
        <f t="shared" si="272"/>
        <v>PAGADO</v>
      </c>
      <c r="K5411" s="9" t="s">
        <v>3819</v>
      </c>
    </row>
    <row r="5412" spans="1:12" x14ac:dyDescent="0.25">
      <c r="A5412"/>
      <c r="C5412" s="9" t="s">
        <v>5079</v>
      </c>
      <c r="D5412" s="9" t="s">
        <v>4665</v>
      </c>
      <c r="F5412" s="6">
        <v>15</v>
      </c>
      <c r="G5412" s="6">
        <f t="shared" si="270"/>
        <v>15</v>
      </c>
      <c r="H5412" s="6">
        <v>15</v>
      </c>
      <c r="I5412" s="26">
        <f t="shared" si="271"/>
        <v>0</v>
      </c>
      <c r="J5412" s="7" t="str">
        <f t="shared" si="272"/>
        <v>PAGADO</v>
      </c>
    </row>
    <row r="5413" spans="1:12" x14ac:dyDescent="0.25">
      <c r="A5413"/>
      <c r="C5413" s="9" t="s">
        <v>3056</v>
      </c>
      <c r="D5413" t="s">
        <v>5080</v>
      </c>
      <c r="F5413" s="6">
        <v>50</v>
      </c>
      <c r="G5413" s="6">
        <f t="shared" si="270"/>
        <v>50</v>
      </c>
      <c r="H5413" s="6">
        <v>50</v>
      </c>
      <c r="I5413" s="26">
        <f t="shared" si="271"/>
        <v>0</v>
      </c>
      <c r="J5413" s="7" t="str">
        <f t="shared" si="272"/>
        <v>PAGADO</v>
      </c>
    </row>
    <row r="5414" spans="1:12" x14ac:dyDescent="0.25">
      <c r="A5414"/>
      <c r="C5414" s="9" t="s">
        <v>5081</v>
      </c>
      <c r="D5414" t="s">
        <v>5082</v>
      </c>
      <c r="F5414" s="6">
        <v>65</v>
      </c>
      <c r="G5414" s="6">
        <f t="shared" si="270"/>
        <v>65</v>
      </c>
      <c r="H5414" s="6">
        <v>65</v>
      </c>
      <c r="I5414" s="26">
        <f t="shared" si="271"/>
        <v>0</v>
      </c>
      <c r="J5414" s="7" t="str">
        <f t="shared" si="272"/>
        <v>PAGADO</v>
      </c>
    </row>
    <row r="5415" spans="1:12" x14ac:dyDescent="0.25">
      <c r="A5415"/>
      <c r="C5415" s="9" t="s">
        <v>5083</v>
      </c>
      <c r="D5415" t="s">
        <v>5084</v>
      </c>
      <c r="F5415" s="6">
        <v>90</v>
      </c>
      <c r="G5415" s="6">
        <f t="shared" si="270"/>
        <v>90</v>
      </c>
      <c r="H5415" s="6">
        <v>90</v>
      </c>
      <c r="I5415" s="26">
        <f t="shared" si="271"/>
        <v>0</v>
      </c>
      <c r="J5415" s="7" t="str">
        <f t="shared" si="272"/>
        <v>PAGADO</v>
      </c>
    </row>
    <row r="5416" spans="1:12" x14ac:dyDescent="0.25">
      <c r="A5416"/>
      <c r="C5416" s="9" t="s">
        <v>5085</v>
      </c>
      <c r="D5416" s="9" t="s">
        <v>5086</v>
      </c>
      <c r="F5416" s="6">
        <v>65</v>
      </c>
      <c r="G5416" s="6">
        <f t="shared" si="270"/>
        <v>65</v>
      </c>
      <c r="H5416" s="6">
        <v>65</v>
      </c>
      <c r="I5416" s="26">
        <f t="shared" si="271"/>
        <v>0</v>
      </c>
      <c r="J5416" s="7" t="str">
        <f t="shared" si="272"/>
        <v>PAGADO</v>
      </c>
    </row>
    <row r="5417" spans="1:12" x14ac:dyDescent="0.25">
      <c r="A5417"/>
      <c r="C5417" s="9" t="s">
        <v>5087</v>
      </c>
      <c r="D5417" s="9" t="s">
        <v>5088</v>
      </c>
      <c r="F5417" s="6">
        <v>150</v>
      </c>
      <c r="G5417" s="6">
        <f t="shared" si="270"/>
        <v>150</v>
      </c>
      <c r="H5417" s="6">
        <f>10+10</f>
        <v>20</v>
      </c>
      <c r="I5417" s="26">
        <f t="shared" si="271"/>
        <v>130</v>
      </c>
      <c r="J5417" s="7" t="str">
        <f t="shared" si="272"/>
        <v>DEBE</v>
      </c>
    </row>
    <row r="5418" spans="1:12" x14ac:dyDescent="0.25">
      <c r="A5418"/>
      <c r="C5418" s="9" t="s">
        <v>5089</v>
      </c>
      <c r="D5418" s="9" t="s">
        <v>3352</v>
      </c>
      <c r="F5418" s="6">
        <v>95</v>
      </c>
      <c r="G5418" s="6">
        <f t="shared" si="270"/>
        <v>95</v>
      </c>
      <c r="H5418" s="6">
        <v>95</v>
      </c>
      <c r="I5418" s="16">
        <f t="shared" si="271"/>
        <v>0</v>
      </c>
      <c r="J5418" s="7" t="str">
        <f t="shared" si="272"/>
        <v>PAGADO</v>
      </c>
      <c r="K5418" t="s">
        <v>2714</v>
      </c>
    </row>
    <row r="5419" spans="1:12" x14ac:dyDescent="0.25">
      <c r="A5419"/>
      <c r="C5419" s="9" t="s">
        <v>5090</v>
      </c>
      <c r="D5419" s="9" t="s">
        <v>3352</v>
      </c>
      <c r="F5419" s="6">
        <v>55</v>
      </c>
      <c r="G5419" s="6">
        <f t="shared" si="270"/>
        <v>55</v>
      </c>
      <c r="H5419" s="6">
        <v>55</v>
      </c>
      <c r="I5419" s="16">
        <f t="shared" si="271"/>
        <v>0</v>
      </c>
      <c r="J5419" s="7" t="str">
        <f t="shared" si="272"/>
        <v>PAGADO</v>
      </c>
      <c r="K5419" t="s">
        <v>2714</v>
      </c>
    </row>
    <row r="5420" spans="1:12" x14ac:dyDescent="0.25">
      <c r="A5420"/>
      <c r="C5420" s="9" t="s">
        <v>5091</v>
      </c>
      <c r="D5420" s="9" t="s">
        <v>3352</v>
      </c>
      <c r="F5420" s="6">
        <v>40</v>
      </c>
      <c r="G5420" s="6">
        <f t="shared" si="270"/>
        <v>40</v>
      </c>
      <c r="H5420" s="6">
        <v>40</v>
      </c>
      <c r="I5420" s="16">
        <f t="shared" si="271"/>
        <v>0</v>
      </c>
      <c r="J5420" s="7" t="str">
        <f t="shared" si="272"/>
        <v>PAGADO</v>
      </c>
      <c r="K5420" t="s">
        <v>2714</v>
      </c>
    </row>
    <row r="5421" spans="1:12" x14ac:dyDescent="0.25">
      <c r="A5421"/>
      <c r="C5421" s="9" t="s">
        <v>3631</v>
      </c>
      <c r="D5421" s="9" t="s">
        <v>3352</v>
      </c>
      <c r="F5421" s="6">
        <v>50</v>
      </c>
      <c r="G5421" s="6">
        <f t="shared" si="270"/>
        <v>50</v>
      </c>
      <c r="H5421" s="6">
        <v>50</v>
      </c>
      <c r="I5421" s="16">
        <f t="shared" si="271"/>
        <v>0</v>
      </c>
      <c r="J5421" s="7" t="str">
        <f t="shared" si="272"/>
        <v>PAGADO</v>
      </c>
      <c r="K5421" t="s">
        <v>2714</v>
      </c>
    </row>
    <row r="5422" spans="1:12" x14ac:dyDescent="0.25">
      <c r="A5422"/>
      <c r="C5422" s="41" t="s">
        <v>5011</v>
      </c>
      <c r="D5422" s="41" t="s">
        <v>4587</v>
      </c>
      <c r="E5422" s="87"/>
      <c r="F5422" s="58">
        <v>80</v>
      </c>
      <c r="G5422" s="58">
        <f t="shared" si="270"/>
        <v>80</v>
      </c>
      <c r="H5422" s="58">
        <f>40+40</f>
        <v>80</v>
      </c>
      <c r="I5422" s="58">
        <f t="shared" si="271"/>
        <v>0</v>
      </c>
      <c r="J5422" s="88" t="str">
        <f t="shared" si="272"/>
        <v>PAGADO</v>
      </c>
      <c r="K5422" s="56" t="s">
        <v>3506</v>
      </c>
      <c r="L5422" s="41"/>
    </row>
    <row r="5423" spans="1:12" x14ac:dyDescent="0.25">
      <c r="A5423"/>
      <c r="C5423" s="9" t="s">
        <v>5092</v>
      </c>
      <c r="D5423" s="9" t="s">
        <v>3352</v>
      </c>
      <c r="F5423" s="6">
        <v>60</v>
      </c>
      <c r="G5423" s="6">
        <f t="shared" si="270"/>
        <v>60</v>
      </c>
      <c r="H5423" s="6">
        <v>60</v>
      </c>
      <c r="I5423" s="16">
        <f t="shared" si="271"/>
        <v>0</v>
      </c>
      <c r="J5423" s="7" t="str">
        <f t="shared" si="272"/>
        <v>PAGADO</v>
      </c>
      <c r="K5423" t="s">
        <v>2714</v>
      </c>
    </row>
    <row r="5424" spans="1:12" x14ac:dyDescent="0.25">
      <c r="A5424"/>
      <c r="C5424" s="9" t="s">
        <v>5093</v>
      </c>
      <c r="D5424" s="9" t="s">
        <v>3376</v>
      </c>
      <c r="F5424" s="6">
        <v>70</v>
      </c>
      <c r="G5424" s="6">
        <f t="shared" si="270"/>
        <v>70</v>
      </c>
      <c r="H5424" s="6">
        <f>35+35</f>
        <v>70</v>
      </c>
      <c r="I5424" s="26">
        <f t="shared" si="271"/>
        <v>0</v>
      </c>
      <c r="J5424" s="7" t="str">
        <f t="shared" si="272"/>
        <v>PAGADO</v>
      </c>
      <c r="K5424" s="33" t="s">
        <v>3819</v>
      </c>
    </row>
    <row r="5425" spans="1:11" x14ac:dyDescent="0.25">
      <c r="A5425"/>
      <c r="C5425" s="9" t="s">
        <v>1603</v>
      </c>
      <c r="D5425" s="9" t="s">
        <v>2548</v>
      </c>
      <c r="F5425" s="6">
        <v>65</v>
      </c>
      <c r="G5425" s="6">
        <f t="shared" si="270"/>
        <v>65</v>
      </c>
      <c r="H5425" s="6">
        <v>65</v>
      </c>
      <c r="I5425" s="48">
        <f t="shared" si="271"/>
        <v>0</v>
      </c>
      <c r="J5425" s="7" t="str">
        <f t="shared" si="272"/>
        <v>PAGADO</v>
      </c>
      <c r="K5425" s="33" t="s">
        <v>3506</v>
      </c>
    </row>
    <row r="5426" spans="1:11" x14ac:dyDescent="0.25">
      <c r="A5426"/>
      <c r="C5426" s="9" t="s">
        <v>5094</v>
      </c>
      <c r="D5426" s="9" t="s">
        <v>67</v>
      </c>
      <c r="F5426" s="6">
        <v>65</v>
      </c>
      <c r="G5426" s="6">
        <f t="shared" si="270"/>
        <v>65</v>
      </c>
      <c r="H5426" s="6">
        <f>32.5+32.5</f>
        <v>65</v>
      </c>
      <c r="I5426" s="26">
        <f t="shared" si="271"/>
        <v>0</v>
      </c>
      <c r="J5426" s="7" t="str">
        <f t="shared" si="272"/>
        <v>PAGADO</v>
      </c>
      <c r="K5426" s="33" t="s">
        <v>3819</v>
      </c>
    </row>
    <row r="5427" spans="1:11" x14ac:dyDescent="0.25">
      <c r="A5427"/>
      <c r="C5427" s="9" t="s">
        <v>5095</v>
      </c>
      <c r="D5427" s="9" t="s">
        <v>2363</v>
      </c>
      <c r="F5427" s="6">
        <v>35</v>
      </c>
      <c r="G5427" s="6">
        <f t="shared" si="270"/>
        <v>35</v>
      </c>
      <c r="H5427" s="39">
        <v>35</v>
      </c>
      <c r="I5427" s="26">
        <f t="shared" si="271"/>
        <v>0</v>
      </c>
      <c r="J5427" s="7" t="str">
        <f t="shared" si="272"/>
        <v>PAGADO</v>
      </c>
      <c r="K5427" s="33" t="s">
        <v>693</v>
      </c>
    </row>
    <row r="5428" spans="1:11" x14ac:dyDescent="0.25">
      <c r="A5428"/>
      <c r="C5428" s="9" t="s">
        <v>5096</v>
      </c>
      <c r="D5428" s="9" t="s">
        <v>2363</v>
      </c>
      <c r="F5428" s="6">
        <v>80</v>
      </c>
      <c r="G5428" s="6">
        <f t="shared" si="270"/>
        <v>80</v>
      </c>
      <c r="H5428" s="39">
        <v>80</v>
      </c>
      <c r="I5428" s="26">
        <f t="shared" si="271"/>
        <v>0</v>
      </c>
      <c r="J5428" s="7" t="str">
        <f t="shared" si="272"/>
        <v>PAGADO</v>
      </c>
      <c r="K5428" s="33" t="s">
        <v>693</v>
      </c>
    </row>
    <row r="5429" spans="1:11" x14ac:dyDescent="0.25">
      <c r="A5429"/>
      <c r="C5429" s="9" t="s">
        <v>5097</v>
      </c>
      <c r="D5429" s="9" t="s">
        <v>2363</v>
      </c>
      <c r="F5429" s="6">
        <v>12</v>
      </c>
      <c r="G5429" s="6">
        <f t="shared" si="270"/>
        <v>12</v>
      </c>
      <c r="H5429" s="39">
        <v>12</v>
      </c>
      <c r="I5429" s="26">
        <f t="shared" si="271"/>
        <v>0</v>
      </c>
      <c r="J5429" s="7" t="str">
        <f t="shared" si="272"/>
        <v>PAGADO</v>
      </c>
      <c r="K5429" s="33" t="s">
        <v>693</v>
      </c>
    </row>
    <row r="5430" spans="1:11" x14ac:dyDescent="0.25">
      <c r="A5430"/>
      <c r="B5430" s="91"/>
      <c r="C5430" s="14" t="s">
        <v>4335</v>
      </c>
      <c r="D5430" s="92" t="s">
        <v>1510</v>
      </c>
      <c r="E5430" s="93"/>
      <c r="F5430" s="94">
        <v>60</v>
      </c>
      <c r="G5430" s="94">
        <f t="shared" si="270"/>
        <v>60</v>
      </c>
      <c r="H5430" s="94">
        <f>30+30</f>
        <v>60</v>
      </c>
      <c r="I5430" s="94">
        <f t="shared" si="271"/>
        <v>0</v>
      </c>
      <c r="J5430" s="95" t="str">
        <f t="shared" si="272"/>
        <v>PAGADO</v>
      </c>
      <c r="K5430" s="33" t="s">
        <v>3506</v>
      </c>
    </row>
    <row r="5431" spans="1:11" x14ac:dyDescent="0.25">
      <c r="A5431"/>
      <c r="C5431" s="9" t="s">
        <v>5098</v>
      </c>
      <c r="D5431" s="9" t="s">
        <v>1510</v>
      </c>
      <c r="F5431" s="6">
        <v>130</v>
      </c>
      <c r="G5431" s="6">
        <f t="shared" si="270"/>
        <v>130</v>
      </c>
      <c r="H5431" s="6">
        <f>65+65</f>
        <v>130</v>
      </c>
      <c r="I5431" s="26">
        <f t="shared" si="271"/>
        <v>0</v>
      </c>
      <c r="J5431" s="7" t="str">
        <f t="shared" si="272"/>
        <v>PAGADO</v>
      </c>
      <c r="K5431" s="33" t="s">
        <v>3506</v>
      </c>
    </row>
    <row r="5432" spans="1:11" x14ac:dyDescent="0.25">
      <c r="A5432"/>
      <c r="C5432" s="9" t="s">
        <v>4778</v>
      </c>
      <c r="D5432" s="9" t="s">
        <v>1510</v>
      </c>
      <c r="F5432" s="6">
        <v>60</v>
      </c>
      <c r="G5432" s="6">
        <f t="shared" si="270"/>
        <v>60</v>
      </c>
      <c r="H5432" s="6">
        <f>30+30</f>
        <v>60</v>
      </c>
      <c r="I5432" s="16">
        <f t="shared" si="271"/>
        <v>0</v>
      </c>
      <c r="J5432" s="7" t="str">
        <f t="shared" si="272"/>
        <v>PAGADO</v>
      </c>
      <c r="K5432" s="33" t="s">
        <v>3506</v>
      </c>
    </row>
    <row r="5433" spans="1:11" x14ac:dyDescent="0.25">
      <c r="A5433"/>
      <c r="C5433" s="9" t="s">
        <v>5099</v>
      </c>
      <c r="D5433" s="9" t="s">
        <v>1510</v>
      </c>
      <c r="F5433" s="6">
        <v>60</v>
      </c>
      <c r="G5433" s="6">
        <f t="shared" si="270"/>
        <v>60</v>
      </c>
      <c r="H5433" s="6">
        <f>30+30</f>
        <v>60</v>
      </c>
      <c r="I5433" s="16">
        <f t="shared" si="271"/>
        <v>0</v>
      </c>
      <c r="J5433" s="7" t="str">
        <f t="shared" si="272"/>
        <v>PAGADO</v>
      </c>
      <c r="K5433" s="33" t="s">
        <v>3506</v>
      </c>
    </row>
    <row r="5434" spans="1:11" x14ac:dyDescent="0.25">
      <c r="A5434"/>
      <c r="C5434" s="9" t="s">
        <v>5100</v>
      </c>
      <c r="D5434" s="9" t="s">
        <v>1510</v>
      </c>
      <c r="F5434" s="6">
        <v>60</v>
      </c>
      <c r="G5434" s="6">
        <f t="shared" si="270"/>
        <v>60</v>
      </c>
      <c r="H5434" s="6">
        <f>30+30</f>
        <v>60</v>
      </c>
      <c r="I5434" s="26">
        <f t="shared" si="271"/>
        <v>0</v>
      </c>
      <c r="J5434" s="7" t="str">
        <f t="shared" si="272"/>
        <v>PAGADO</v>
      </c>
      <c r="K5434" s="33" t="s">
        <v>3506</v>
      </c>
    </row>
    <row r="5435" spans="1:11" x14ac:dyDescent="0.25">
      <c r="A5435"/>
      <c r="C5435" s="9" t="s">
        <v>4656</v>
      </c>
      <c r="D5435" s="9" t="s">
        <v>1510</v>
      </c>
      <c r="F5435" s="6">
        <v>80</v>
      </c>
      <c r="G5435" s="6">
        <f t="shared" si="270"/>
        <v>80</v>
      </c>
      <c r="H5435" s="6">
        <f>40+40</f>
        <v>80</v>
      </c>
      <c r="I5435" s="26">
        <f t="shared" si="271"/>
        <v>0</v>
      </c>
      <c r="J5435" s="7" t="str">
        <f t="shared" si="272"/>
        <v>PAGADO</v>
      </c>
      <c r="K5435" s="33" t="s">
        <v>3506</v>
      </c>
    </row>
    <row r="5436" spans="1:11" x14ac:dyDescent="0.25">
      <c r="A5436"/>
      <c r="C5436" s="9" t="s">
        <v>4343</v>
      </c>
      <c r="D5436" s="9" t="s">
        <v>1510</v>
      </c>
      <c r="F5436" s="6">
        <v>90</v>
      </c>
      <c r="G5436" s="6">
        <f t="shared" si="270"/>
        <v>90</v>
      </c>
      <c r="H5436" s="6">
        <f>45+45</f>
        <v>90</v>
      </c>
      <c r="I5436" s="26">
        <f t="shared" si="271"/>
        <v>0</v>
      </c>
      <c r="J5436" s="7" t="str">
        <f t="shared" si="272"/>
        <v>PAGADO</v>
      </c>
      <c r="K5436" s="33" t="s">
        <v>3506</v>
      </c>
    </row>
    <row r="5437" spans="1:11" x14ac:dyDescent="0.25">
      <c r="A5437"/>
      <c r="C5437" s="9" t="s">
        <v>4023</v>
      </c>
      <c r="D5437" s="9" t="s">
        <v>1510</v>
      </c>
      <c r="F5437" s="6">
        <v>100</v>
      </c>
      <c r="G5437" s="6">
        <f t="shared" si="270"/>
        <v>100</v>
      </c>
      <c r="H5437" s="6">
        <f>50+50</f>
        <v>100</v>
      </c>
      <c r="I5437" s="26">
        <f t="shared" si="271"/>
        <v>0</v>
      </c>
      <c r="J5437" s="7" t="str">
        <f t="shared" si="272"/>
        <v>PAGADO</v>
      </c>
      <c r="K5437" s="33" t="s">
        <v>3506</v>
      </c>
    </row>
    <row r="5438" spans="1:11" x14ac:dyDescent="0.25">
      <c r="A5438"/>
      <c r="C5438" s="9" t="s">
        <v>4344</v>
      </c>
      <c r="D5438" s="9" t="s">
        <v>1510</v>
      </c>
      <c r="F5438" s="6">
        <v>90</v>
      </c>
      <c r="G5438" s="6">
        <f t="shared" ref="G5438:G5501" si="273">F5438-E5438</f>
        <v>90</v>
      </c>
      <c r="H5438" s="6">
        <f>45+45</f>
        <v>90</v>
      </c>
      <c r="I5438" s="26">
        <f t="shared" si="271"/>
        <v>0</v>
      </c>
      <c r="J5438" s="7" t="str">
        <f t="shared" si="272"/>
        <v>PAGADO</v>
      </c>
      <c r="K5438" s="33" t="s">
        <v>3506</v>
      </c>
    </row>
    <row r="5439" spans="1:11" x14ac:dyDescent="0.25">
      <c r="A5439"/>
      <c r="C5439" s="9" t="s">
        <v>5011</v>
      </c>
      <c r="D5439" s="9" t="s">
        <v>1510</v>
      </c>
      <c r="F5439" s="6">
        <v>80</v>
      </c>
      <c r="G5439" s="6">
        <f t="shared" si="273"/>
        <v>80</v>
      </c>
      <c r="H5439" s="6">
        <f>40+40</f>
        <v>80</v>
      </c>
      <c r="I5439" s="26">
        <f t="shared" si="271"/>
        <v>0</v>
      </c>
      <c r="J5439" s="7" t="str">
        <f t="shared" si="272"/>
        <v>PAGADO</v>
      </c>
      <c r="K5439" s="33" t="s">
        <v>3506</v>
      </c>
    </row>
    <row r="5440" spans="1:11" x14ac:dyDescent="0.25">
      <c r="A5440"/>
      <c r="C5440" s="9" t="s">
        <v>5101</v>
      </c>
      <c r="D5440" s="9" t="s">
        <v>1510</v>
      </c>
      <c r="F5440" s="6">
        <v>80</v>
      </c>
      <c r="G5440" s="6">
        <f t="shared" si="273"/>
        <v>80</v>
      </c>
      <c r="H5440" s="6">
        <f>40+40</f>
        <v>80</v>
      </c>
      <c r="I5440" s="26">
        <f t="shared" si="271"/>
        <v>0</v>
      </c>
      <c r="J5440" s="7" t="str">
        <f t="shared" si="272"/>
        <v>PAGADO</v>
      </c>
      <c r="K5440" s="33" t="s">
        <v>3506</v>
      </c>
    </row>
    <row r="5441" spans="1:11" x14ac:dyDescent="0.25">
      <c r="A5441"/>
      <c r="C5441" s="9" t="s">
        <v>4244</v>
      </c>
      <c r="D5441" s="9" t="s">
        <v>1510</v>
      </c>
      <c r="F5441" s="6">
        <v>80</v>
      </c>
      <c r="G5441" s="6">
        <f t="shared" si="273"/>
        <v>80</v>
      </c>
      <c r="H5441" s="26">
        <f>40+40</f>
        <v>80</v>
      </c>
      <c r="I5441" s="26">
        <f t="shared" si="271"/>
        <v>0</v>
      </c>
      <c r="J5441" s="7" t="str">
        <f t="shared" si="272"/>
        <v>PAGADO</v>
      </c>
      <c r="K5441" s="33" t="s">
        <v>3506</v>
      </c>
    </row>
    <row r="5442" spans="1:11" x14ac:dyDescent="0.25">
      <c r="A5442"/>
      <c r="C5442" s="9" t="s">
        <v>5102</v>
      </c>
      <c r="D5442" s="9" t="s">
        <v>1510</v>
      </c>
      <c r="F5442" s="6">
        <v>45</v>
      </c>
      <c r="G5442" s="6">
        <f t="shared" si="273"/>
        <v>45</v>
      </c>
      <c r="H5442" s="26">
        <f>22.5+22.5</f>
        <v>45</v>
      </c>
      <c r="I5442" s="26">
        <f t="shared" si="271"/>
        <v>0</v>
      </c>
      <c r="J5442" s="7" t="str">
        <f t="shared" si="272"/>
        <v>PAGADO</v>
      </c>
      <c r="K5442" s="33" t="s">
        <v>3506</v>
      </c>
    </row>
    <row r="5443" spans="1:11" x14ac:dyDescent="0.25">
      <c r="A5443"/>
      <c r="C5443" s="9" t="s">
        <v>5103</v>
      </c>
      <c r="D5443" s="9" t="s">
        <v>1510</v>
      </c>
      <c r="F5443" s="6">
        <v>120</v>
      </c>
      <c r="G5443" s="6">
        <f t="shared" si="273"/>
        <v>120</v>
      </c>
      <c r="H5443" s="26">
        <f>60+60</f>
        <v>120</v>
      </c>
      <c r="I5443" s="26">
        <f t="shared" si="271"/>
        <v>0</v>
      </c>
      <c r="J5443" s="7" t="str">
        <f t="shared" si="272"/>
        <v>PAGADO</v>
      </c>
      <c r="K5443" s="33" t="s">
        <v>3506</v>
      </c>
    </row>
    <row r="5444" spans="1:11" x14ac:dyDescent="0.25">
      <c r="A5444"/>
      <c r="C5444" s="9" t="s">
        <v>5104</v>
      </c>
      <c r="D5444" s="9" t="s">
        <v>1510</v>
      </c>
      <c r="F5444" s="26">
        <v>240</v>
      </c>
      <c r="G5444" s="26">
        <f t="shared" si="273"/>
        <v>240</v>
      </c>
      <c r="H5444" s="26">
        <f>120+120</f>
        <v>240</v>
      </c>
      <c r="I5444" s="26">
        <f t="shared" si="271"/>
        <v>0</v>
      </c>
      <c r="J5444" s="7" t="str">
        <f t="shared" si="272"/>
        <v>PAGADO</v>
      </c>
      <c r="K5444" s="33" t="s">
        <v>2712</v>
      </c>
    </row>
    <row r="5445" spans="1:11" x14ac:dyDescent="0.25">
      <c r="A5445"/>
      <c r="C5445" s="9" t="s">
        <v>5105</v>
      </c>
      <c r="D5445" s="9" t="s">
        <v>1510</v>
      </c>
      <c r="F5445" s="26">
        <v>60</v>
      </c>
      <c r="G5445" s="26">
        <f t="shared" si="273"/>
        <v>60</v>
      </c>
      <c r="H5445" s="26">
        <f>30+30</f>
        <v>60</v>
      </c>
      <c r="I5445" s="26">
        <f t="shared" si="271"/>
        <v>0</v>
      </c>
      <c r="J5445" s="7" t="str">
        <f t="shared" si="272"/>
        <v>PAGADO</v>
      </c>
      <c r="K5445" s="33" t="s">
        <v>2712</v>
      </c>
    </row>
    <row r="5446" spans="1:11" x14ac:dyDescent="0.25">
      <c r="A5446"/>
      <c r="C5446" s="9" t="s">
        <v>5106</v>
      </c>
      <c r="D5446" s="9" t="s">
        <v>1510</v>
      </c>
      <c r="F5446" s="26">
        <v>50</v>
      </c>
      <c r="G5446" s="26">
        <f t="shared" si="273"/>
        <v>50</v>
      </c>
      <c r="H5446" s="26">
        <f>25+25</f>
        <v>50</v>
      </c>
      <c r="I5446" s="26">
        <f t="shared" si="271"/>
        <v>0</v>
      </c>
      <c r="J5446" s="7" t="str">
        <f t="shared" si="272"/>
        <v>PAGADO</v>
      </c>
      <c r="K5446" s="33" t="s">
        <v>2712</v>
      </c>
    </row>
    <row r="5447" spans="1:11" x14ac:dyDescent="0.25">
      <c r="A5447"/>
      <c r="C5447" s="9" t="s">
        <v>5107</v>
      </c>
      <c r="D5447" s="9" t="s">
        <v>1510</v>
      </c>
      <c r="F5447" s="26">
        <v>60</v>
      </c>
      <c r="G5447" s="26">
        <f t="shared" si="273"/>
        <v>60</v>
      </c>
      <c r="H5447" s="26">
        <f>30+30</f>
        <v>60</v>
      </c>
      <c r="I5447" s="26">
        <f t="shared" si="271"/>
        <v>0</v>
      </c>
      <c r="J5447" s="7" t="str">
        <f t="shared" si="272"/>
        <v>PAGADO</v>
      </c>
      <c r="K5447" s="33" t="s">
        <v>2712</v>
      </c>
    </row>
    <row r="5448" spans="1:11" x14ac:dyDescent="0.25">
      <c r="A5448"/>
      <c r="C5448" s="9" t="s">
        <v>5108</v>
      </c>
      <c r="D5448" s="9" t="s">
        <v>1510</v>
      </c>
      <c r="F5448" s="26">
        <v>50</v>
      </c>
      <c r="G5448" s="26">
        <f t="shared" si="273"/>
        <v>50</v>
      </c>
      <c r="H5448" s="26">
        <f>25+25</f>
        <v>50</v>
      </c>
      <c r="I5448" s="26">
        <f t="shared" si="271"/>
        <v>0</v>
      </c>
      <c r="J5448" s="7" t="str">
        <f t="shared" si="272"/>
        <v>PAGADO</v>
      </c>
      <c r="K5448" s="33" t="s">
        <v>2712</v>
      </c>
    </row>
    <row r="5449" spans="1:11" x14ac:dyDescent="0.25">
      <c r="A5449"/>
      <c r="C5449" s="9" t="s">
        <v>5109</v>
      </c>
      <c r="D5449" s="9" t="s">
        <v>1510</v>
      </c>
      <c r="F5449" s="26">
        <f>90*4</f>
        <v>360</v>
      </c>
      <c r="G5449" s="26">
        <f t="shared" si="273"/>
        <v>360</v>
      </c>
      <c r="H5449" s="26">
        <f>180+180</f>
        <v>360</v>
      </c>
      <c r="I5449" s="26">
        <f t="shared" si="271"/>
        <v>0</v>
      </c>
      <c r="J5449" s="7" t="str">
        <f t="shared" si="272"/>
        <v>PAGADO</v>
      </c>
      <c r="K5449" s="33" t="s">
        <v>2712</v>
      </c>
    </row>
    <row r="5450" spans="1:11" x14ac:dyDescent="0.25">
      <c r="A5450"/>
      <c r="C5450" s="9" t="s">
        <v>5110</v>
      </c>
      <c r="D5450" s="9" t="s">
        <v>1510</v>
      </c>
      <c r="F5450" s="26">
        <v>65</v>
      </c>
      <c r="G5450" s="26">
        <f t="shared" si="273"/>
        <v>65</v>
      </c>
      <c r="H5450" s="26">
        <f>32.5+32.5</f>
        <v>65</v>
      </c>
      <c r="I5450" s="26">
        <f t="shared" si="271"/>
        <v>0</v>
      </c>
      <c r="J5450" s="7" t="str">
        <f t="shared" si="272"/>
        <v>PAGADO</v>
      </c>
      <c r="K5450" s="33" t="s">
        <v>2712</v>
      </c>
    </row>
    <row r="5451" spans="1:11" x14ac:dyDescent="0.25">
      <c r="A5451"/>
      <c r="C5451" s="9" t="s">
        <v>5111</v>
      </c>
      <c r="D5451" s="9" t="s">
        <v>1510</v>
      </c>
      <c r="F5451" s="26">
        <v>60</v>
      </c>
      <c r="G5451" s="26">
        <f t="shared" si="273"/>
        <v>60</v>
      </c>
      <c r="H5451" s="26">
        <f>30+30</f>
        <v>60</v>
      </c>
      <c r="I5451" s="26">
        <f t="shared" ref="I5451:I5514" si="274">F5451-H5451</f>
        <v>0</v>
      </c>
      <c r="J5451" s="7" t="str">
        <f t="shared" si="272"/>
        <v>PAGADO</v>
      </c>
      <c r="K5451" s="33" t="s">
        <v>2712</v>
      </c>
    </row>
    <row r="5452" spans="1:11" x14ac:dyDescent="0.25">
      <c r="A5452"/>
      <c r="C5452" s="9" t="s">
        <v>2254</v>
      </c>
      <c r="D5452" s="9" t="s">
        <v>1510</v>
      </c>
      <c r="F5452" s="26">
        <v>80</v>
      </c>
      <c r="G5452" s="26">
        <f t="shared" si="273"/>
        <v>80</v>
      </c>
      <c r="H5452" s="26">
        <f>40+40</f>
        <v>80</v>
      </c>
      <c r="I5452" s="26">
        <f t="shared" si="274"/>
        <v>0</v>
      </c>
      <c r="J5452" s="7" t="str">
        <f t="shared" si="272"/>
        <v>PAGADO</v>
      </c>
      <c r="K5452" s="33" t="s">
        <v>2712</v>
      </c>
    </row>
    <row r="5453" spans="1:11" x14ac:dyDescent="0.25">
      <c r="A5453"/>
      <c r="C5453" s="9" t="s">
        <v>5112</v>
      </c>
      <c r="D5453" s="9" t="s">
        <v>1510</v>
      </c>
      <c r="F5453" s="6">
        <f>70*4</f>
        <v>280</v>
      </c>
      <c r="G5453" s="6">
        <f t="shared" si="273"/>
        <v>280</v>
      </c>
      <c r="H5453" s="6">
        <v>280</v>
      </c>
      <c r="I5453" s="26">
        <f t="shared" si="274"/>
        <v>0</v>
      </c>
      <c r="J5453" s="7" t="str">
        <f t="shared" si="272"/>
        <v>PAGADO</v>
      </c>
      <c r="K5453" s="33" t="s">
        <v>3819</v>
      </c>
    </row>
    <row r="5454" spans="1:11" x14ac:dyDescent="0.25">
      <c r="A5454"/>
      <c r="C5454" s="9" t="s">
        <v>5113</v>
      </c>
      <c r="D5454" s="9" t="s">
        <v>1510</v>
      </c>
      <c r="F5454" s="6">
        <f>90*4</f>
        <v>360</v>
      </c>
      <c r="G5454" s="6">
        <f t="shared" si="273"/>
        <v>360</v>
      </c>
      <c r="H5454" s="26">
        <v>360</v>
      </c>
      <c r="I5454" s="26">
        <f t="shared" si="274"/>
        <v>0</v>
      </c>
      <c r="J5454" s="7" t="str">
        <f t="shared" si="272"/>
        <v>PAGADO</v>
      </c>
      <c r="K5454" s="33" t="s">
        <v>3819</v>
      </c>
    </row>
    <row r="5455" spans="1:11" x14ac:dyDescent="0.25">
      <c r="A5455"/>
      <c r="C5455" s="9" t="s">
        <v>4986</v>
      </c>
      <c r="D5455" s="9" t="s">
        <v>1510</v>
      </c>
      <c r="F5455" s="6">
        <v>80</v>
      </c>
      <c r="G5455" s="6">
        <f t="shared" si="273"/>
        <v>80</v>
      </c>
      <c r="H5455" s="26">
        <v>80</v>
      </c>
      <c r="I5455" s="26">
        <f t="shared" si="274"/>
        <v>0</v>
      </c>
      <c r="J5455" s="7" t="str">
        <f t="shared" ref="J5455:J5518" si="275">IF(I5455&gt;0,"DEBE","PAGADO")</f>
        <v>PAGADO</v>
      </c>
      <c r="K5455" s="33" t="s">
        <v>3819</v>
      </c>
    </row>
    <row r="5456" spans="1:11" x14ac:dyDescent="0.25">
      <c r="A5456"/>
      <c r="C5456" s="9" t="s">
        <v>5114</v>
      </c>
      <c r="D5456" s="9" t="s">
        <v>1510</v>
      </c>
      <c r="F5456" s="6">
        <v>70</v>
      </c>
      <c r="G5456" s="6">
        <f t="shared" si="273"/>
        <v>70</v>
      </c>
      <c r="H5456" s="26">
        <v>70</v>
      </c>
      <c r="I5456" s="26">
        <f t="shared" si="274"/>
        <v>0</v>
      </c>
      <c r="J5456" s="7" t="str">
        <f t="shared" si="275"/>
        <v>PAGADO</v>
      </c>
      <c r="K5456" s="33" t="s">
        <v>3819</v>
      </c>
    </row>
    <row r="5457" spans="1:11" x14ac:dyDescent="0.25">
      <c r="A5457"/>
      <c r="C5457" s="9" t="s">
        <v>5115</v>
      </c>
      <c r="D5457" s="9" t="s">
        <v>3370</v>
      </c>
      <c r="F5457" s="6">
        <v>60</v>
      </c>
      <c r="G5457" s="6">
        <f t="shared" si="273"/>
        <v>60</v>
      </c>
      <c r="H5457" s="6">
        <v>60</v>
      </c>
      <c r="I5457" s="26">
        <f t="shared" si="274"/>
        <v>0</v>
      </c>
      <c r="J5457" s="7" t="str">
        <f t="shared" si="275"/>
        <v>PAGADO</v>
      </c>
    </row>
    <row r="5458" spans="1:11" x14ac:dyDescent="0.25">
      <c r="A5458"/>
      <c r="C5458" s="9" t="s">
        <v>5034</v>
      </c>
      <c r="D5458" s="9" t="s">
        <v>597</v>
      </c>
      <c r="F5458" s="6">
        <v>70</v>
      </c>
      <c r="G5458" s="6">
        <f t="shared" si="273"/>
        <v>70</v>
      </c>
      <c r="H5458" s="6">
        <v>70</v>
      </c>
      <c r="I5458" s="26">
        <f t="shared" si="274"/>
        <v>0</v>
      </c>
      <c r="J5458" s="7" t="str">
        <f t="shared" si="275"/>
        <v>PAGADO</v>
      </c>
      <c r="K5458" s="33" t="s">
        <v>3819</v>
      </c>
    </row>
    <row r="5459" spans="1:11" x14ac:dyDescent="0.25">
      <c r="A5459"/>
      <c r="C5459" s="9" t="s">
        <v>5116</v>
      </c>
      <c r="D5459" s="9" t="s">
        <v>597</v>
      </c>
      <c r="F5459" s="6">
        <v>65</v>
      </c>
      <c r="G5459" s="6">
        <f t="shared" si="273"/>
        <v>65</v>
      </c>
      <c r="H5459" s="6">
        <v>65</v>
      </c>
      <c r="I5459" s="26">
        <f t="shared" si="274"/>
        <v>0</v>
      </c>
      <c r="J5459" s="7" t="str">
        <f t="shared" si="275"/>
        <v>PAGADO</v>
      </c>
      <c r="K5459" s="33" t="s">
        <v>3819</v>
      </c>
    </row>
    <row r="5460" spans="1:11" x14ac:dyDescent="0.25">
      <c r="A5460"/>
      <c r="C5460" t="s">
        <v>5117</v>
      </c>
      <c r="D5460" s="9" t="s">
        <v>4905</v>
      </c>
      <c r="F5460" s="6">
        <v>65</v>
      </c>
      <c r="G5460" s="6">
        <f t="shared" si="273"/>
        <v>65</v>
      </c>
      <c r="H5460" s="6">
        <v>65</v>
      </c>
      <c r="I5460" s="26">
        <f t="shared" si="274"/>
        <v>0</v>
      </c>
      <c r="J5460" s="7" t="str">
        <f t="shared" si="275"/>
        <v>PAGADO</v>
      </c>
    </row>
    <row r="5461" spans="1:11" x14ac:dyDescent="0.25">
      <c r="A5461"/>
      <c r="C5461" t="s">
        <v>5118</v>
      </c>
      <c r="D5461" s="9" t="s">
        <v>2548</v>
      </c>
      <c r="F5461" s="6">
        <v>120</v>
      </c>
      <c r="G5461" s="6">
        <f t="shared" si="273"/>
        <v>120</v>
      </c>
      <c r="H5461" s="6">
        <v>120</v>
      </c>
      <c r="I5461" s="26">
        <f t="shared" si="274"/>
        <v>0</v>
      </c>
      <c r="J5461" s="7" t="str">
        <f t="shared" si="275"/>
        <v>PAGADO</v>
      </c>
    </row>
    <row r="5462" spans="1:11" x14ac:dyDescent="0.25">
      <c r="A5462"/>
      <c r="C5462" t="s">
        <v>5119</v>
      </c>
      <c r="D5462" s="9" t="s">
        <v>2548</v>
      </c>
      <c r="F5462" s="6">
        <v>150</v>
      </c>
      <c r="G5462" s="6">
        <f t="shared" si="273"/>
        <v>150</v>
      </c>
      <c r="H5462" s="6">
        <v>150</v>
      </c>
      <c r="I5462" s="26">
        <f t="shared" si="274"/>
        <v>0</v>
      </c>
      <c r="J5462" s="7" t="str">
        <f t="shared" si="275"/>
        <v>PAGADO</v>
      </c>
    </row>
    <row r="5463" spans="1:11" x14ac:dyDescent="0.25">
      <c r="A5463"/>
      <c r="C5463" t="s">
        <v>5120</v>
      </c>
      <c r="D5463" s="9" t="s">
        <v>2548</v>
      </c>
      <c r="F5463" s="6">
        <v>150</v>
      </c>
      <c r="G5463" s="6">
        <f t="shared" si="273"/>
        <v>150</v>
      </c>
      <c r="H5463" s="6">
        <v>150</v>
      </c>
      <c r="I5463" s="26">
        <f t="shared" si="274"/>
        <v>0</v>
      </c>
      <c r="J5463" s="7" t="str">
        <f t="shared" si="275"/>
        <v>PAGADO</v>
      </c>
    </row>
    <row r="5464" spans="1:11" x14ac:dyDescent="0.25">
      <c r="A5464"/>
      <c r="C5464" t="s">
        <v>5121</v>
      </c>
      <c r="D5464" s="9" t="s">
        <v>5122</v>
      </c>
      <c r="F5464" s="6">
        <v>50</v>
      </c>
      <c r="G5464" s="6">
        <f t="shared" si="273"/>
        <v>50</v>
      </c>
      <c r="H5464" s="6">
        <v>50</v>
      </c>
      <c r="I5464" s="27">
        <f t="shared" si="274"/>
        <v>0</v>
      </c>
      <c r="J5464" s="7" t="str">
        <f t="shared" si="275"/>
        <v>PAGADO</v>
      </c>
      <c r="K5464" s="9" t="s">
        <v>2712</v>
      </c>
    </row>
    <row r="5465" spans="1:11" x14ac:dyDescent="0.25">
      <c r="A5465"/>
      <c r="C5465" t="s">
        <v>5123</v>
      </c>
      <c r="D5465" s="9" t="s">
        <v>4881</v>
      </c>
      <c r="F5465" s="6">
        <v>65</v>
      </c>
      <c r="G5465" s="6">
        <f t="shared" si="273"/>
        <v>65</v>
      </c>
      <c r="H5465" s="6">
        <v>65</v>
      </c>
      <c r="I5465" s="26">
        <f t="shared" si="274"/>
        <v>0</v>
      </c>
      <c r="J5465" s="7" t="str">
        <f t="shared" si="275"/>
        <v>PAGADO</v>
      </c>
      <c r="K5465" s="28" t="s">
        <v>5124</v>
      </c>
    </row>
    <row r="5466" spans="1:11" x14ac:dyDescent="0.25">
      <c r="A5466"/>
      <c r="C5466" t="s">
        <v>5125</v>
      </c>
      <c r="D5466" s="9" t="s">
        <v>4881</v>
      </c>
      <c r="F5466" s="6">
        <v>65</v>
      </c>
      <c r="G5466" s="6">
        <f t="shared" si="273"/>
        <v>65</v>
      </c>
      <c r="H5466" s="6">
        <v>65</v>
      </c>
      <c r="I5466" s="26">
        <f t="shared" si="274"/>
        <v>0</v>
      </c>
      <c r="J5466" s="7" t="str">
        <f t="shared" si="275"/>
        <v>PAGADO</v>
      </c>
      <c r="K5466" s="28" t="s">
        <v>5124</v>
      </c>
    </row>
    <row r="5467" spans="1:11" x14ac:dyDescent="0.25">
      <c r="A5467"/>
      <c r="C5467" t="s">
        <v>5126</v>
      </c>
      <c r="D5467" s="9" t="s">
        <v>4881</v>
      </c>
      <c r="F5467" s="6">
        <v>70</v>
      </c>
      <c r="G5467" s="6">
        <f t="shared" si="273"/>
        <v>70</v>
      </c>
      <c r="H5467" s="6">
        <v>70</v>
      </c>
      <c r="I5467" s="26">
        <f t="shared" si="274"/>
        <v>0</v>
      </c>
      <c r="J5467" s="7" t="str">
        <f t="shared" si="275"/>
        <v>PAGADO</v>
      </c>
      <c r="K5467" s="28" t="s">
        <v>5124</v>
      </c>
    </row>
    <row r="5468" spans="1:11" x14ac:dyDescent="0.25">
      <c r="A5468"/>
      <c r="C5468" t="s">
        <v>5127</v>
      </c>
      <c r="D5468" s="9" t="s">
        <v>5048</v>
      </c>
      <c r="F5468" s="6">
        <v>65</v>
      </c>
      <c r="G5468" s="6">
        <f t="shared" si="273"/>
        <v>65</v>
      </c>
      <c r="H5468" s="6">
        <v>65</v>
      </c>
      <c r="I5468" s="26">
        <f t="shared" si="274"/>
        <v>0</v>
      </c>
      <c r="J5468" s="7" t="str">
        <f t="shared" si="275"/>
        <v>PAGADO</v>
      </c>
    </row>
    <row r="5469" spans="1:11" x14ac:dyDescent="0.25">
      <c r="A5469"/>
      <c r="C5469" t="s">
        <v>5128</v>
      </c>
      <c r="D5469" s="9" t="s">
        <v>4905</v>
      </c>
      <c r="F5469" s="6">
        <v>130</v>
      </c>
      <c r="G5469" s="6">
        <f t="shared" si="273"/>
        <v>130</v>
      </c>
      <c r="H5469" s="6">
        <v>130</v>
      </c>
      <c r="I5469" s="26">
        <f t="shared" si="274"/>
        <v>0</v>
      </c>
      <c r="J5469" s="7" t="str">
        <f t="shared" si="275"/>
        <v>PAGADO</v>
      </c>
    </row>
    <row r="5470" spans="1:11" x14ac:dyDescent="0.25">
      <c r="A5470"/>
      <c r="C5470" s="9" t="s">
        <v>5020</v>
      </c>
      <c r="D5470" t="s">
        <v>5129</v>
      </c>
      <c r="F5470" s="6">
        <v>150</v>
      </c>
      <c r="G5470" s="6">
        <f t="shared" si="273"/>
        <v>150</v>
      </c>
      <c r="H5470" s="6">
        <v>150</v>
      </c>
      <c r="I5470" s="26">
        <f t="shared" si="274"/>
        <v>0</v>
      </c>
      <c r="J5470" s="7" t="str">
        <f t="shared" si="275"/>
        <v>PAGADO</v>
      </c>
      <c r="K5470" s="33" t="s">
        <v>3819</v>
      </c>
    </row>
    <row r="5471" spans="1:11" x14ac:dyDescent="0.25">
      <c r="A5471"/>
      <c r="C5471" s="9" t="s">
        <v>3052</v>
      </c>
      <c r="D5471" t="s">
        <v>5130</v>
      </c>
      <c r="F5471" s="6">
        <v>130</v>
      </c>
      <c r="G5471" s="6">
        <f t="shared" si="273"/>
        <v>130</v>
      </c>
      <c r="H5471" s="6">
        <v>130</v>
      </c>
      <c r="I5471" s="26">
        <f t="shared" si="274"/>
        <v>0</v>
      </c>
      <c r="J5471" s="7" t="str">
        <f t="shared" si="275"/>
        <v>PAGADO</v>
      </c>
    </row>
    <row r="5472" spans="1:11" x14ac:dyDescent="0.25">
      <c r="A5472"/>
      <c r="C5472" t="s">
        <v>5131</v>
      </c>
      <c r="D5472" s="9" t="s">
        <v>4905</v>
      </c>
      <c r="F5472" s="6">
        <v>190</v>
      </c>
      <c r="G5472" s="6">
        <f t="shared" si="273"/>
        <v>190</v>
      </c>
      <c r="H5472" s="6">
        <v>190</v>
      </c>
      <c r="I5472" s="26">
        <f t="shared" si="274"/>
        <v>0</v>
      </c>
      <c r="J5472" s="7" t="str">
        <f t="shared" si="275"/>
        <v>PAGADO</v>
      </c>
    </row>
    <row r="5473" spans="1:11" x14ac:dyDescent="0.25">
      <c r="A5473"/>
      <c r="C5473" s="9" t="s">
        <v>5132</v>
      </c>
      <c r="D5473" s="9" t="s">
        <v>1191</v>
      </c>
      <c r="F5473" s="6">
        <v>70</v>
      </c>
      <c r="G5473" s="6">
        <f t="shared" si="273"/>
        <v>70</v>
      </c>
      <c r="H5473" s="6">
        <v>70</v>
      </c>
      <c r="I5473" s="6">
        <f t="shared" si="274"/>
        <v>0</v>
      </c>
      <c r="J5473" s="7" t="str">
        <f t="shared" si="275"/>
        <v>PAGADO</v>
      </c>
    </row>
    <row r="5474" spans="1:11" x14ac:dyDescent="0.25">
      <c r="A5474"/>
      <c r="C5474" s="9" t="s">
        <v>5133</v>
      </c>
      <c r="D5474" s="9" t="s">
        <v>18</v>
      </c>
      <c r="F5474" s="6">
        <v>100</v>
      </c>
      <c r="G5474" s="6">
        <f t="shared" si="273"/>
        <v>100</v>
      </c>
      <c r="H5474" s="6">
        <f>50+50</f>
        <v>100</v>
      </c>
      <c r="I5474" s="26">
        <f t="shared" si="274"/>
        <v>0</v>
      </c>
      <c r="J5474" s="7" t="str">
        <f t="shared" si="275"/>
        <v>PAGADO</v>
      </c>
      <c r="K5474" s="33"/>
    </row>
    <row r="5475" spans="1:11" x14ac:dyDescent="0.25">
      <c r="A5475"/>
      <c r="C5475" s="9" t="s">
        <v>4883</v>
      </c>
      <c r="D5475" s="9" t="s">
        <v>5134</v>
      </c>
      <c r="F5475" s="6">
        <v>50</v>
      </c>
      <c r="G5475" s="6">
        <f t="shared" si="273"/>
        <v>50</v>
      </c>
      <c r="H5475" s="6">
        <v>50</v>
      </c>
      <c r="I5475" s="26">
        <f t="shared" si="274"/>
        <v>0</v>
      </c>
      <c r="J5475" s="7" t="str">
        <f t="shared" si="275"/>
        <v>PAGADO</v>
      </c>
    </row>
    <row r="5476" spans="1:11" x14ac:dyDescent="0.25">
      <c r="A5476"/>
      <c r="C5476" s="9" t="s">
        <v>5135</v>
      </c>
      <c r="D5476" s="9" t="s">
        <v>5136</v>
      </c>
      <c r="F5476" s="6">
        <v>140</v>
      </c>
      <c r="G5476" s="6">
        <f t="shared" si="273"/>
        <v>140</v>
      </c>
      <c r="H5476" s="6">
        <v>140</v>
      </c>
      <c r="I5476" s="26">
        <f t="shared" si="274"/>
        <v>0</v>
      </c>
      <c r="J5476" s="7" t="str">
        <f t="shared" si="275"/>
        <v>PAGADO</v>
      </c>
      <c r="K5476" s="9" t="s">
        <v>3506</v>
      </c>
    </row>
    <row r="5477" spans="1:11" x14ac:dyDescent="0.25">
      <c r="A5477"/>
      <c r="C5477" s="9" t="s">
        <v>5055</v>
      </c>
      <c r="D5477" s="9" t="s">
        <v>5136</v>
      </c>
      <c r="F5477" s="6">
        <v>70</v>
      </c>
      <c r="G5477" s="6">
        <f t="shared" si="273"/>
        <v>70</v>
      </c>
      <c r="H5477" s="6">
        <v>70</v>
      </c>
      <c r="I5477" s="26">
        <f t="shared" si="274"/>
        <v>0</v>
      </c>
      <c r="J5477" s="7" t="str">
        <f t="shared" si="275"/>
        <v>PAGADO</v>
      </c>
    </row>
    <row r="5478" spans="1:11" x14ac:dyDescent="0.25">
      <c r="A5478"/>
      <c r="C5478" s="9" t="s">
        <v>3743</v>
      </c>
      <c r="D5478" s="9" t="s">
        <v>5136</v>
      </c>
      <c r="F5478" s="6">
        <v>70</v>
      </c>
      <c r="G5478" s="6">
        <f t="shared" si="273"/>
        <v>70</v>
      </c>
      <c r="H5478" s="6">
        <v>70</v>
      </c>
      <c r="I5478" s="26">
        <f t="shared" si="274"/>
        <v>0</v>
      </c>
      <c r="J5478" s="7" t="str">
        <f t="shared" si="275"/>
        <v>PAGADO</v>
      </c>
    </row>
    <row r="5479" spans="1:11" x14ac:dyDescent="0.25">
      <c r="A5479"/>
      <c r="C5479" s="9" t="s">
        <v>5137</v>
      </c>
      <c r="D5479" s="9" t="s">
        <v>5138</v>
      </c>
      <c r="F5479" s="6">
        <v>55</v>
      </c>
      <c r="G5479" s="6">
        <f t="shared" si="273"/>
        <v>55</v>
      </c>
      <c r="H5479" s="6">
        <v>55</v>
      </c>
      <c r="I5479" s="26">
        <f t="shared" si="274"/>
        <v>0</v>
      </c>
      <c r="J5479" s="7" t="str">
        <f t="shared" si="275"/>
        <v>PAGADO</v>
      </c>
    </row>
    <row r="5480" spans="1:11" x14ac:dyDescent="0.25">
      <c r="A5480"/>
      <c r="C5480" s="9" t="s">
        <v>3945</v>
      </c>
      <c r="D5480" s="9" t="s">
        <v>5138</v>
      </c>
      <c r="F5480" s="6">
        <v>80</v>
      </c>
      <c r="G5480" s="6">
        <f t="shared" si="273"/>
        <v>80</v>
      </c>
      <c r="H5480" s="6">
        <v>80</v>
      </c>
      <c r="I5480" s="26">
        <f t="shared" si="274"/>
        <v>0</v>
      </c>
      <c r="J5480" s="7" t="str">
        <f t="shared" si="275"/>
        <v>PAGADO</v>
      </c>
    </row>
    <row r="5481" spans="1:11" x14ac:dyDescent="0.25">
      <c r="A5481"/>
      <c r="C5481" t="s">
        <v>5139</v>
      </c>
      <c r="D5481" s="9" t="s">
        <v>4974</v>
      </c>
      <c r="F5481" s="6">
        <v>65</v>
      </c>
      <c r="G5481" s="6">
        <f t="shared" si="273"/>
        <v>65</v>
      </c>
      <c r="H5481" s="6">
        <v>65</v>
      </c>
      <c r="I5481" s="26">
        <f t="shared" si="274"/>
        <v>0</v>
      </c>
      <c r="J5481" s="7" t="str">
        <f t="shared" si="275"/>
        <v>PAGADO</v>
      </c>
    </row>
    <row r="5482" spans="1:11" x14ac:dyDescent="0.25">
      <c r="A5482"/>
      <c r="C5482" s="9" t="s">
        <v>4740</v>
      </c>
      <c r="D5482" s="9" t="s">
        <v>2278</v>
      </c>
      <c r="F5482" s="6">
        <v>80</v>
      </c>
      <c r="G5482" s="6">
        <f t="shared" si="273"/>
        <v>80</v>
      </c>
      <c r="H5482" s="90">
        <v>80</v>
      </c>
      <c r="I5482" s="26">
        <f t="shared" si="274"/>
        <v>0</v>
      </c>
      <c r="J5482" s="7" t="str">
        <f t="shared" si="275"/>
        <v>PAGADO</v>
      </c>
    </row>
    <row r="5483" spans="1:11" x14ac:dyDescent="0.25">
      <c r="A5483"/>
      <c r="C5483" s="9" t="s">
        <v>5140</v>
      </c>
      <c r="D5483" s="9" t="s">
        <v>2278</v>
      </c>
      <c r="F5483" s="6">
        <v>140</v>
      </c>
      <c r="G5483" s="6">
        <f t="shared" si="273"/>
        <v>140</v>
      </c>
      <c r="H5483" s="90">
        <v>140</v>
      </c>
      <c r="I5483" s="26">
        <f t="shared" si="274"/>
        <v>0</v>
      </c>
      <c r="J5483" s="7" t="str">
        <f t="shared" si="275"/>
        <v>PAGADO</v>
      </c>
    </row>
    <row r="5484" spans="1:11" x14ac:dyDescent="0.25">
      <c r="A5484"/>
      <c r="C5484" s="9" t="s">
        <v>2688</v>
      </c>
      <c r="D5484" s="9" t="s">
        <v>5141</v>
      </c>
      <c r="F5484" s="6">
        <v>60</v>
      </c>
      <c r="G5484" s="6">
        <f t="shared" si="273"/>
        <v>60</v>
      </c>
      <c r="H5484" s="6">
        <v>60</v>
      </c>
      <c r="I5484" s="26">
        <f t="shared" si="274"/>
        <v>0</v>
      </c>
      <c r="J5484" s="7" t="str">
        <f t="shared" si="275"/>
        <v>PAGADO</v>
      </c>
    </row>
    <row r="5485" spans="1:11" x14ac:dyDescent="0.25">
      <c r="A5485"/>
      <c r="C5485" s="9" t="s">
        <v>3410</v>
      </c>
      <c r="D5485" s="9" t="s">
        <v>4665</v>
      </c>
      <c r="F5485" s="6">
        <v>20</v>
      </c>
      <c r="G5485" s="6">
        <f t="shared" si="273"/>
        <v>20</v>
      </c>
      <c r="H5485" s="6">
        <v>20</v>
      </c>
      <c r="I5485" s="26">
        <f t="shared" si="274"/>
        <v>0</v>
      </c>
      <c r="J5485" s="7" t="str">
        <f t="shared" si="275"/>
        <v>PAGADO</v>
      </c>
    </row>
    <row r="5486" spans="1:11" x14ac:dyDescent="0.25">
      <c r="A5486"/>
      <c r="C5486" s="9" t="s">
        <v>5142</v>
      </c>
      <c r="D5486" s="9" t="s">
        <v>2278</v>
      </c>
      <c r="F5486" s="6">
        <v>65</v>
      </c>
      <c r="G5486" s="6">
        <f t="shared" si="273"/>
        <v>65</v>
      </c>
      <c r="H5486" s="90">
        <v>65</v>
      </c>
      <c r="I5486" s="26">
        <f t="shared" si="274"/>
        <v>0</v>
      </c>
      <c r="J5486" s="7" t="str">
        <f t="shared" si="275"/>
        <v>PAGADO</v>
      </c>
      <c r="K5486" t="s">
        <v>1823</v>
      </c>
    </row>
    <row r="5487" spans="1:11" x14ac:dyDescent="0.25">
      <c r="A5487"/>
      <c r="C5487" s="9" t="s">
        <v>5143</v>
      </c>
      <c r="D5487" s="9" t="s">
        <v>4963</v>
      </c>
      <c r="F5487" s="6">
        <v>60</v>
      </c>
      <c r="G5487" s="6">
        <f t="shared" si="273"/>
        <v>60</v>
      </c>
      <c r="H5487" s="6">
        <v>60</v>
      </c>
      <c r="I5487" s="26">
        <f t="shared" si="274"/>
        <v>0</v>
      </c>
      <c r="J5487" s="7" t="str">
        <f t="shared" si="275"/>
        <v>PAGADO</v>
      </c>
    </row>
    <row r="5488" spans="1:11" x14ac:dyDescent="0.25">
      <c r="A5488"/>
      <c r="C5488" s="9" t="s">
        <v>5144</v>
      </c>
      <c r="D5488" s="9" t="s">
        <v>5145</v>
      </c>
      <c r="F5488" s="6">
        <v>140</v>
      </c>
      <c r="G5488" s="6">
        <f t="shared" si="273"/>
        <v>140</v>
      </c>
      <c r="H5488" s="6">
        <v>140</v>
      </c>
      <c r="I5488" s="26">
        <f t="shared" si="274"/>
        <v>0</v>
      </c>
      <c r="J5488" s="7" t="str">
        <f t="shared" si="275"/>
        <v>PAGADO</v>
      </c>
    </row>
    <row r="5489" spans="1:11" x14ac:dyDescent="0.25">
      <c r="A5489"/>
      <c r="C5489" s="9" t="s">
        <v>5146</v>
      </c>
      <c r="D5489" s="9" t="s">
        <v>5145</v>
      </c>
      <c r="F5489" s="6">
        <v>60</v>
      </c>
      <c r="G5489" s="6">
        <f t="shared" si="273"/>
        <v>60</v>
      </c>
      <c r="H5489" s="6">
        <v>60</v>
      </c>
      <c r="I5489" s="26">
        <f t="shared" si="274"/>
        <v>0</v>
      </c>
      <c r="J5489" s="7" t="str">
        <f t="shared" si="275"/>
        <v>PAGADO</v>
      </c>
    </row>
    <row r="5490" spans="1:11" x14ac:dyDescent="0.25">
      <c r="A5490"/>
      <c r="C5490" s="9" t="s">
        <v>5147</v>
      </c>
      <c r="D5490" s="9" t="s">
        <v>5145</v>
      </c>
      <c r="F5490" s="6">
        <v>240</v>
      </c>
      <c r="G5490" s="6">
        <f t="shared" si="273"/>
        <v>240</v>
      </c>
      <c r="H5490" s="6">
        <v>240</v>
      </c>
      <c r="I5490" s="26">
        <f t="shared" si="274"/>
        <v>0</v>
      </c>
      <c r="J5490" s="7" t="str">
        <f t="shared" si="275"/>
        <v>PAGADO</v>
      </c>
    </row>
    <row r="5491" spans="1:11" x14ac:dyDescent="0.25">
      <c r="A5491"/>
      <c r="C5491" s="9" t="s">
        <v>5148</v>
      </c>
      <c r="D5491" s="9" t="s">
        <v>1523</v>
      </c>
      <c r="F5491" s="6">
        <v>190</v>
      </c>
      <c r="G5491" s="6">
        <f t="shared" si="273"/>
        <v>190</v>
      </c>
      <c r="H5491" s="6">
        <v>190</v>
      </c>
      <c r="I5491" s="26">
        <f t="shared" si="274"/>
        <v>0</v>
      </c>
      <c r="J5491" s="7" t="str">
        <f t="shared" si="275"/>
        <v>PAGADO</v>
      </c>
    </row>
    <row r="5492" spans="1:11" x14ac:dyDescent="0.25">
      <c r="A5492"/>
      <c r="C5492" s="9" t="s">
        <v>5149</v>
      </c>
      <c r="D5492" s="9" t="s">
        <v>1523</v>
      </c>
      <c r="F5492" s="6">
        <v>80</v>
      </c>
      <c r="G5492" s="6">
        <f t="shared" si="273"/>
        <v>80</v>
      </c>
      <c r="H5492" s="6">
        <v>80</v>
      </c>
      <c r="I5492" s="26">
        <f t="shared" si="274"/>
        <v>0</v>
      </c>
      <c r="J5492" s="7" t="str">
        <f t="shared" si="275"/>
        <v>PAGADO</v>
      </c>
    </row>
    <row r="5493" spans="1:11" x14ac:dyDescent="0.25">
      <c r="A5493"/>
      <c r="C5493" s="9" t="s">
        <v>5150</v>
      </c>
      <c r="D5493" s="9" t="s">
        <v>5151</v>
      </c>
      <c r="F5493" s="6">
        <v>70</v>
      </c>
      <c r="G5493" s="6">
        <f t="shared" si="273"/>
        <v>70</v>
      </c>
      <c r="H5493" s="6">
        <v>70</v>
      </c>
      <c r="I5493" s="26">
        <f t="shared" si="274"/>
        <v>0</v>
      </c>
      <c r="J5493" s="7" t="str">
        <f t="shared" si="275"/>
        <v>PAGADO</v>
      </c>
    </row>
    <row r="5494" spans="1:11" x14ac:dyDescent="0.25">
      <c r="A5494"/>
      <c r="C5494" s="9" t="s">
        <v>4104</v>
      </c>
      <c r="D5494" s="9" t="s">
        <v>5152</v>
      </c>
      <c r="F5494" s="6">
        <v>60</v>
      </c>
      <c r="G5494" s="6">
        <f t="shared" si="273"/>
        <v>60</v>
      </c>
      <c r="H5494" s="6">
        <v>60</v>
      </c>
      <c r="I5494" s="26">
        <f t="shared" si="274"/>
        <v>0</v>
      </c>
      <c r="J5494" s="7" t="str">
        <f t="shared" si="275"/>
        <v>PAGADO</v>
      </c>
    </row>
    <row r="5495" spans="1:11" x14ac:dyDescent="0.25">
      <c r="A5495"/>
      <c r="C5495" s="9" t="s">
        <v>5153</v>
      </c>
      <c r="D5495" s="9" t="s">
        <v>5152</v>
      </c>
      <c r="F5495" s="6">
        <v>70</v>
      </c>
      <c r="G5495" s="6">
        <f t="shared" si="273"/>
        <v>70</v>
      </c>
      <c r="H5495" s="6">
        <v>70</v>
      </c>
      <c r="I5495" s="26">
        <f t="shared" si="274"/>
        <v>0</v>
      </c>
      <c r="J5495" s="7" t="str">
        <f t="shared" si="275"/>
        <v>PAGADO</v>
      </c>
    </row>
    <row r="5496" spans="1:11" x14ac:dyDescent="0.25">
      <c r="A5496"/>
      <c r="C5496" s="9" t="s">
        <v>5154</v>
      </c>
      <c r="D5496" s="9" t="s">
        <v>1523</v>
      </c>
      <c r="F5496" s="6">
        <v>230</v>
      </c>
      <c r="G5496" s="6">
        <f t="shared" si="273"/>
        <v>230</v>
      </c>
      <c r="H5496" s="30">
        <v>100</v>
      </c>
      <c r="I5496" s="26">
        <f t="shared" si="274"/>
        <v>130</v>
      </c>
      <c r="J5496" s="7" t="str">
        <f t="shared" si="275"/>
        <v>DEBE</v>
      </c>
      <c r="K5496" s="9" t="s">
        <v>5155</v>
      </c>
    </row>
    <row r="5497" spans="1:11" x14ac:dyDescent="0.25">
      <c r="A5497"/>
      <c r="C5497" s="9" t="s">
        <v>5156</v>
      </c>
      <c r="D5497" s="9" t="s">
        <v>1523</v>
      </c>
      <c r="F5497" s="6">
        <v>350</v>
      </c>
      <c r="G5497" s="6">
        <f t="shared" si="273"/>
        <v>350</v>
      </c>
      <c r="H5497" s="39">
        <v>350</v>
      </c>
      <c r="I5497" s="26">
        <f t="shared" si="274"/>
        <v>0</v>
      </c>
      <c r="J5497" s="7" t="str">
        <f t="shared" si="275"/>
        <v>PAGADO</v>
      </c>
      <c r="K5497" t="s">
        <v>3506</v>
      </c>
    </row>
    <row r="5498" spans="1:11" x14ac:dyDescent="0.25">
      <c r="A5498"/>
      <c r="C5498" s="9" t="s">
        <v>5157</v>
      </c>
      <c r="D5498" s="9" t="s">
        <v>1523</v>
      </c>
      <c r="F5498" s="6">
        <v>370</v>
      </c>
      <c r="G5498" s="6">
        <f t="shared" si="273"/>
        <v>370</v>
      </c>
      <c r="H5498" s="39">
        <f>300+70</f>
        <v>370</v>
      </c>
      <c r="I5498" s="26">
        <f t="shared" si="274"/>
        <v>0</v>
      </c>
      <c r="J5498" s="7" t="str">
        <f t="shared" si="275"/>
        <v>PAGADO</v>
      </c>
      <c r="K5498" s="9" t="s">
        <v>5158</v>
      </c>
    </row>
    <row r="5499" spans="1:11" x14ac:dyDescent="0.25">
      <c r="A5499"/>
      <c r="C5499" s="9" t="s">
        <v>5159</v>
      </c>
      <c r="D5499" s="9" t="s">
        <v>5145</v>
      </c>
      <c r="F5499" s="6">
        <v>130</v>
      </c>
      <c r="G5499" s="6">
        <f t="shared" si="273"/>
        <v>130</v>
      </c>
      <c r="H5499" s="6">
        <f>65+65</f>
        <v>130</v>
      </c>
      <c r="I5499" s="26">
        <f t="shared" si="274"/>
        <v>0</v>
      </c>
      <c r="J5499" s="7" t="str">
        <f t="shared" si="275"/>
        <v>PAGADO</v>
      </c>
      <c r="K5499" s="28" t="s">
        <v>2712</v>
      </c>
    </row>
    <row r="5500" spans="1:11" x14ac:dyDescent="0.25">
      <c r="A5500"/>
      <c r="C5500" s="9" t="s">
        <v>5015</v>
      </c>
      <c r="D5500" s="9" t="s">
        <v>5145</v>
      </c>
      <c r="F5500" s="6">
        <v>80</v>
      </c>
      <c r="G5500" s="6">
        <f t="shared" si="273"/>
        <v>80</v>
      </c>
      <c r="H5500" s="6">
        <f>40+40</f>
        <v>80</v>
      </c>
      <c r="I5500" s="16">
        <f t="shared" si="274"/>
        <v>0</v>
      </c>
      <c r="J5500" s="7" t="str">
        <f t="shared" si="275"/>
        <v>PAGADO</v>
      </c>
      <c r="K5500" s="28" t="s">
        <v>3819</v>
      </c>
    </row>
    <row r="5501" spans="1:11" x14ac:dyDescent="0.25">
      <c r="A5501"/>
      <c r="C5501" s="9" t="s">
        <v>5100</v>
      </c>
      <c r="D5501" s="9" t="s">
        <v>5145</v>
      </c>
      <c r="F5501" s="6">
        <v>50</v>
      </c>
      <c r="G5501" s="6">
        <f t="shared" si="273"/>
        <v>50</v>
      </c>
      <c r="H5501" s="6">
        <f>25+25</f>
        <v>50</v>
      </c>
      <c r="I5501" s="26">
        <f t="shared" si="274"/>
        <v>0</v>
      </c>
      <c r="J5501" s="7" t="str">
        <f t="shared" si="275"/>
        <v>PAGADO</v>
      </c>
      <c r="K5501" s="28" t="s">
        <v>3506</v>
      </c>
    </row>
    <row r="5502" spans="1:11" x14ac:dyDescent="0.25">
      <c r="A5502"/>
      <c r="C5502" s="9" t="s">
        <v>3040</v>
      </c>
      <c r="D5502" s="9" t="s">
        <v>2548</v>
      </c>
      <c r="F5502" s="6">
        <v>90</v>
      </c>
      <c r="G5502" s="6">
        <f t="shared" ref="G5502:G5565" si="276">F5502-E5502</f>
        <v>90</v>
      </c>
      <c r="H5502" s="6">
        <v>90</v>
      </c>
      <c r="I5502" s="26">
        <f t="shared" si="274"/>
        <v>0</v>
      </c>
      <c r="J5502" s="7" t="str">
        <f t="shared" si="275"/>
        <v>PAGADO</v>
      </c>
      <c r="K5502" t="s">
        <v>1823</v>
      </c>
    </row>
    <row r="5503" spans="1:11" x14ac:dyDescent="0.25">
      <c r="A5503"/>
      <c r="C5503" t="s">
        <v>5160</v>
      </c>
      <c r="D5503" s="9" t="s">
        <v>4905</v>
      </c>
      <c r="F5503" s="6">
        <v>100</v>
      </c>
      <c r="G5503" s="6">
        <f t="shared" si="276"/>
        <v>100</v>
      </c>
      <c r="H5503" s="6">
        <v>100</v>
      </c>
      <c r="I5503" s="26">
        <f t="shared" si="274"/>
        <v>0</v>
      </c>
      <c r="J5503" s="7" t="str">
        <f t="shared" si="275"/>
        <v>PAGADO</v>
      </c>
    </row>
    <row r="5504" spans="1:11" x14ac:dyDescent="0.25">
      <c r="A5504"/>
      <c r="C5504" t="s">
        <v>5161</v>
      </c>
      <c r="D5504" t="s">
        <v>5082</v>
      </c>
      <c r="F5504" s="6">
        <v>90</v>
      </c>
      <c r="G5504" s="6">
        <f t="shared" si="276"/>
        <v>90</v>
      </c>
      <c r="H5504" s="6">
        <v>90</v>
      </c>
      <c r="I5504" s="26">
        <f t="shared" si="274"/>
        <v>0</v>
      </c>
      <c r="J5504" s="7" t="str">
        <f t="shared" si="275"/>
        <v>PAGADO</v>
      </c>
      <c r="K5504" t="s">
        <v>5162</v>
      </c>
    </row>
    <row r="5505" spans="1:11" x14ac:dyDescent="0.25">
      <c r="A5505"/>
      <c r="C5505" s="9" t="s">
        <v>5163</v>
      </c>
      <c r="D5505" s="9" t="s">
        <v>5164</v>
      </c>
      <c r="F5505" s="6">
        <v>60</v>
      </c>
      <c r="G5505" s="6">
        <f t="shared" si="276"/>
        <v>60</v>
      </c>
      <c r="H5505" s="6">
        <v>60</v>
      </c>
      <c r="I5505" s="26">
        <f t="shared" si="274"/>
        <v>0</v>
      </c>
      <c r="J5505" s="7" t="str">
        <f t="shared" si="275"/>
        <v>PAGADO</v>
      </c>
    </row>
    <row r="5506" spans="1:11" x14ac:dyDescent="0.25">
      <c r="A5506"/>
      <c r="C5506" s="9" t="s">
        <v>4024</v>
      </c>
      <c r="D5506" s="9" t="s">
        <v>5164</v>
      </c>
      <c r="F5506" s="6">
        <v>50</v>
      </c>
      <c r="G5506" s="6">
        <f t="shared" si="276"/>
        <v>50</v>
      </c>
      <c r="H5506" s="6">
        <v>50</v>
      </c>
      <c r="I5506" s="26">
        <f t="shared" si="274"/>
        <v>0</v>
      </c>
      <c r="J5506" s="7" t="str">
        <f t="shared" si="275"/>
        <v>PAGADO</v>
      </c>
    </row>
    <row r="5507" spans="1:11" x14ac:dyDescent="0.25">
      <c r="A5507"/>
      <c r="C5507" s="9" t="s">
        <v>5165</v>
      </c>
      <c r="D5507" s="9" t="s">
        <v>5164</v>
      </c>
      <c r="F5507" s="6">
        <v>170</v>
      </c>
      <c r="G5507" s="6">
        <f t="shared" si="276"/>
        <v>170</v>
      </c>
      <c r="H5507" s="6">
        <v>170</v>
      </c>
      <c r="I5507" s="26">
        <f t="shared" si="274"/>
        <v>0</v>
      </c>
      <c r="J5507" s="7" t="str">
        <f t="shared" si="275"/>
        <v>PAGADO</v>
      </c>
    </row>
    <row r="5508" spans="1:11" x14ac:dyDescent="0.25">
      <c r="A5508"/>
      <c r="C5508" s="9" t="s">
        <v>5166</v>
      </c>
      <c r="D5508" s="9" t="s">
        <v>5164</v>
      </c>
      <c r="F5508" s="6">
        <v>80</v>
      </c>
      <c r="G5508" s="6">
        <f t="shared" si="276"/>
        <v>80</v>
      </c>
      <c r="H5508" s="6">
        <v>80</v>
      </c>
      <c r="I5508" s="26">
        <f t="shared" si="274"/>
        <v>0</v>
      </c>
      <c r="J5508" s="7" t="str">
        <f t="shared" si="275"/>
        <v>PAGADO</v>
      </c>
    </row>
    <row r="5509" spans="1:11" x14ac:dyDescent="0.25">
      <c r="A5509"/>
      <c r="C5509" t="s">
        <v>5167</v>
      </c>
      <c r="D5509" t="s">
        <v>700</v>
      </c>
      <c r="F5509" s="6">
        <v>80</v>
      </c>
      <c r="G5509" s="6">
        <f t="shared" si="276"/>
        <v>80</v>
      </c>
      <c r="H5509" s="6">
        <f>40+40</f>
        <v>80</v>
      </c>
      <c r="I5509" s="26">
        <f t="shared" si="274"/>
        <v>0</v>
      </c>
      <c r="J5509" s="7" t="str">
        <f t="shared" si="275"/>
        <v>PAGADO</v>
      </c>
    </row>
    <row r="5510" spans="1:11" x14ac:dyDescent="0.25">
      <c r="A5510"/>
      <c r="C5510" t="s">
        <v>1262</v>
      </c>
      <c r="D5510" t="s">
        <v>5168</v>
      </c>
      <c r="F5510" s="6">
        <v>90</v>
      </c>
      <c r="G5510" s="6">
        <f t="shared" si="276"/>
        <v>90</v>
      </c>
      <c r="H5510" s="6">
        <f>70+20</f>
        <v>90</v>
      </c>
      <c r="I5510" s="26">
        <f t="shared" si="274"/>
        <v>0</v>
      </c>
      <c r="J5510" s="7" t="str">
        <f t="shared" si="275"/>
        <v>PAGADO</v>
      </c>
    </row>
    <row r="5511" spans="1:11" x14ac:dyDescent="0.25">
      <c r="A5511"/>
      <c r="C5511" s="9" t="s">
        <v>5169</v>
      </c>
      <c r="D5511" s="9" t="s">
        <v>18</v>
      </c>
      <c r="F5511" s="6">
        <v>40</v>
      </c>
      <c r="G5511" s="6">
        <f t="shared" si="276"/>
        <v>40</v>
      </c>
      <c r="H5511" s="6">
        <v>40</v>
      </c>
      <c r="I5511" s="26">
        <f t="shared" si="274"/>
        <v>0</v>
      </c>
      <c r="J5511" s="7" t="str">
        <f t="shared" si="275"/>
        <v>PAGADO</v>
      </c>
    </row>
    <row r="5512" spans="1:11" x14ac:dyDescent="0.25">
      <c r="A5512"/>
      <c r="C5512" t="s">
        <v>3635</v>
      </c>
      <c r="D5512" s="9" t="s">
        <v>3434</v>
      </c>
      <c r="F5512" s="6">
        <v>70</v>
      </c>
      <c r="G5512" s="6">
        <f t="shared" si="276"/>
        <v>70</v>
      </c>
      <c r="H5512" s="6">
        <v>70</v>
      </c>
      <c r="I5512" s="26">
        <f t="shared" si="274"/>
        <v>0</v>
      </c>
      <c r="J5512" s="7" t="str">
        <f t="shared" si="275"/>
        <v>PAGADO</v>
      </c>
    </row>
    <row r="5513" spans="1:11" x14ac:dyDescent="0.25">
      <c r="A5513"/>
      <c r="C5513" t="s">
        <v>5170</v>
      </c>
      <c r="D5513" s="9" t="s">
        <v>5171</v>
      </c>
      <c r="F5513" s="6">
        <v>50</v>
      </c>
      <c r="G5513" s="6">
        <f t="shared" si="276"/>
        <v>50</v>
      </c>
      <c r="H5513" s="6">
        <v>50</v>
      </c>
      <c r="I5513" s="26">
        <f t="shared" si="274"/>
        <v>0</v>
      </c>
      <c r="J5513" s="7" t="str">
        <f t="shared" si="275"/>
        <v>PAGADO</v>
      </c>
    </row>
    <row r="5514" spans="1:11" x14ac:dyDescent="0.25">
      <c r="A5514"/>
      <c r="C5514" t="s">
        <v>2726</v>
      </c>
      <c r="D5514" s="9" t="s">
        <v>5172</v>
      </c>
      <c r="F5514" s="6">
        <v>70</v>
      </c>
      <c r="G5514" s="6">
        <f t="shared" si="276"/>
        <v>70</v>
      </c>
      <c r="H5514" s="6">
        <v>70</v>
      </c>
      <c r="I5514" s="26">
        <f t="shared" si="274"/>
        <v>0</v>
      </c>
      <c r="J5514" s="7" t="str">
        <f t="shared" si="275"/>
        <v>PAGADO</v>
      </c>
    </row>
    <row r="5515" spans="1:11" x14ac:dyDescent="0.25">
      <c r="A5515"/>
      <c r="C5515" t="s">
        <v>1897</v>
      </c>
      <c r="D5515" s="9" t="s">
        <v>5172</v>
      </c>
      <c r="F5515" s="6">
        <v>70</v>
      </c>
      <c r="G5515" s="6">
        <f t="shared" si="276"/>
        <v>70</v>
      </c>
      <c r="H5515" s="6">
        <v>70</v>
      </c>
      <c r="I5515" s="26">
        <f t="shared" ref="I5515:I5578" si="277">F5515-H5515</f>
        <v>0</v>
      </c>
      <c r="J5515" s="7" t="str">
        <f t="shared" si="275"/>
        <v>PAGADO</v>
      </c>
    </row>
    <row r="5516" spans="1:11" x14ac:dyDescent="0.25">
      <c r="A5516"/>
      <c r="C5516" s="9" t="s">
        <v>3040</v>
      </c>
      <c r="D5516" t="s">
        <v>80</v>
      </c>
      <c r="F5516" s="6">
        <v>90</v>
      </c>
      <c r="G5516" s="6">
        <f t="shared" si="276"/>
        <v>90</v>
      </c>
      <c r="H5516" s="6">
        <v>90</v>
      </c>
      <c r="I5516" s="26">
        <f t="shared" si="277"/>
        <v>0</v>
      </c>
      <c r="J5516" s="7" t="str">
        <f t="shared" si="275"/>
        <v>PAGADO</v>
      </c>
      <c r="K5516" t="s">
        <v>1823</v>
      </c>
    </row>
    <row r="5517" spans="1:11" x14ac:dyDescent="0.25">
      <c r="A5517"/>
      <c r="C5517" s="9" t="s">
        <v>5173</v>
      </c>
      <c r="D5517" s="9" t="s">
        <v>3736</v>
      </c>
      <c r="F5517" s="6">
        <v>290</v>
      </c>
      <c r="G5517" s="6">
        <f t="shared" si="276"/>
        <v>290</v>
      </c>
      <c r="H5517" s="6">
        <f>100+60+70+60</f>
        <v>290</v>
      </c>
      <c r="I5517" s="26">
        <f t="shared" si="277"/>
        <v>0</v>
      </c>
      <c r="J5517" s="7" t="str">
        <f t="shared" si="275"/>
        <v>PAGADO</v>
      </c>
      <c r="K5517" s="33" t="s">
        <v>1823</v>
      </c>
    </row>
    <row r="5518" spans="1:11" x14ac:dyDescent="0.25">
      <c r="A5518"/>
      <c r="C5518" t="s">
        <v>5174</v>
      </c>
      <c r="D5518" s="9" t="s">
        <v>5088</v>
      </c>
      <c r="F5518" s="6">
        <v>160</v>
      </c>
      <c r="G5518" s="6">
        <f t="shared" si="276"/>
        <v>160</v>
      </c>
      <c r="H5518" s="6">
        <v>160</v>
      </c>
      <c r="I5518" s="26">
        <f t="shared" si="277"/>
        <v>0</v>
      </c>
      <c r="J5518" s="7" t="str">
        <f t="shared" si="275"/>
        <v>PAGADO</v>
      </c>
    </row>
    <row r="5519" spans="1:11" x14ac:dyDescent="0.25">
      <c r="A5519"/>
      <c r="C5519" t="s">
        <v>5175</v>
      </c>
      <c r="D5519" s="9" t="s">
        <v>4905</v>
      </c>
      <c r="F5519" s="6">
        <v>130</v>
      </c>
      <c r="G5519" s="6">
        <f t="shared" si="276"/>
        <v>130</v>
      </c>
      <c r="H5519" s="6">
        <v>130</v>
      </c>
      <c r="I5519" s="26">
        <f t="shared" si="277"/>
        <v>0</v>
      </c>
      <c r="J5519" s="7" t="str">
        <f t="shared" ref="J5519:J5582" si="278">IF(I5519&gt;0,"DEBE","PAGADO")</f>
        <v>PAGADO</v>
      </c>
    </row>
    <row r="5520" spans="1:11" x14ac:dyDescent="0.25">
      <c r="A5520"/>
      <c r="C5520" t="s">
        <v>3945</v>
      </c>
      <c r="D5520" s="9" t="s">
        <v>4905</v>
      </c>
      <c r="F5520" s="6">
        <v>80</v>
      </c>
      <c r="G5520" s="6">
        <f t="shared" si="276"/>
        <v>80</v>
      </c>
      <c r="H5520" s="6">
        <v>80</v>
      </c>
      <c r="I5520" s="26">
        <f t="shared" si="277"/>
        <v>0</v>
      </c>
      <c r="J5520" s="7" t="str">
        <f t="shared" si="278"/>
        <v>PAGADO</v>
      </c>
    </row>
    <row r="5521" spans="1:11" x14ac:dyDescent="0.25">
      <c r="A5521"/>
      <c r="C5521" t="s">
        <v>2533</v>
      </c>
      <c r="D5521" s="9" t="s">
        <v>4905</v>
      </c>
      <c r="F5521" s="6">
        <v>65</v>
      </c>
      <c r="G5521" s="6">
        <f t="shared" si="276"/>
        <v>65</v>
      </c>
      <c r="H5521" s="6">
        <v>65</v>
      </c>
      <c r="I5521" s="26">
        <f t="shared" si="277"/>
        <v>0</v>
      </c>
      <c r="J5521" s="7" t="str">
        <f t="shared" si="278"/>
        <v>PAGADO</v>
      </c>
    </row>
    <row r="5522" spans="1:11" x14ac:dyDescent="0.25">
      <c r="A5522"/>
      <c r="C5522" t="s">
        <v>5176</v>
      </c>
      <c r="D5522" s="9" t="s">
        <v>2548</v>
      </c>
      <c r="F5522" s="6">
        <v>250</v>
      </c>
      <c r="G5522" s="6">
        <f t="shared" si="276"/>
        <v>250</v>
      </c>
      <c r="H5522" s="6">
        <v>125</v>
      </c>
      <c r="I5522" s="26">
        <f t="shared" si="277"/>
        <v>125</v>
      </c>
      <c r="J5522" s="7" t="str">
        <f t="shared" si="278"/>
        <v>DEBE</v>
      </c>
      <c r="K5522" t="s">
        <v>2754</v>
      </c>
    </row>
    <row r="5523" spans="1:11" x14ac:dyDescent="0.25">
      <c r="A5523"/>
      <c r="C5523" t="s">
        <v>4809</v>
      </c>
      <c r="D5523" s="9" t="s">
        <v>2548</v>
      </c>
      <c r="F5523" s="6">
        <v>70</v>
      </c>
      <c r="G5523" s="6">
        <f t="shared" si="276"/>
        <v>70</v>
      </c>
      <c r="H5523" s="6">
        <v>70</v>
      </c>
      <c r="I5523" s="26">
        <f t="shared" si="277"/>
        <v>0</v>
      </c>
      <c r="J5523" s="7" t="str">
        <f t="shared" si="278"/>
        <v>PAGADO</v>
      </c>
    </row>
    <row r="5524" spans="1:11" x14ac:dyDescent="0.25">
      <c r="A5524"/>
      <c r="C5524" t="s">
        <v>5177</v>
      </c>
      <c r="D5524" s="9" t="s">
        <v>2548</v>
      </c>
      <c r="F5524" s="6">
        <v>60</v>
      </c>
      <c r="G5524" s="6">
        <f t="shared" si="276"/>
        <v>60</v>
      </c>
      <c r="H5524" s="6">
        <v>60</v>
      </c>
      <c r="I5524" s="26">
        <f t="shared" si="277"/>
        <v>0</v>
      </c>
      <c r="J5524" s="7" t="str">
        <f t="shared" si="278"/>
        <v>PAGADO</v>
      </c>
    </row>
    <row r="5525" spans="1:11" x14ac:dyDescent="0.25">
      <c r="A5525"/>
      <c r="C5525" s="9" t="s">
        <v>5178</v>
      </c>
      <c r="D5525" s="9" t="s">
        <v>2548</v>
      </c>
      <c r="F5525" s="6">
        <v>1100</v>
      </c>
      <c r="G5525" s="6">
        <f t="shared" si="276"/>
        <v>1100</v>
      </c>
      <c r="H5525" s="6">
        <v>550</v>
      </c>
      <c r="I5525" s="26">
        <f t="shared" si="277"/>
        <v>550</v>
      </c>
      <c r="J5525" s="7" t="str">
        <f t="shared" si="278"/>
        <v>DEBE</v>
      </c>
      <c r="K5525" t="s">
        <v>2754</v>
      </c>
    </row>
    <row r="5526" spans="1:11" x14ac:dyDescent="0.25">
      <c r="A5526"/>
      <c r="C5526" s="9" t="s">
        <v>5179</v>
      </c>
      <c r="D5526" s="9" t="s">
        <v>2548</v>
      </c>
      <c r="F5526" s="6">
        <v>60</v>
      </c>
      <c r="G5526" s="6">
        <f t="shared" si="276"/>
        <v>60</v>
      </c>
      <c r="H5526" s="6">
        <v>60</v>
      </c>
      <c r="I5526" s="26">
        <f t="shared" si="277"/>
        <v>0</v>
      </c>
      <c r="J5526" s="7" t="str">
        <f t="shared" si="278"/>
        <v>PAGADO</v>
      </c>
    </row>
    <row r="5527" spans="1:11" x14ac:dyDescent="0.25">
      <c r="A5527"/>
      <c r="C5527" s="9" t="s">
        <v>5180</v>
      </c>
      <c r="D5527" s="9" t="s">
        <v>692</v>
      </c>
      <c r="F5527" s="6">
        <v>38</v>
      </c>
      <c r="G5527" s="6">
        <f t="shared" si="276"/>
        <v>38</v>
      </c>
      <c r="H5527" s="6">
        <v>38</v>
      </c>
      <c r="I5527" s="6">
        <f t="shared" si="277"/>
        <v>0</v>
      </c>
      <c r="J5527" s="7" t="str">
        <f t="shared" si="278"/>
        <v>PAGADO</v>
      </c>
    </row>
    <row r="5528" spans="1:11" x14ac:dyDescent="0.25">
      <c r="A5528"/>
      <c r="C5528" s="9" t="s">
        <v>5181</v>
      </c>
      <c r="D5528" s="9" t="s">
        <v>5182</v>
      </c>
      <c r="F5528" s="6">
        <v>120</v>
      </c>
      <c r="G5528" s="6">
        <f t="shared" si="276"/>
        <v>120</v>
      </c>
      <c r="H5528" s="6">
        <v>120</v>
      </c>
      <c r="I5528" s="26">
        <f t="shared" si="277"/>
        <v>0</v>
      </c>
      <c r="J5528" s="7" t="str">
        <f t="shared" si="278"/>
        <v>PAGADO</v>
      </c>
    </row>
    <row r="5529" spans="1:11" x14ac:dyDescent="0.25">
      <c r="A5529"/>
      <c r="C5529" s="9" t="s">
        <v>3397</v>
      </c>
      <c r="D5529" s="9" t="s">
        <v>5183</v>
      </c>
      <c r="F5529" s="6">
        <v>55</v>
      </c>
      <c r="G5529" s="6">
        <f t="shared" si="276"/>
        <v>55</v>
      </c>
      <c r="H5529" s="6">
        <v>55</v>
      </c>
      <c r="I5529" s="26">
        <f t="shared" si="277"/>
        <v>0</v>
      </c>
      <c r="J5529" s="7" t="str">
        <f t="shared" si="278"/>
        <v>PAGADO</v>
      </c>
      <c r="K5529" t="s">
        <v>5184</v>
      </c>
    </row>
    <row r="5530" spans="1:11" x14ac:dyDescent="0.25">
      <c r="A5530"/>
      <c r="C5530" s="9" t="s">
        <v>4992</v>
      </c>
      <c r="D5530" t="s">
        <v>3081</v>
      </c>
      <c r="F5530" s="6">
        <v>60</v>
      </c>
      <c r="G5530" s="6">
        <f t="shared" si="276"/>
        <v>60</v>
      </c>
      <c r="H5530" s="6">
        <f>30+30</f>
        <v>60</v>
      </c>
      <c r="I5530" s="26">
        <f t="shared" si="277"/>
        <v>0</v>
      </c>
      <c r="J5530" s="7" t="str">
        <f t="shared" si="278"/>
        <v>PAGADO</v>
      </c>
      <c r="K5530" s="33" t="s">
        <v>3819</v>
      </c>
    </row>
    <row r="5531" spans="1:11" x14ac:dyDescent="0.25">
      <c r="A5531"/>
      <c r="C5531" s="9" t="s">
        <v>5008</v>
      </c>
      <c r="D5531" s="9" t="s">
        <v>3143</v>
      </c>
      <c r="F5531" s="6">
        <v>80</v>
      </c>
      <c r="G5531" s="6">
        <f t="shared" si="276"/>
        <v>80</v>
      </c>
      <c r="H5531" s="6">
        <v>80</v>
      </c>
      <c r="I5531" s="26">
        <f t="shared" si="277"/>
        <v>0</v>
      </c>
      <c r="J5531" s="7" t="str">
        <f t="shared" si="278"/>
        <v>PAGADO</v>
      </c>
      <c r="K5531" s="33" t="s">
        <v>3819</v>
      </c>
    </row>
    <row r="5532" spans="1:11" x14ac:dyDescent="0.25">
      <c r="A5532"/>
      <c r="C5532" s="9" t="s">
        <v>4564</v>
      </c>
      <c r="D5532" s="9" t="s">
        <v>3143</v>
      </c>
      <c r="F5532" s="6">
        <v>80</v>
      </c>
      <c r="G5532" s="6">
        <f t="shared" si="276"/>
        <v>80</v>
      </c>
      <c r="H5532" s="6">
        <v>80</v>
      </c>
      <c r="I5532" s="26">
        <f t="shared" si="277"/>
        <v>0</v>
      </c>
      <c r="J5532" s="7" t="str">
        <f t="shared" si="278"/>
        <v>PAGADO</v>
      </c>
      <c r="K5532" s="33" t="s">
        <v>3819</v>
      </c>
    </row>
    <row r="5533" spans="1:11" x14ac:dyDescent="0.25">
      <c r="A5533"/>
      <c r="C5533" s="9" t="s">
        <v>5185</v>
      </c>
      <c r="D5533" s="9" t="s">
        <v>5145</v>
      </c>
      <c r="F5533" s="6">
        <v>100</v>
      </c>
      <c r="G5533" s="6">
        <f t="shared" si="276"/>
        <v>100</v>
      </c>
      <c r="H5533" s="6">
        <f>50+50</f>
        <v>100</v>
      </c>
      <c r="I5533" s="26">
        <f t="shared" si="277"/>
        <v>0</v>
      </c>
      <c r="J5533" s="7" t="str">
        <f t="shared" si="278"/>
        <v>PAGADO</v>
      </c>
      <c r="K5533" s="28" t="s">
        <v>2714</v>
      </c>
    </row>
    <row r="5534" spans="1:11" x14ac:dyDescent="0.25">
      <c r="A5534"/>
      <c r="C5534" s="9" t="s">
        <v>5186</v>
      </c>
      <c r="D5534" s="9" t="s">
        <v>2548</v>
      </c>
      <c r="F5534" s="6">
        <v>670</v>
      </c>
      <c r="G5534" s="6">
        <f t="shared" si="276"/>
        <v>670</v>
      </c>
      <c r="H5534" s="6">
        <v>335</v>
      </c>
      <c r="I5534" s="26">
        <f t="shared" si="277"/>
        <v>335</v>
      </c>
      <c r="J5534" s="7" t="str">
        <f t="shared" si="278"/>
        <v>DEBE</v>
      </c>
      <c r="K5534" t="s">
        <v>2754</v>
      </c>
    </row>
    <row r="5535" spans="1:11" x14ac:dyDescent="0.25">
      <c r="A5535"/>
      <c r="C5535" s="9" t="s">
        <v>5187</v>
      </c>
      <c r="D5535" s="9" t="s">
        <v>2153</v>
      </c>
      <c r="F5535" s="6">
        <v>12</v>
      </c>
      <c r="G5535" s="6">
        <f t="shared" si="276"/>
        <v>12</v>
      </c>
      <c r="H5535" s="6">
        <v>12</v>
      </c>
      <c r="I5535" s="26">
        <f t="shared" si="277"/>
        <v>0</v>
      </c>
      <c r="J5535" s="7" t="str">
        <f t="shared" si="278"/>
        <v>PAGADO</v>
      </c>
      <c r="K5535" s="33" t="s">
        <v>3506</v>
      </c>
    </row>
    <row r="5536" spans="1:11" x14ac:dyDescent="0.25">
      <c r="A5536"/>
      <c r="C5536" s="9" t="s">
        <v>5188</v>
      </c>
      <c r="D5536" s="9" t="s">
        <v>5164</v>
      </c>
      <c r="F5536" s="6">
        <v>70</v>
      </c>
      <c r="G5536" s="6">
        <f t="shared" si="276"/>
        <v>70</v>
      </c>
      <c r="H5536" s="6">
        <v>70</v>
      </c>
      <c r="I5536" s="26">
        <f t="shared" si="277"/>
        <v>0</v>
      </c>
      <c r="J5536" s="7" t="str">
        <f t="shared" si="278"/>
        <v>PAGADO</v>
      </c>
      <c r="K5536" s="96" t="s">
        <v>3506</v>
      </c>
    </row>
    <row r="5537" spans="1:12" x14ac:dyDescent="0.25">
      <c r="A5537"/>
      <c r="C5537" s="9" t="s">
        <v>5189</v>
      </c>
      <c r="D5537" s="9" t="s">
        <v>5164</v>
      </c>
      <c r="F5537" s="6">
        <v>12</v>
      </c>
      <c r="G5537" s="6">
        <f t="shared" si="276"/>
        <v>12</v>
      </c>
      <c r="H5537" s="6">
        <v>12</v>
      </c>
      <c r="I5537" s="26">
        <f t="shared" si="277"/>
        <v>0</v>
      </c>
      <c r="J5537" s="7" t="str">
        <f t="shared" si="278"/>
        <v>PAGADO</v>
      </c>
      <c r="K5537" s="96" t="s">
        <v>3506</v>
      </c>
    </row>
    <row r="5538" spans="1:12" x14ac:dyDescent="0.25">
      <c r="A5538"/>
      <c r="C5538" s="9" t="s">
        <v>3754</v>
      </c>
      <c r="D5538" s="9" t="s">
        <v>3352</v>
      </c>
      <c r="F5538" s="6">
        <v>70</v>
      </c>
      <c r="G5538" s="6">
        <f t="shared" si="276"/>
        <v>70</v>
      </c>
      <c r="H5538" s="6">
        <f>35+35</f>
        <v>70</v>
      </c>
      <c r="I5538" s="26">
        <f t="shared" si="277"/>
        <v>0</v>
      </c>
      <c r="J5538" s="7" t="str">
        <f t="shared" si="278"/>
        <v>PAGADO</v>
      </c>
      <c r="K5538" s="33" t="s">
        <v>3506</v>
      </c>
    </row>
    <row r="5539" spans="1:12" x14ac:dyDescent="0.25">
      <c r="A5539"/>
      <c r="C5539" s="9" t="s">
        <v>5190</v>
      </c>
      <c r="D5539" s="9" t="s">
        <v>3352</v>
      </c>
      <c r="F5539" s="6">
        <v>55</v>
      </c>
      <c r="G5539" s="6">
        <f t="shared" si="276"/>
        <v>55</v>
      </c>
      <c r="H5539" s="6">
        <f>27.5+27.5</f>
        <v>55</v>
      </c>
      <c r="I5539" s="26">
        <f t="shared" si="277"/>
        <v>0</v>
      </c>
      <c r="J5539" s="7" t="str">
        <f t="shared" si="278"/>
        <v>PAGADO</v>
      </c>
      <c r="K5539" s="33" t="s">
        <v>3506</v>
      </c>
      <c r="L5539" s="9"/>
    </row>
    <row r="5540" spans="1:12" x14ac:dyDescent="0.25">
      <c r="A5540"/>
      <c r="C5540" s="9" t="s">
        <v>5191</v>
      </c>
      <c r="D5540" s="9" t="s">
        <v>3352</v>
      </c>
      <c r="F5540" s="6">
        <v>60</v>
      </c>
      <c r="G5540" s="6">
        <f t="shared" si="276"/>
        <v>60</v>
      </c>
      <c r="H5540" s="6">
        <f>30+30</f>
        <v>60</v>
      </c>
      <c r="I5540" s="26">
        <f t="shared" si="277"/>
        <v>0</v>
      </c>
      <c r="J5540" s="7" t="str">
        <f t="shared" si="278"/>
        <v>PAGADO</v>
      </c>
      <c r="K5540" s="33" t="s">
        <v>3506</v>
      </c>
    </row>
    <row r="5541" spans="1:12" x14ac:dyDescent="0.25">
      <c r="A5541"/>
      <c r="C5541" s="9" t="s">
        <v>5192</v>
      </c>
      <c r="D5541" s="9" t="s">
        <v>3352</v>
      </c>
      <c r="F5541" s="6">
        <v>55</v>
      </c>
      <c r="G5541" s="6">
        <f t="shared" si="276"/>
        <v>55</v>
      </c>
      <c r="H5541" s="6">
        <f>27.5+27.5</f>
        <v>55</v>
      </c>
      <c r="I5541" s="26">
        <f t="shared" si="277"/>
        <v>0</v>
      </c>
      <c r="J5541" s="7" t="str">
        <f t="shared" si="278"/>
        <v>PAGADO</v>
      </c>
      <c r="K5541" s="33" t="s">
        <v>3506</v>
      </c>
    </row>
    <row r="5542" spans="1:12" x14ac:dyDescent="0.25">
      <c r="A5542"/>
      <c r="C5542" s="9" t="s">
        <v>5193</v>
      </c>
      <c r="D5542" s="9" t="s">
        <v>3352</v>
      </c>
      <c r="F5542" s="6">
        <v>120</v>
      </c>
      <c r="G5542" s="6">
        <f t="shared" si="276"/>
        <v>120</v>
      </c>
      <c r="H5542" s="6">
        <v>120</v>
      </c>
      <c r="I5542" s="26">
        <f t="shared" si="277"/>
        <v>0</v>
      </c>
      <c r="J5542" s="7" t="str">
        <f t="shared" si="278"/>
        <v>PAGADO</v>
      </c>
      <c r="K5542" t="s">
        <v>2714</v>
      </c>
    </row>
    <row r="5543" spans="1:12" x14ac:dyDescent="0.25">
      <c r="A5543"/>
      <c r="C5543" s="9" t="s">
        <v>5020</v>
      </c>
      <c r="D5543" s="9" t="s">
        <v>2548</v>
      </c>
      <c r="F5543" s="6">
        <v>150</v>
      </c>
      <c r="G5543" s="6">
        <f t="shared" si="276"/>
        <v>150</v>
      </c>
      <c r="H5543" s="6">
        <v>150</v>
      </c>
      <c r="I5543" s="26">
        <f t="shared" si="277"/>
        <v>0</v>
      </c>
      <c r="J5543" s="7" t="str">
        <f t="shared" si="278"/>
        <v>PAGADO</v>
      </c>
      <c r="K5543" s="33" t="s">
        <v>3819</v>
      </c>
    </row>
    <row r="5544" spans="1:12" x14ac:dyDescent="0.25">
      <c r="A5544"/>
      <c r="C5544" s="14" t="s">
        <v>4619</v>
      </c>
      <c r="D5544" s="14" t="s">
        <v>2548</v>
      </c>
      <c r="E5544" s="15"/>
      <c r="F5544" s="16">
        <v>90</v>
      </c>
      <c r="G5544" s="16">
        <f t="shared" si="276"/>
        <v>90</v>
      </c>
      <c r="H5544" s="16">
        <f>45+45</f>
        <v>90</v>
      </c>
      <c r="I5544" s="16">
        <f t="shared" si="277"/>
        <v>0</v>
      </c>
      <c r="J5544" s="17" t="str">
        <f t="shared" si="278"/>
        <v>PAGADO</v>
      </c>
      <c r="K5544" s="59" t="s">
        <v>2712</v>
      </c>
    </row>
    <row r="5545" spans="1:12" x14ac:dyDescent="0.25">
      <c r="A5545"/>
      <c r="C5545" s="9" t="s">
        <v>5194</v>
      </c>
      <c r="D5545" s="9" t="s">
        <v>18</v>
      </c>
      <c r="F5545" s="6">
        <v>100</v>
      </c>
      <c r="G5545" s="6">
        <f t="shared" si="276"/>
        <v>100</v>
      </c>
      <c r="H5545" s="6">
        <v>100</v>
      </c>
      <c r="I5545" s="26">
        <f t="shared" si="277"/>
        <v>0</v>
      </c>
      <c r="J5545" s="7" t="str">
        <f t="shared" si="278"/>
        <v>PAGADO</v>
      </c>
    </row>
    <row r="5546" spans="1:12" x14ac:dyDescent="0.25">
      <c r="A5546"/>
      <c r="C5546" s="9" t="s">
        <v>5195</v>
      </c>
      <c r="D5546" s="9" t="s">
        <v>2878</v>
      </c>
      <c r="F5546" s="6">
        <v>920</v>
      </c>
      <c r="G5546" s="6">
        <f t="shared" si="276"/>
        <v>920</v>
      </c>
      <c r="H5546" s="6">
        <v>920</v>
      </c>
      <c r="I5546" s="26">
        <f t="shared" si="277"/>
        <v>0</v>
      </c>
      <c r="J5546" s="7" t="str">
        <f t="shared" si="278"/>
        <v>PAGADO</v>
      </c>
      <c r="K5546" s="59" t="s">
        <v>4505</v>
      </c>
    </row>
    <row r="5547" spans="1:12" x14ac:dyDescent="0.25">
      <c r="A5547"/>
      <c r="C5547" s="9" t="s">
        <v>5196</v>
      </c>
      <c r="D5547" s="9" t="s">
        <v>4407</v>
      </c>
      <c r="F5547" s="6">
        <v>60</v>
      </c>
      <c r="G5547" s="6">
        <f t="shared" si="276"/>
        <v>60</v>
      </c>
      <c r="H5547" s="6">
        <v>60</v>
      </c>
      <c r="I5547" s="26">
        <f t="shared" si="277"/>
        <v>0</v>
      </c>
      <c r="J5547" s="7" t="str">
        <f t="shared" si="278"/>
        <v>PAGADO</v>
      </c>
    </row>
    <row r="5548" spans="1:12" x14ac:dyDescent="0.25">
      <c r="A5548"/>
      <c r="C5548" s="9" t="s">
        <v>5197</v>
      </c>
      <c r="D5548" s="9" t="s">
        <v>5198</v>
      </c>
      <c r="F5548" s="6">
        <v>55</v>
      </c>
      <c r="G5548" s="6">
        <f t="shared" si="276"/>
        <v>55</v>
      </c>
      <c r="H5548" s="6">
        <v>55</v>
      </c>
      <c r="I5548" s="26">
        <f t="shared" si="277"/>
        <v>0</v>
      </c>
      <c r="J5548" s="7" t="str">
        <f t="shared" si="278"/>
        <v>PAGADO</v>
      </c>
    </row>
    <row r="5549" spans="1:12" x14ac:dyDescent="0.25">
      <c r="A5549"/>
      <c r="C5549" s="9" t="s">
        <v>5199</v>
      </c>
      <c r="D5549" s="9" t="s">
        <v>2548</v>
      </c>
      <c r="F5549" s="6">
        <v>65</v>
      </c>
      <c r="G5549" s="6">
        <f t="shared" si="276"/>
        <v>65</v>
      </c>
      <c r="H5549" s="6">
        <v>65</v>
      </c>
      <c r="I5549" s="26">
        <f t="shared" si="277"/>
        <v>0</v>
      </c>
      <c r="J5549" s="7" t="str">
        <f t="shared" si="278"/>
        <v>PAGADO</v>
      </c>
    </row>
    <row r="5550" spans="1:12" x14ac:dyDescent="0.25">
      <c r="A5550"/>
      <c r="C5550" s="9" t="s">
        <v>5077</v>
      </c>
      <c r="D5550" s="9" t="s">
        <v>2548</v>
      </c>
      <c r="F5550" s="6">
        <v>60</v>
      </c>
      <c r="G5550" s="6">
        <f t="shared" si="276"/>
        <v>60</v>
      </c>
      <c r="H5550" s="6">
        <v>60</v>
      </c>
      <c r="I5550" s="48">
        <f t="shared" si="277"/>
        <v>0</v>
      </c>
      <c r="J5550" s="7" t="str">
        <f t="shared" si="278"/>
        <v>PAGADO</v>
      </c>
      <c r="K5550" s="33" t="s">
        <v>3506</v>
      </c>
    </row>
    <row r="5551" spans="1:12" x14ac:dyDescent="0.25">
      <c r="A5551"/>
      <c r="C5551" s="14" t="s">
        <v>5188</v>
      </c>
      <c r="D5551" s="14" t="s">
        <v>2548</v>
      </c>
      <c r="E5551" s="15"/>
      <c r="F5551" s="16">
        <v>75</v>
      </c>
      <c r="G5551" s="16">
        <f t="shared" si="276"/>
        <v>75</v>
      </c>
      <c r="H5551" s="16">
        <v>75</v>
      </c>
      <c r="I5551" s="16">
        <f t="shared" si="277"/>
        <v>0</v>
      </c>
      <c r="J5551" s="17" t="str">
        <f t="shared" si="278"/>
        <v>PAGADO</v>
      </c>
      <c r="K5551" s="59" t="s">
        <v>2712</v>
      </c>
      <c r="L5551" s="22"/>
    </row>
    <row r="5552" spans="1:12" x14ac:dyDescent="0.25">
      <c r="A5552"/>
      <c r="C5552" t="s">
        <v>1649</v>
      </c>
      <c r="D5552" s="9" t="s">
        <v>5172</v>
      </c>
      <c r="F5552" s="6">
        <v>60</v>
      </c>
      <c r="G5552" s="6">
        <f t="shared" si="276"/>
        <v>60</v>
      </c>
      <c r="H5552" s="6">
        <v>60</v>
      </c>
      <c r="I5552" s="26">
        <f t="shared" si="277"/>
        <v>0</v>
      </c>
      <c r="J5552" s="7" t="str">
        <f t="shared" si="278"/>
        <v>PAGADO</v>
      </c>
    </row>
    <row r="5553" spans="1:11" x14ac:dyDescent="0.25">
      <c r="A5553"/>
      <c r="C5553" s="9" t="s">
        <v>5200</v>
      </c>
      <c r="D5553" s="9" t="s">
        <v>2360</v>
      </c>
      <c r="F5553" s="6">
        <v>60</v>
      </c>
      <c r="G5553" s="6">
        <f t="shared" si="276"/>
        <v>60</v>
      </c>
      <c r="H5553" s="6">
        <v>60</v>
      </c>
      <c r="I5553" s="31">
        <f t="shared" si="277"/>
        <v>0</v>
      </c>
      <c r="J5553" s="7" t="str">
        <f t="shared" si="278"/>
        <v>PAGADO</v>
      </c>
      <c r="K5553" s="33" t="s">
        <v>3506</v>
      </c>
    </row>
    <row r="5554" spans="1:11" x14ac:dyDescent="0.25">
      <c r="A5554"/>
      <c r="C5554" t="s">
        <v>5201</v>
      </c>
      <c r="D5554" s="9" t="s">
        <v>3865</v>
      </c>
      <c r="F5554" s="6">
        <v>230</v>
      </c>
      <c r="G5554" s="6">
        <f t="shared" si="276"/>
        <v>230</v>
      </c>
      <c r="H5554" s="6">
        <v>230</v>
      </c>
      <c r="I5554" s="26">
        <f t="shared" si="277"/>
        <v>0</v>
      </c>
      <c r="J5554" s="7" t="str">
        <f t="shared" si="278"/>
        <v>PAGADO</v>
      </c>
    </row>
    <row r="5555" spans="1:11" x14ac:dyDescent="0.25">
      <c r="A5555"/>
      <c r="C5555" t="s">
        <v>2823</v>
      </c>
      <c r="D5555" s="9" t="s">
        <v>5202</v>
      </c>
      <c r="F5555" s="6">
        <v>75</v>
      </c>
      <c r="G5555" s="6">
        <f t="shared" si="276"/>
        <v>75</v>
      </c>
      <c r="H5555" s="6">
        <v>75</v>
      </c>
      <c r="I5555" s="26">
        <f t="shared" si="277"/>
        <v>0</v>
      </c>
      <c r="J5555" s="7" t="str">
        <f t="shared" si="278"/>
        <v>PAGADO</v>
      </c>
    </row>
    <row r="5556" spans="1:11" x14ac:dyDescent="0.25">
      <c r="A5556"/>
      <c r="C5556" s="9" t="s">
        <v>5203</v>
      </c>
      <c r="D5556" s="9" t="s">
        <v>3653</v>
      </c>
      <c r="F5556" s="6">
        <v>48</v>
      </c>
      <c r="G5556" s="6">
        <f t="shared" si="276"/>
        <v>48</v>
      </c>
      <c r="H5556" s="6">
        <v>48</v>
      </c>
      <c r="I5556" s="26">
        <f t="shared" si="277"/>
        <v>0</v>
      </c>
      <c r="J5556" s="7" t="str">
        <f t="shared" si="278"/>
        <v>PAGADO</v>
      </c>
      <c r="K5556" s="33" t="s">
        <v>3506</v>
      </c>
    </row>
    <row r="5557" spans="1:11" x14ac:dyDescent="0.25">
      <c r="A5557"/>
      <c r="C5557" s="9" t="s">
        <v>4354</v>
      </c>
      <c r="D5557" s="9" t="s">
        <v>3653</v>
      </c>
      <c r="F5557" s="6">
        <v>80</v>
      </c>
      <c r="G5557" s="6">
        <f t="shared" si="276"/>
        <v>80</v>
      </c>
      <c r="H5557" s="6">
        <v>80</v>
      </c>
      <c r="I5557" s="26">
        <f t="shared" si="277"/>
        <v>0</v>
      </c>
      <c r="J5557" s="7" t="str">
        <f t="shared" si="278"/>
        <v>PAGADO</v>
      </c>
      <c r="K5557" s="33" t="s">
        <v>3506</v>
      </c>
    </row>
    <row r="5558" spans="1:11" x14ac:dyDescent="0.25">
      <c r="A5558"/>
      <c r="C5558" t="s">
        <v>3028</v>
      </c>
      <c r="D5558" s="9" t="s">
        <v>2633</v>
      </c>
      <c r="F5558" s="6">
        <v>100</v>
      </c>
      <c r="G5558" s="6">
        <f t="shared" si="276"/>
        <v>100</v>
      </c>
      <c r="H5558" s="6">
        <f>50+50</f>
        <v>100</v>
      </c>
      <c r="I5558" s="26">
        <f t="shared" si="277"/>
        <v>0</v>
      </c>
      <c r="J5558" s="7" t="str">
        <f t="shared" si="278"/>
        <v>PAGADO</v>
      </c>
      <c r="K5558" s="9" t="s">
        <v>2712</v>
      </c>
    </row>
    <row r="5559" spans="1:11" x14ac:dyDescent="0.25">
      <c r="A5559"/>
      <c r="C5559" t="s">
        <v>5204</v>
      </c>
      <c r="D5559" t="s">
        <v>5205</v>
      </c>
      <c r="F5559" s="6">
        <v>60</v>
      </c>
      <c r="G5559" s="6">
        <f t="shared" si="276"/>
        <v>60</v>
      </c>
      <c r="H5559" s="6">
        <v>60</v>
      </c>
      <c r="I5559" s="26">
        <f t="shared" si="277"/>
        <v>0</v>
      </c>
      <c r="J5559" s="7" t="str">
        <f t="shared" si="278"/>
        <v>PAGADO</v>
      </c>
    </row>
    <row r="5560" spans="1:11" x14ac:dyDescent="0.25">
      <c r="A5560"/>
      <c r="C5560" t="s">
        <v>5206</v>
      </c>
      <c r="D5560" t="s">
        <v>5207</v>
      </c>
      <c r="F5560" s="6">
        <v>60</v>
      </c>
      <c r="G5560" s="6">
        <f t="shared" si="276"/>
        <v>60</v>
      </c>
      <c r="H5560" s="6">
        <v>60</v>
      </c>
      <c r="I5560" s="26">
        <f t="shared" si="277"/>
        <v>0</v>
      </c>
      <c r="J5560" s="7" t="str">
        <f t="shared" si="278"/>
        <v>PAGADO</v>
      </c>
    </row>
    <row r="5561" spans="1:11" x14ac:dyDescent="0.25">
      <c r="A5561"/>
      <c r="C5561" t="s">
        <v>5208</v>
      </c>
      <c r="D5561" t="s">
        <v>5209</v>
      </c>
      <c r="F5561" s="6">
        <v>60</v>
      </c>
      <c r="G5561" s="6">
        <f t="shared" si="276"/>
        <v>60</v>
      </c>
      <c r="H5561" s="6">
        <f>30+30</f>
        <v>60</v>
      </c>
      <c r="I5561" s="26">
        <f t="shared" si="277"/>
        <v>0</v>
      </c>
      <c r="J5561" s="7" t="str">
        <f t="shared" si="278"/>
        <v>PAGADO</v>
      </c>
    </row>
    <row r="5562" spans="1:11" x14ac:dyDescent="0.25">
      <c r="A5562"/>
      <c r="C5562" t="s">
        <v>5210</v>
      </c>
      <c r="D5562" t="s">
        <v>5211</v>
      </c>
      <c r="F5562" s="6">
        <v>90</v>
      </c>
      <c r="G5562" s="6">
        <f t="shared" si="276"/>
        <v>90</v>
      </c>
      <c r="H5562" s="6">
        <v>90</v>
      </c>
      <c r="I5562" s="26">
        <f t="shared" si="277"/>
        <v>0</v>
      </c>
      <c r="J5562" s="7" t="str">
        <f t="shared" si="278"/>
        <v>PAGADO</v>
      </c>
    </row>
    <row r="5563" spans="1:11" x14ac:dyDescent="0.25">
      <c r="A5563"/>
      <c r="C5563" s="9" t="s">
        <v>5212</v>
      </c>
      <c r="D5563" s="9" t="s">
        <v>3352</v>
      </c>
      <c r="F5563" s="6">
        <v>75</v>
      </c>
      <c r="G5563" s="6">
        <f t="shared" si="276"/>
        <v>75</v>
      </c>
      <c r="H5563" s="6">
        <v>75</v>
      </c>
      <c r="I5563" s="26">
        <f t="shared" si="277"/>
        <v>0</v>
      </c>
      <c r="J5563" s="7" t="str">
        <f t="shared" si="278"/>
        <v>PAGADO</v>
      </c>
    </row>
    <row r="5564" spans="1:11" x14ac:dyDescent="0.25">
      <c r="A5564"/>
      <c r="C5564" s="9" t="s">
        <v>5213</v>
      </c>
      <c r="D5564" s="9" t="s">
        <v>3352</v>
      </c>
      <c r="F5564" s="6">
        <v>60</v>
      </c>
      <c r="G5564" s="6">
        <f t="shared" si="276"/>
        <v>60</v>
      </c>
      <c r="H5564" s="6">
        <v>60</v>
      </c>
      <c r="I5564" s="26">
        <f t="shared" si="277"/>
        <v>0</v>
      </c>
      <c r="J5564" s="7" t="str">
        <f t="shared" si="278"/>
        <v>PAGADO</v>
      </c>
    </row>
    <row r="5565" spans="1:11" x14ac:dyDescent="0.25">
      <c r="A5565"/>
      <c r="C5565" s="9" t="s">
        <v>5214</v>
      </c>
      <c r="D5565" s="9" t="s">
        <v>3352</v>
      </c>
      <c r="F5565" s="6">
        <v>75</v>
      </c>
      <c r="G5565" s="6">
        <f t="shared" si="276"/>
        <v>75</v>
      </c>
      <c r="H5565" s="6">
        <v>75</v>
      </c>
      <c r="I5565" s="26">
        <f t="shared" si="277"/>
        <v>0</v>
      </c>
      <c r="J5565" s="7" t="str">
        <f t="shared" si="278"/>
        <v>PAGADO</v>
      </c>
    </row>
    <row r="5566" spans="1:11" x14ac:dyDescent="0.25">
      <c r="A5566"/>
      <c r="C5566" s="9" t="s">
        <v>5215</v>
      </c>
      <c r="D5566" s="9" t="s">
        <v>3352</v>
      </c>
      <c r="F5566" s="6">
        <v>30</v>
      </c>
      <c r="G5566" s="6">
        <f t="shared" ref="G5566:G5629" si="279">F5566-E5566</f>
        <v>30</v>
      </c>
      <c r="H5566" s="6">
        <v>30</v>
      </c>
      <c r="I5566" s="26">
        <f t="shared" si="277"/>
        <v>0</v>
      </c>
      <c r="J5566" s="7" t="str">
        <f t="shared" si="278"/>
        <v>PAGADO</v>
      </c>
    </row>
    <row r="5567" spans="1:11" x14ac:dyDescent="0.25">
      <c r="A5567"/>
      <c r="C5567" s="9" t="s">
        <v>3638</v>
      </c>
      <c r="D5567" s="9" t="s">
        <v>3352</v>
      </c>
      <c r="F5567" s="6">
        <v>60</v>
      </c>
      <c r="G5567" s="6">
        <f t="shared" si="279"/>
        <v>60</v>
      </c>
      <c r="H5567" s="6">
        <v>60</v>
      </c>
      <c r="I5567" s="26">
        <f t="shared" si="277"/>
        <v>0</v>
      </c>
      <c r="J5567" s="7" t="str">
        <f t="shared" si="278"/>
        <v>PAGADO</v>
      </c>
    </row>
    <row r="5568" spans="1:11" x14ac:dyDescent="0.25">
      <c r="A5568"/>
      <c r="C5568" s="9" t="s">
        <v>5216</v>
      </c>
      <c r="D5568" s="9" t="s">
        <v>3352</v>
      </c>
      <c r="F5568" s="6">
        <v>60</v>
      </c>
      <c r="G5568" s="6">
        <f t="shared" si="279"/>
        <v>60</v>
      </c>
      <c r="H5568" s="6">
        <v>60</v>
      </c>
      <c r="I5568" s="26">
        <f t="shared" si="277"/>
        <v>0</v>
      </c>
      <c r="J5568" s="7" t="str">
        <f t="shared" si="278"/>
        <v>PAGADO</v>
      </c>
    </row>
    <row r="5569" spans="1:11" x14ac:dyDescent="0.25">
      <c r="A5569"/>
      <c r="C5569" s="9" t="s">
        <v>5217</v>
      </c>
      <c r="D5569" s="9" t="s">
        <v>3352</v>
      </c>
      <c r="F5569" s="6">
        <v>60</v>
      </c>
      <c r="G5569" s="6">
        <f t="shared" si="279"/>
        <v>60</v>
      </c>
      <c r="H5569" s="6">
        <v>60</v>
      </c>
      <c r="I5569" s="26">
        <f t="shared" si="277"/>
        <v>0</v>
      </c>
      <c r="J5569" s="7" t="str">
        <f t="shared" si="278"/>
        <v>PAGADO</v>
      </c>
    </row>
    <row r="5570" spans="1:11" x14ac:dyDescent="0.25">
      <c r="A5570"/>
      <c r="C5570" s="9" t="s">
        <v>5025</v>
      </c>
      <c r="D5570" s="9" t="s">
        <v>5218</v>
      </c>
      <c r="F5570" s="6">
        <v>180</v>
      </c>
      <c r="G5570" s="6">
        <f t="shared" si="279"/>
        <v>180</v>
      </c>
      <c r="H5570" s="6">
        <f>90+50+40</f>
        <v>180</v>
      </c>
      <c r="I5570" s="26">
        <f t="shared" si="277"/>
        <v>0</v>
      </c>
      <c r="J5570" s="7" t="str">
        <f t="shared" si="278"/>
        <v>PAGADO</v>
      </c>
      <c r="K5570" s="33" t="s">
        <v>3819</v>
      </c>
    </row>
    <row r="5571" spans="1:11" x14ac:dyDescent="0.25">
      <c r="A5571"/>
      <c r="C5571" s="9" t="s">
        <v>5219</v>
      </c>
      <c r="D5571" s="9" t="s">
        <v>3352</v>
      </c>
      <c r="F5571" s="6">
        <v>40</v>
      </c>
      <c r="G5571" s="6">
        <f t="shared" si="279"/>
        <v>40</v>
      </c>
      <c r="H5571" s="6">
        <v>40</v>
      </c>
      <c r="I5571" s="26">
        <f t="shared" si="277"/>
        <v>0</v>
      </c>
      <c r="J5571" s="7" t="str">
        <f t="shared" si="278"/>
        <v>PAGADO</v>
      </c>
    </row>
    <row r="5572" spans="1:11" x14ac:dyDescent="0.25">
      <c r="A5572"/>
      <c r="C5572" t="s">
        <v>5220</v>
      </c>
      <c r="D5572" s="9" t="s">
        <v>5152</v>
      </c>
      <c r="F5572" s="6">
        <v>50</v>
      </c>
      <c r="G5572" s="6">
        <f t="shared" si="279"/>
        <v>50</v>
      </c>
      <c r="H5572" s="6">
        <v>50</v>
      </c>
      <c r="I5572" s="26">
        <f t="shared" si="277"/>
        <v>0</v>
      </c>
      <c r="J5572" s="7" t="str">
        <f t="shared" si="278"/>
        <v>PAGADO</v>
      </c>
    </row>
    <row r="5573" spans="1:11" x14ac:dyDescent="0.25">
      <c r="A5573"/>
      <c r="C5573" t="s">
        <v>5221</v>
      </c>
      <c r="D5573" s="9" t="s">
        <v>5152</v>
      </c>
      <c r="F5573" s="6">
        <v>50</v>
      </c>
      <c r="G5573" s="6">
        <f t="shared" si="279"/>
        <v>50</v>
      </c>
      <c r="H5573" s="6">
        <v>50</v>
      </c>
      <c r="I5573" s="26">
        <f t="shared" si="277"/>
        <v>0</v>
      </c>
      <c r="J5573" s="7" t="str">
        <f t="shared" si="278"/>
        <v>PAGADO</v>
      </c>
    </row>
    <row r="5574" spans="1:11" x14ac:dyDescent="0.25">
      <c r="A5574"/>
      <c r="C5574" t="s">
        <v>5222</v>
      </c>
      <c r="D5574" s="9" t="s">
        <v>5152</v>
      </c>
      <c r="F5574" s="6">
        <v>60</v>
      </c>
      <c r="G5574" s="6">
        <f t="shared" si="279"/>
        <v>60</v>
      </c>
      <c r="H5574" s="6">
        <v>60</v>
      </c>
      <c r="I5574" s="26">
        <f t="shared" si="277"/>
        <v>0</v>
      </c>
      <c r="J5574" s="7" t="str">
        <f t="shared" si="278"/>
        <v>PAGADO</v>
      </c>
    </row>
    <row r="5575" spans="1:11" x14ac:dyDescent="0.25">
      <c r="A5575"/>
      <c r="C5575" t="s">
        <v>3052</v>
      </c>
      <c r="D5575" t="s">
        <v>5223</v>
      </c>
      <c r="F5575" s="6">
        <v>150</v>
      </c>
      <c r="G5575" s="6">
        <f t="shared" si="279"/>
        <v>150</v>
      </c>
      <c r="H5575" s="6">
        <v>150</v>
      </c>
      <c r="I5575" s="26">
        <f t="shared" si="277"/>
        <v>0</v>
      </c>
      <c r="J5575" s="7" t="str">
        <f t="shared" si="278"/>
        <v>PAGADO</v>
      </c>
    </row>
    <row r="5576" spans="1:11" x14ac:dyDescent="0.25">
      <c r="A5576"/>
      <c r="C5576" t="s">
        <v>5224</v>
      </c>
      <c r="D5576" t="s">
        <v>5225</v>
      </c>
      <c r="F5576" s="6">
        <v>80</v>
      </c>
      <c r="G5576" s="6">
        <f t="shared" si="279"/>
        <v>80</v>
      </c>
      <c r="H5576" s="6">
        <f>40+40</f>
        <v>80</v>
      </c>
      <c r="I5576" s="26">
        <f t="shared" si="277"/>
        <v>0</v>
      </c>
      <c r="J5576" s="7" t="str">
        <f t="shared" si="278"/>
        <v>PAGADO</v>
      </c>
    </row>
    <row r="5577" spans="1:11" x14ac:dyDescent="0.25">
      <c r="A5577"/>
      <c r="C5577" s="9" t="s">
        <v>3279</v>
      </c>
      <c r="D5577" s="9" t="s">
        <v>18</v>
      </c>
      <c r="F5577" s="6">
        <v>80</v>
      </c>
      <c r="G5577" s="6">
        <f t="shared" si="279"/>
        <v>80</v>
      </c>
      <c r="H5577" s="6">
        <v>50</v>
      </c>
      <c r="I5577" s="26">
        <f t="shared" si="277"/>
        <v>30</v>
      </c>
      <c r="J5577" s="7" t="str">
        <f t="shared" si="278"/>
        <v>DEBE</v>
      </c>
      <c r="K5577" t="s">
        <v>3506</v>
      </c>
    </row>
    <row r="5578" spans="1:11" x14ac:dyDescent="0.25">
      <c r="A5578"/>
      <c r="C5578" t="s">
        <v>3279</v>
      </c>
      <c r="D5578" s="9" t="s">
        <v>5226</v>
      </c>
      <c r="F5578" s="6">
        <v>80</v>
      </c>
      <c r="G5578" s="6">
        <f t="shared" si="279"/>
        <v>80</v>
      </c>
      <c r="H5578" s="6">
        <f>40+40</f>
        <v>80</v>
      </c>
      <c r="I5578" s="26">
        <f t="shared" si="277"/>
        <v>0</v>
      </c>
      <c r="J5578" s="7" t="str">
        <f t="shared" si="278"/>
        <v>PAGADO</v>
      </c>
      <c r="K5578" s="33" t="s">
        <v>3506</v>
      </c>
    </row>
    <row r="5579" spans="1:11" x14ac:dyDescent="0.25">
      <c r="A5579"/>
      <c r="C5579" t="s">
        <v>5067</v>
      </c>
      <c r="D5579" s="9" t="s">
        <v>5226</v>
      </c>
      <c r="F5579" s="6">
        <v>60</v>
      </c>
      <c r="G5579" s="6">
        <f t="shared" si="279"/>
        <v>60</v>
      </c>
      <c r="H5579" s="6">
        <f>30+30</f>
        <v>60</v>
      </c>
      <c r="I5579" s="26">
        <f t="shared" ref="I5579:I5642" si="280">F5579-H5579</f>
        <v>0</v>
      </c>
      <c r="J5579" s="7" t="str">
        <f t="shared" si="278"/>
        <v>PAGADO</v>
      </c>
      <c r="K5579" s="33" t="s">
        <v>3819</v>
      </c>
    </row>
    <row r="5580" spans="1:11" x14ac:dyDescent="0.25">
      <c r="A5580"/>
      <c r="C5580" t="s">
        <v>5227</v>
      </c>
      <c r="D5580" t="s">
        <v>5228</v>
      </c>
      <c r="F5580" s="6">
        <v>60</v>
      </c>
      <c r="G5580" s="6">
        <f t="shared" si="279"/>
        <v>60</v>
      </c>
      <c r="H5580" s="6">
        <f>30+30</f>
        <v>60</v>
      </c>
      <c r="I5580" s="26">
        <f t="shared" si="280"/>
        <v>0</v>
      </c>
      <c r="J5580" s="7" t="str">
        <f t="shared" si="278"/>
        <v>PAGADO</v>
      </c>
    </row>
    <row r="5581" spans="1:11" x14ac:dyDescent="0.25">
      <c r="A5581"/>
      <c r="C5581" t="s">
        <v>5229</v>
      </c>
      <c r="D5581" t="s">
        <v>5230</v>
      </c>
      <c r="F5581" s="6">
        <v>55</v>
      </c>
      <c r="G5581" s="6">
        <f t="shared" si="279"/>
        <v>55</v>
      </c>
      <c r="H5581" s="6">
        <v>55</v>
      </c>
      <c r="I5581" s="26">
        <f t="shared" si="280"/>
        <v>0</v>
      </c>
      <c r="J5581" s="7" t="str">
        <f t="shared" si="278"/>
        <v>PAGADO</v>
      </c>
    </row>
    <row r="5582" spans="1:11" x14ac:dyDescent="0.25">
      <c r="A5582"/>
      <c r="B5582" t="s">
        <v>5231</v>
      </c>
      <c r="C5582" t="s">
        <v>5232</v>
      </c>
      <c r="D5582" t="s">
        <v>3352</v>
      </c>
      <c r="F5582" s="6">
        <v>220</v>
      </c>
      <c r="G5582" s="6">
        <f t="shared" si="279"/>
        <v>220</v>
      </c>
      <c r="H5582" s="6">
        <v>220</v>
      </c>
      <c r="I5582" s="26">
        <f t="shared" si="280"/>
        <v>0</v>
      </c>
      <c r="J5582" s="7" t="str">
        <f t="shared" si="278"/>
        <v>PAGADO</v>
      </c>
    </row>
    <row r="5583" spans="1:11" x14ac:dyDescent="0.25">
      <c r="A5583"/>
      <c r="C5583" t="s">
        <v>5233</v>
      </c>
      <c r="D5583" t="s">
        <v>3352</v>
      </c>
      <c r="F5583" s="6">
        <v>335</v>
      </c>
      <c r="G5583" s="6">
        <f t="shared" si="279"/>
        <v>335</v>
      </c>
      <c r="H5583" s="6">
        <v>335</v>
      </c>
      <c r="I5583" s="26">
        <f t="shared" si="280"/>
        <v>0</v>
      </c>
      <c r="J5583" s="7" t="str">
        <f t="shared" ref="J5583:J5646" si="281">IF(I5583&gt;0,"DEBE","PAGADO")</f>
        <v>PAGADO</v>
      </c>
    </row>
    <row r="5584" spans="1:11" x14ac:dyDescent="0.25">
      <c r="A5584"/>
      <c r="C5584" t="s">
        <v>5234</v>
      </c>
      <c r="D5584" t="s">
        <v>3352</v>
      </c>
      <c r="F5584" s="6">
        <v>60</v>
      </c>
      <c r="G5584" s="6">
        <f t="shared" si="279"/>
        <v>60</v>
      </c>
      <c r="H5584" s="6">
        <v>60</v>
      </c>
      <c r="I5584" s="26">
        <f t="shared" si="280"/>
        <v>0</v>
      </c>
      <c r="J5584" s="7" t="str">
        <f t="shared" si="281"/>
        <v>PAGADO</v>
      </c>
    </row>
    <row r="5585" spans="1:13" x14ac:dyDescent="0.25">
      <c r="A5585"/>
      <c r="C5585" s="9" t="s">
        <v>414</v>
      </c>
      <c r="D5585" s="9" t="s">
        <v>4407</v>
      </c>
      <c r="F5585" s="6">
        <v>25</v>
      </c>
      <c r="G5585" s="6">
        <f t="shared" si="279"/>
        <v>25</v>
      </c>
      <c r="H5585" s="6">
        <v>25</v>
      </c>
      <c r="I5585" s="26">
        <f t="shared" si="280"/>
        <v>0</v>
      </c>
      <c r="J5585" s="7" t="str">
        <f t="shared" si="281"/>
        <v>PAGADO</v>
      </c>
    </row>
    <row r="5586" spans="1:13" x14ac:dyDescent="0.25">
      <c r="A5586"/>
      <c r="C5586" s="9" t="s">
        <v>5235</v>
      </c>
      <c r="D5586" s="9" t="s">
        <v>4407</v>
      </c>
      <c r="F5586" s="6">
        <v>180</v>
      </c>
      <c r="G5586" s="6">
        <f t="shared" si="279"/>
        <v>180</v>
      </c>
      <c r="H5586" s="6">
        <f>50+130</f>
        <v>180</v>
      </c>
      <c r="I5586" s="26">
        <f t="shared" si="280"/>
        <v>0</v>
      </c>
      <c r="J5586" s="7" t="str">
        <f t="shared" si="281"/>
        <v>PAGADO</v>
      </c>
    </row>
    <row r="5587" spans="1:13" x14ac:dyDescent="0.25">
      <c r="A5587"/>
      <c r="C5587" s="9" t="s">
        <v>5236</v>
      </c>
      <c r="D5587" s="9" t="s">
        <v>2548</v>
      </c>
      <c r="F5587" s="6">
        <v>0</v>
      </c>
      <c r="G5587" s="6">
        <f t="shared" si="279"/>
        <v>0</v>
      </c>
      <c r="H5587" s="6">
        <v>0</v>
      </c>
      <c r="I5587" s="26">
        <f t="shared" si="280"/>
        <v>0</v>
      </c>
      <c r="J5587" s="7" t="str">
        <f t="shared" si="281"/>
        <v>PAGADO</v>
      </c>
      <c r="K5587" s="33" t="s">
        <v>3506</v>
      </c>
    </row>
    <row r="5588" spans="1:13" x14ac:dyDescent="0.25">
      <c r="A5588"/>
      <c r="C5588" s="9" t="s">
        <v>5237</v>
      </c>
      <c r="D5588" s="9" t="s">
        <v>2548</v>
      </c>
      <c r="F5588" s="6">
        <v>60</v>
      </c>
      <c r="G5588" s="6">
        <f t="shared" si="279"/>
        <v>60</v>
      </c>
      <c r="H5588" s="6">
        <v>60</v>
      </c>
      <c r="I5588" s="26">
        <f t="shared" si="280"/>
        <v>0</v>
      </c>
      <c r="J5588" s="7" t="str">
        <f t="shared" si="281"/>
        <v>PAGADO</v>
      </c>
    </row>
    <row r="5589" spans="1:13" x14ac:dyDescent="0.25">
      <c r="A5589"/>
      <c r="C5589" s="9" t="s">
        <v>5238</v>
      </c>
      <c r="D5589" t="s">
        <v>1640</v>
      </c>
      <c r="F5589" s="6">
        <v>100</v>
      </c>
      <c r="G5589" s="6">
        <f t="shared" si="279"/>
        <v>100</v>
      </c>
      <c r="H5589" s="6">
        <v>100</v>
      </c>
      <c r="I5589" s="26">
        <f t="shared" si="280"/>
        <v>0</v>
      </c>
      <c r="J5589" s="7" t="str">
        <f t="shared" si="281"/>
        <v>PAGADO</v>
      </c>
    </row>
    <row r="5590" spans="1:13" x14ac:dyDescent="0.25">
      <c r="A5590" s="97">
        <v>46041</v>
      </c>
      <c r="B5590" s="7"/>
      <c r="C5590" s="98" t="s">
        <v>5239</v>
      </c>
      <c r="D5590" s="98" t="s">
        <v>5240</v>
      </c>
      <c r="E5590" s="99"/>
      <c r="F5590" s="100">
        <v>65</v>
      </c>
      <c r="G5590" s="101">
        <f t="shared" si="279"/>
        <v>65</v>
      </c>
      <c r="H5590" s="100">
        <v>32.5</v>
      </c>
      <c r="I5590" s="100">
        <f t="shared" si="280"/>
        <v>32.5</v>
      </c>
      <c r="J5590" s="7" t="str">
        <f t="shared" si="281"/>
        <v>DEBE</v>
      </c>
      <c r="K5590" s="34" t="s">
        <v>2754</v>
      </c>
      <c r="M5590" s="8" t="s">
        <v>5241</v>
      </c>
    </row>
    <row r="5591" spans="1:13" x14ac:dyDescent="0.25">
      <c r="A5591" s="97">
        <v>46041</v>
      </c>
      <c r="B5591" s="7"/>
      <c r="C5591" s="98" t="s">
        <v>5242</v>
      </c>
      <c r="D5591" s="98" t="s">
        <v>5240</v>
      </c>
      <c r="E5591" s="99"/>
      <c r="F5591" s="101">
        <v>50</v>
      </c>
      <c r="G5591" s="101">
        <f t="shared" si="279"/>
        <v>50</v>
      </c>
      <c r="H5591" s="101">
        <v>25</v>
      </c>
      <c r="I5591" s="100">
        <f t="shared" si="280"/>
        <v>25</v>
      </c>
      <c r="J5591" s="7" t="str">
        <f t="shared" si="281"/>
        <v>DEBE</v>
      </c>
      <c r="K5591" s="34" t="s">
        <v>2754</v>
      </c>
      <c r="M5591" s="8" t="s">
        <v>5243</v>
      </c>
    </row>
    <row r="5592" spans="1:13" x14ac:dyDescent="0.25">
      <c r="A5592" s="97">
        <v>46041</v>
      </c>
      <c r="B5592" s="7"/>
      <c r="C5592" s="98" t="s">
        <v>5244</v>
      </c>
      <c r="D5592" s="98" t="s">
        <v>4172</v>
      </c>
      <c r="E5592" s="99"/>
      <c r="F5592" s="101">
        <v>90</v>
      </c>
      <c r="G5592" s="101">
        <f t="shared" si="279"/>
        <v>90</v>
      </c>
      <c r="H5592" s="101">
        <v>45</v>
      </c>
      <c r="I5592" s="100">
        <f t="shared" si="280"/>
        <v>45</v>
      </c>
      <c r="J5592" s="7" t="str">
        <f t="shared" si="281"/>
        <v>DEBE</v>
      </c>
      <c r="K5592" s="34" t="s">
        <v>2754</v>
      </c>
      <c r="M5592" s="8" t="s">
        <v>5245</v>
      </c>
    </row>
    <row r="5593" spans="1:13" x14ac:dyDescent="0.25">
      <c r="A5593" s="97">
        <v>46041</v>
      </c>
      <c r="B5593" s="7"/>
      <c r="C5593" s="98" t="s">
        <v>5246</v>
      </c>
      <c r="D5593" s="98" t="s">
        <v>4172</v>
      </c>
      <c r="E5593" s="99"/>
      <c r="F5593" s="101">
        <v>70</v>
      </c>
      <c r="G5593" s="101">
        <f t="shared" si="279"/>
        <v>70</v>
      </c>
      <c r="H5593" s="101">
        <v>35</v>
      </c>
      <c r="I5593" s="100">
        <f t="shared" si="280"/>
        <v>35</v>
      </c>
      <c r="J5593" s="7" t="str">
        <f t="shared" si="281"/>
        <v>DEBE</v>
      </c>
      <c r="K5593" s="34" t="s">
        <v>2754</v>
      </c>
      <c r="M5593" s="8" t="s">
        <v>5247</v>
      </c>
    </row>
    <row r="5594" spans="1:13" x14ac:dyDescent="0.25">
      <c r="A5594" s="97">
        <v>46041</v>
      </c>
      <c r="B5594" s="7"/>
      <c r="C5594" s="98" t="s">
        <v>5248</v>
      </c>
      <c r="D5594" s="98" t="s">
        <v>488</v>
      </c>
      <c r="E5594" s="99"/>
      <c r="F5594" s="101">
        <v>160</v>
      </c>
      <c r="G5594" s="101">
        <f t="shared" si="279"/>
        <v>160</v>
      </c>
      <c r="H5594" s="101">
        <v>80</v>
      </c>
      <c r="I5594" s="100">
        <f t="shared" si="280"/>
        <v>80</v>
      </c>
      <c r="J5594" s="7" t="str">
        <f t="shared" si="281"/>
        <v>DEBE</v>
      </c>
      <c r="K5594" s="34" t="s">
        <v>2754</v>
      </c>
      <c r="M5594" s="8" t="s">
        <v>5249</v>
      </c>
    </row>
    <row r="5595" spans="1:13" x14ac:dyDescent="0.25">
      <c r="A5595" s="97">
        <v>46041</v>
      </c>
      <c r="B5595" s="7"/>
      <c r="C5595" s="98" t="s">
        <v>5250</v>
      </c>
      <c r="D5595" s="98" t="s">
        <v>2548</v>
      </c>
      <c r="E5595" s="99"/>
      <c r="F5595" s="101">
        <v>70</v>
      </c>
      <c r="G5595" s="101">
        <f t="shared" si="279"/>
        <v>70</v>
      </c>
      <c r="H5595" s="102">
        <v>35</v>
      </c>
      <c r="I5595" s="103">
        <f t="shared" si="280"/>
        <v>35</v>
      </c>
      <c r="J5595" s="7" t="str">
        <f t="shared" si="281"/>
        <v>DEBE</v>
      </c>
      <c r="K5595" s="34" t="s">
        <v>2754</v>
      </c>
      <c r="M5595" s="8" t="s">
        <v>5251</v>
      </c>
    </row>
    <row r="5596" spans="1:13" x14ac:dyDescent="0.25">
      <c r="A5596" s="97">
        <v>46041</v>
      </c>
      <c r="B5596" s="7"/>
      <c r="C5596" s="98" t="s">
        <v>5252</v>
      </c>
      <c r="D5596" s="98" t="s">
        <v>2969</v>
      </c>
      <c r="E5596" s="99"/>
      <c r="F5596" s="101">
        <v>80</v>
      </c>
      <c r="G5596" s="101">
        <f t="shared" si="279"/>
        <v>80</v>
      </c>
      <c r="H5596" s="101">
        <v>80</v>
      </c>
      <c r="I5596" s="100">
        <f t="shared" si="280"/>
        <v>0</v>
      </c>
      <c r="J5596" s="7" t="str">
        <f t="shared" si="281"/>
        <v>PAGADO</v>
      </c>
      <c r="K5596" s="34" t="s">
        <v>2754</v>
      </c>
      <c r="M5596" s="8" t="s">
        <v>5253</v>
      </c>
    </row>
    <row r="5597" spans="1:13" x14ac:dyDescent="0.25">
      <c r="A5597" s="97">
        <v>46041</v>
      </c>
      <c r="B5597" s="7"/>
      <c r="C5597" s="98" t="s">
        <v>5254</v>
      </c>
      <c r="D5597" s="98" t="s">
        <v>2969</v>
      </c>
      <c r="E5597" s="99"/>
      <c r="F5597" s="101">
        <v>70</v>
      </c>
      <c r="G5597" s="101">
        <f t="shared" si="279"/>
        <v>70</v>
      </c>
      <c r="H5597" s="101">
        <v>70</v>
      </c>
      <c r="I5597" s="100">
        <f t="shared" si="280"/>
        <v>0</v>
      </c>
      <c r="J5597" s="7" t="str">
        <f t="shared" si="281"/>
        <v>PAGADO</v>
      </c>
      <c r="K5597" s="34" t="s">
        <v>2754</v>
      </c>
      <c r="M5597" s="8" t="s">
        <v>5241</v>
      </c>
    </row>
    <row r="5598" spans="1:13" x14ac:dyDescent="0.25">
      <c r="A5598" s="97">
        <v>46041</v>
      </c>
      <c r="B5598" s="7"/>
      <c r="C5598" s="98" t="s">
        <v>5255</v>
      </c>
      <c r="D5598" s="98" t="s">
        <v>2969</v>
      </c>
      <c r="E5598" s="99"/>
      <c r="F5598" s="101">
        <v>80</v>
      </c>
      <c r="G5598" s="101">
        <f t="shared" si="279"/>
        <v>80</v>
      </c>
      <c r="H5598" s="101">
        <v>80</v>
      </c>
      <c r="I5598" s="100">
        <f t="shared" si="280"/>
        <v>0</v>
      </c>
      <c r="J5598" s="7" t="str">
        <f t="shared" si="281"/>
        <v>PAGADO</v>
      </c>
      <c r="K5598" s="34" t="s">
        <v>2754</v>
      </c>
      <c r="M5598" s="8" t="s">
        <v>5256</v>
      </c>
    </row>
    <row r="5599" spans="1:13" x14ac:dyDescent="0.25">
      <c r="A5599" s="97">
        <v>46041</v>
      </c>
      <c r="B5599" s="7"/>
      <c r="C5599" s="98" t="s">
        <v>5257</v>
      </c>
      <c r="D5599" s="98" t="s">
        <v>2548</v>
      </c>
      <c r="E5599" s="99"/>
      <c r="F5599" s="101">
        <v>30</v>
      </c>
      <c r="G5599" s="101">
        <f t="shared" si="279"/>
        <v>30</v>
      </c>
      <c r="H5599" s="102">
        <v>15</v>
      </c>
      <c r="I5599" s="103">
        <f t="shared" si="280"/>
        <v>15</v>
      </c>
      <c r="J5599" s="7" t="str">
        <f t="shared" si="281"/>
        <v>DEBE</v>
      </c>
      <c r="K5599" s="34" t="s">
        <v>2754</v>
      </c>
      <c r="M5599" s="8" t="s">
        <v>5258</v>
      </c>
    </row>
    <row r="5600" spans="1:13" x14ac:dyDescent="0.25">
      <c r="A5600" s="97">
        <v>46041</v>
      </c>
      <c r="B5600" s="7"/>
      <c r="C5600" s="98" t="s">
        <v>5259</v>
      </c>
      <c r="D5600" s="98" t="s">
        <v>2548</v>
      </c>
      <c r="E5600" s="99"/>
      <c r="F5600" s="101">
        <v>120</v>
      </c>
      <c r="G5600" s="101">
        <f t="shared" si="279"/>
        <v>120</v>
      </c>
      <c r="H5600" s="102">
        <v>60</v>
      </c>
      <c r="I5600" s="103">
        <f t="shared" si="280"/>
        <v>60</v>
      </c>
      <c r="J5600" s="7" t="str">
        <f t="shared" si="281"/>
        <v>DEBE</v>
      </c>
      <c r="K5600" s="34" t="s">
        <v>2754</v>
      </c>
      <c r="M5600" s="8" t="s">
        <v>5260</v>
      </c>
    </row>
    <row r="5601" spans="1:13" x14ac:dyDescent="0.25">
      <c r="A5601" s="97">
        <v>46041</v>
      </c>
      <c r="B5601" s="7"/>
      <c r="C5601" s="98" t="s">
        <v>5261</v>
      </c>
      <c r="D5601" s="98" t="s">
        <v>3198</v>
      </c>
      <c r="E5601" s="99"/>
      <c r="F5601" s="101">
        <v>60</v>
      </c>
      <c r="G5601" s="101">
        <f t="shared" si="279"/>
        <v>60</v>
      </c>
      <c r="H5601" s="104">
        <f>30+20</f>
        <v>50</v>
      </c>
      <c r="I5601" s="100">
        <f t="shared" si="280"/>
        <v>10</v>
      </c>
      <c r="J5601" s="7" t="str">
        <f t="shared" si="281"/>
        <v>DEBE</v>
      </c>
      <c r="K5601" s="105" t="s">
        <v>2754</v>
      </c>
      <c r="M5601" s="8" t="s">
        <v>5262</v>
      </c>
    </row>
    <row r="5602" spans="1:13" x14ac:dyDescent="0.25">
      <c r="A5602" s="97">
        <v>46041</v>
      </c>
      <c r="B5602" s="7"/>
      <c r="C5602" s="98" t="s">
        <v>5263</v>
      </c>
      <c r="D5602" s="98" t="s">
        <v>2548</v>
      </c>
      <c r="E5602" s="99"/>
      <c r="F5602" s="101">
        <v>90</v>
      </c>
      <c r="G5602" s="101">
        <f t="shared" si="279"/>
        <v>90</v>
      </c>
      <c r="H5602" s="102">
        <v>45</v>
      </c>
      <c r="I5602" s="103">
        <f t="shared" si="280"/>
        <v>45</v>
      </c>
      <c r="J5602" s="7" t="str">
        <f t="shared" si="281"/>
        <v>DEBE</v>
      </c>
      <c r="K5602" s="34" t="s">
        <v>2754</v>
      </c>
      <c r="M5602" s="8" t="s">
        <v>5264</v>
      </c>
    </row>
    <row r="5603" spans="1:13" x14ac:dyDescent="0.25">
      <c r="A5603" s="97">
        <v>46041</v>
      </c>
      <c r="B5603" s="7"/>
      <c r="C5603" s="98" t="s">
        <v>5265</v>
      </c>
      <c r="D5603" s="98" t="s">
        <v>2548</v>
      </c>
      <c r="E5603" s="99"/>
      <c r="F5603" s="101">
        <v>90</v>
      </c>
      <c r="G5603" s="101">
        <f t="shared" si="279"/>
        <v>90</v>
      </c>
      <c r="H5603" s="102">
        <v>45</v>
      </c>
      <c r="I5603" s="103">
        <f t="shared" si="280"/>
        <v>45</v>
      </c>
      <c r="J5603" s="7" t="str">
        <f t="shared" si="281"/>
        <v>DEBE</v>
      </c>
      <c r="K5603" s="34" t="s">
        <v>2754</v>
      </c>
      <c r="M5603" s="8" t="s">
        <v>5264</v>
      </c>
    </row>
    <row r="5604" spans="1:13" x14ac:dyDescent="0.25">
      <c r="A5604" s="97">
        <v>46041</v>
      </c>
      <c r="B5604" s="7"/>
      <c r="C5604" s="98" t="s">
        <v>5266</v>
      </c>
      <c r="D5604" s="98" t="s">
        <v>4683</v>
      </c>
      <c r="E5604" s="99"/>
      <c r="F5604" s="101">
        <v>80</v>
      </c>
      <c r="G5604" s="101">
        <f t="shared" si="279"/>
        <v>80</v>
      </c>
      <c r="H5604" s="101">
        <f>40+40</f>
        <v>80</v>
      </c>
      <c r="I5604" s="100">
        <f t="shared" si="280"/>
        <v>0</v>
      </c>
      <c r="J5604" s="7" t="str">
        <f t="shared" si="281"/>
        <v>PAGADO</v>
      </c>
      <c r="K5604" s="34" t="s">
        <v>2754</v>
      </c>
      <c r="M5604" s="8" t="s">
        <v>5267</v>
      </c>
    </row>
    <row r="5605" spans="1:13" x14ac:dyDescent="0.25">
      <c r="A5605" s="106">
        <v>46041</v>
      </c>
      <c r="B5605" s="7"/>
      <c r="C5605" s="98" t="s">
        <v>5268</v>
      </c>
      <c r="D5605" s="98" t="s">
        <v>2548</v>
      </c>
      <c r="E5605" s="99"/>
      <c r="F5605" s="101">
        <v>75</v>
      </c>
      <c r="G5605" s="101">
        <f t="shared" si="279"/>
        <v>75</v>
      </c>
      <c r="H5605" s="107">
        <v>37.5</v>
      </c>
      <c r="I5605" s="100">
        <f t="shared" si="280"/>
        <v>37.5</v>
      </c>
      <c r="J5605" s="7" t="str">
        <f t="shared" si="281"/>
        <v>DEBE</v>
      </c>
      <c r="K5605" s="34" t="s">
        <v>2754</v>
      </c>
      <c r="M5605" s="8" t="s">
        <v>5269</v>
      </c>
    </row>
    <row r="5606" spans="1:13" x14ac:dyDescent="0.25">
      <c r="A5606" s="97">
        <v>46041</v>
      </c>
      <c r="B5606" s="7"/>
      <c r="C5606" s="98" t="s">
        <v>5270</v>
      </c>
      <c r="D5606" s="98" t="s">
        <v>2018</v>
      </c>
      <c r="E5606" s="99"/>
      <c r="F5606" s="101">
        <v>50</v>
      </c>
      <c r="G5606" s="101">
        <f t="shared" si="279"/>
        <v>50</v>
      </c>
      <c r="H5606" s="102">
        <v>25</v>
      </c>
      <c r="I5606" s="100">
        <f t="shared" si="280"/>
        <v>25</v>
      </c>
      <c r="J5606" s="7" t="str">
        <f t="shared" si="281"/>
        <v>DEBE</v>
      </c>
      <c r="K5606" s="34" t="s">
        <v>2754</v>
      </c>
      <c r="M5606" s="8" t="s">
        <v>5271</v>
      </c>
    </row>
    <row r="5607" spans="1:13" x14ac:dyDescent="0.25">
      <c r="A5607" s="97">
        <v>46041</v>
      </c>
      <c r="B5607" s="7"/>
      <c r="C5607" s="98" t="s">
        <v>5272</v>
      </c>
      <c r="D5607" s="98" t="s">
        <v>2018</v>
      </c>
      <c r="E5607" s="99"/>
      <c r="F5607" s="101">
        <v>50</v>
      </c>
      <c r="G5607" s="101">
        <f t="shared" si="279"/>
        <v>50</v>
      </c>
      <c r="H5607" s="102">
        <v>25</v>
      </c>
      <c r="I5607" s="100">
        <f t="shared" si="280"/>
        <v>25</v>
      </c>
      <c r="J5607" s="7" t="str">
        <f t="shared" si="281"/>
        <v>DEBE</v>
      </c>
      <c r="K5607" s="34" t="s">
        <v>2754</v>
      </c>
      <c r="M5607" s="8" t="s">
        <v>5271</v>
      </c>
    </row>
    <row r="5608" spans="1:13" x14ac:dyDescent="0.25">
      <c r="A5608" s="97">
        <v>46041</v>
      </c>
      <c r="B5608" s="7"/>
      <c r="C5608" s="98" t="s">
        <v>5273</v>
      </c>
      <c r="D5608" s="98" t="s">
        <v>2018</v>
      </c>
      <c r="E5608" s="99"/>
      <c r="F5608" s="101">
        <v>50</v>
      </c>
      <c r="G5608" s="101">
        <f t="shared" si="279"/>
        <v>50</v>
      </c>
      <c r="H5608" s="108">
        <f>20+5</f>
        <v>25</v>
      </c>
      <c r="I5608" s="100">
        <f t="shared" si="280"/>
        <v>25</v>
      </c>
      <c r="J5608" s="7" t="str">
        <f t="shared" si="281"/>
        <v>DEBE</v>
      </c>
      <c r="K5608" s="34" t="s">
        <v>2754</v>
      </c>
      <c r="M5608" s="8" t="s">
        <v>5271</v>
      </c>
    </row>
    <row r="5609" spans="1:13" x14ac:dyDescent="0.25">
      <c r="A5609" s="97">
        <v>46041</v>
      </c>
      <c r="B5609" s="7"/>
      <c r="C5609" s="98" t="s">
        <v>5274</v>
      </c>
      <c r="D5609" s="98" t="s">
        <v>2018</v>
      </c>
      <c r="E5609" s="99"/>
      <c r="F5609" s="101">
        <v>50</v>
      </c>
      <c r="G5609" s="101">
        <f t="shared" si="279"/>
        <v>50</v>
      </c>
      <c r="H5609" s="108">
        <v>25</v>
      </c>
      <c r="I5609" s="100">
        <f t="shared" si="280"/>
        <v>25</v>
      </c>
      <c r="J5609" s="7" t="str">
        <f t="shared" si="281"/>
        <v>DEBE</v>
      </c>
      <c r="K5609" s="34" t="s">
        <v>2754</v>
      </c>
      <c r="M5609" s="8" t="s">
        <v>5271</v>
      </c>
    </row>
    <row r="5610" spans="1:13" x14ac:dyDescent="0.25">
      <c r="A5610" s="97">
        <v>46041</v>
      </c>
      <c r="B5610" s="7"/>
      <c r="C5610" s="98" t="s">
        <v>5275</v>
      </c>
      <c r="D5610" s="98" t="s">
        <v>2018</v>
      </c>
      <c r="E5610" s="99"/>
      <c r="F5610" s="101">
        <v>50</v>
      </c>
      <c r="G5610" s="101">
        <f t="shared" si="279"/>
        <v>50</v>
      </c>
      <c r="H5610" s="108">
        <v>25</v>
      </c>
      <c r="I5610" s="100">
        <f t="shared" si="280"/>
        <v>25</v>
      </c>
      <c r="J5610" s="7" t="str">
        <f t="shared" si="281"/>
        <v>DEBE</v>
      </c>
      <c r="K5610" s="34" t="s">
        <v>2754</v>
      </c>
      <c r="M5610" s="8" t="s">
        <v>5271</v>
      </c>
    </row>
    <row r="5611" spans="1:13" x14ac:dyDescent="0.25">
      <c r="A5611" s="97">
        <v>46041</v>
      </c>
      <c r="B5611" s="7"/>
      <c r="C5611" s="98" t="s">
        <v>5276</v>
      </c>
      <c r="D5611" s="98" t="s">
        <v>2548</v>
      </c>
      <c r="E5611" s="99"/>
      <c r="F5611" s="101">
        <v>70</v>
      </c>
      <c r="G5611" s="101">
        <f t="shared" si="279"/>
        <v>70</v>
      </c>
      <c r="H5611" s="107">
        <v>35</v>
      </c>
      <c r="I5611" s="100">
        <f t="shared" si="280"/>
        <v>35</v>
      </c>
      <c r="J5611" s="7" t="str">
        <f t="shared" si="281"/>
        <v>DEBE</v>
      </c>
      <c r="K5611" s="34" t="s">
        <v>2754</v>
      </c>
      <c r="M5611" s="8" t="s">
        <v>5277</v>
      </c>
    </row>
    <row r="5612" spans="1:13" x14ac:dyDescent="0.25">
      <c r="A5612" s="97">
        <v>46041</v>
      </c>
      <c r="B5612" s="7"/>
      <c r="C5612" s="98" t="s">
        <v>5278</v>
      </c>
      <c r="D5612" s="98" t="s">
        <v>4438</v>
      </c>
      <c r="E5612" s="99"/>
      <c r="F5612" s="101">
        <v>65</v>
      </c>
      <c r="G5612" s="101">
        <f t="shared" si="279"/>
        <v>65</v>
      </c>
      <c r="H5612" s="101">
        <v>32.5</v>
      </c>
      <c r="I5612" s="100">
        <f t="shared" si="280"/>
        <v>32.5</v>
      </c>
      <c r="J5612" s="7" t="str">
        <f t="shared" si="281"/>
        <v>DEBE</v>
      </c>
      <c r="K5612" s="34" t="s">
        <v>2754</v>
      </c>
      <c r="M5612" s="8" t="s">
        <v>5279</v>
      </c>
    </row>
    <row r="5613" spans="1:13" x14ac:dyDescent="0.25">
      <c r="A5613" s="97">
        <v>46041</v>
      </c>
      <c r="B5613" s="7"/>
      <c r="C5613" s="98" t="s">
        <v>5280</v>
      </c>
      <c r="D5613" s="98" t="s">
        <v>2548</v>
      </c>
      <c r="E5613" s="99"/>
      <c r="F5613" s="101">
        <v>70</v>
      </c>
      <c r="G5613" s="101">
        <f t="shared" si="279"/>
        <v>70</v>
      </c>
      <c r="H5613" s="107">
        <v>35</v>
      </c>
      <c r="I5613" s="100">
        <f t="shared" si="280"/>
        <v>35</v>
      </c>
      <c r="J5613" s="7" t="str">
        <f t="shared" si="281"/>
        <v>DEBE</v>
      </c>
      <c r="K5613" s="34" t="s">
        <v>2754</v>
      </c>
      <c r="M5613" s="8" t="s">
        <v>5249</v>
      </c>
    </row>
    <row r="5614" spans="1:13" x14ac:dyDescent="0.25">
      <c r="A5614" s="97">
        <v>46041</v>
      </c>
      <c r="B5614" s="7"/>
      <c r="C5614" s="109" t="s">
        <v>5281</v>
      </c>
      <c r="D5614" s="109" t="s">
        <v>4587</v>
      </c>
      <c r="E5614" s="110"/>
      <c r="F5614" s="111">
        <v>65</v>
      </c>
      <c r="G5614" s="111">
        <f t="shared" si="279"/>
        <v>65</v>
      </c>
      <c r="H5614" s="111">
        <v>32.5</v>
      </c>
      <c r="I5614" s="111">
        <f t="shared" si="280"/>
        <v>32.5</v>
      </c>
      <c r="J5614" s="88" t="str">
        <f t="shared" si="281"/>
        <v>DEBE</v>
      </c>
      <c r="K5614" s="112" t="s">
        <v>2754</v>
      </c>
      <c r="L5614" s="41"/>
      <c r="M5614" s="8" t="s">
        <v>5279</v>
      </c>
    </row>
    <row r="5615" spans="1:13" x14ac:dyDescent="0.25">
      <c r="A5615" s="97">
        <v>46041</v>
      </c>
      <c r="B5615" s="7"/>
      <c r="C5615" s="109" t="s">
        <v>5282</v>
      </c>
      <c r="D5615" s="109" t="s">
        <v>4587</v>
      </c>
      <c r="E5615" s="110"/>
      <c r="F5615" s="111">
        <v>65</v>
      </c>
      <c r="G5615" s="111">
        <f t="shared" si="279"/>
        <v>65</v>
      </c>
      <c r="H5615" s="111">
        <v>32.5</v>
      </c>
      <c r="I5615" s="111">
        <f t="shared" si="280"/>
        <v>32.5</v>
      </c>
      <c r="J5615" s="88" t="str">
        <f t="shared" si="281"/>
        <v>DEBE</v>
      </c>
      <c r="K5615" s="112" t="s">
        <v>2754</v>
      </c>
      <c r="L5615" s="41"/>
      <c r="M5615" s="8" t="s">
        <v>5279</v>
      </c>
    </row>
    <row r="5616" spans="1:13" x14ac:dyDescent="0.25">
      <c r="A5616" s="97">
        <v>46041</v>
      </c>
      <c r="B5616" s="7"/>
      <c r="C5616" s="98" t="s">
        <v>5283</v>
      </c>
      <c r="D5616" s="98" t="s">
        <v>2278</v>
      </c>
      <c r="E5616" s="99"/>
      <c r="F5616" s="101">
        <v>55</v>
      </c>
      <c r="G5616" s="101">
        <f t="shared" si="279"/>
        <v>55</v>
      </c>
      <c r="H5616" s="101">
        <v>27.5</v>
      </c>
      <c r="I5616" s="100">
        <f t="shared" si="280"/>
        <v>27.5</v>
      </c>
      <c r="J5616" s="7" t="str">
        <f t="shared" si="281"/>
        <v>DEBE</v>
      </c>
      <c r="K5616" s="34" t="s">
        <v>2754</v>
      </c>
      <c r="M5616" s="8" t="s">
        <v>5262</v>
      </c>
    </row>
    <row r="5617" spans="1:13" x14ac:dyDescent="0.25">
      <c r="A5617" s="97">
        <v>46041</v>
      </c>
      <c r="B5617" s="7"/>
      <c r="C5617" s="98" t="s">
        <v>5284</v>
      </c>
      <c r="D5617" s="98" t="s">
        <v>3666</v>
      </c>
      <c r="E5617" s="99"/>
      <c r="F5617" s="101">
        <v>80</v>
      </c>
      <c r="G5617" s="101">
        <f t="shared" si="279"/>
        <v>80</v>
      </c>
      <c r="H5617" s="101">
        <v>40</v>
      </c>
      <c r="I5617" s="100">
        <f t="shared" si="280"/>
        <v>40</v>
      </c>
      <c r="J5617" s="7" t="str">
        <f t="shared" si="281"/>
        <v>DEBE</v>
      </c>
      <c r="K5617" s="34" t="s">
        <v>2754</v>
      </c>
      <c r="M5617" s="8" t="s">
        <v>5285</v>
      </c>
    </row>
    <row r="5618" spans="1:13" x14ac:dyDescent="0.25">
      <c r="A5618" s="97">
        <v>46041</v>
      </c>
      <c r="B5618" s="7"/>
      <c r="C5618" s="98" t="s">
        <v>5286</v>
      </c>
      <c r="D5618" s="98" t="s">
        <v>1510</v>
      </c>
      <c r="E5618" s="99"/>
      <c r="F5618" s="101">
        <v>70</v>
      </c>
      <c r="G5618" s="101">
        <f t="shared" si="279"/>
        <v>70</v>
      </c>
      <c r="H5618" s="101">
        <v>35</v>
      </c>
      <c r="I5618" s="100">
        <f t="shared" si="280"/>
        <v>35</v>
      </c>
      <c r="J5618" s="7" t="str">
        <f t="shared" si="281"/>
        <v>DEBE</v>
      </c>
      <c r="K5618" s="34" t="s">
        <v>2754</v>
      </c>
      <c r="M5618" s="8" t="s">
        <v>5287</v>
      </c>
    </row>
    <row r="5619" spans="1:13" x14ac:dyDescent="0.25">
      <c r="A5619" s="97">
        <v>46041</v>
      </c>
      <c r="B5619" s="7"/>
      <c r="C5619" s="98" t="s">
        <v>5288</v>
      </c>
      <c r="D5619" s="98" t="s">
        <v>1510</v>
      </c>
      <c r="E5619" s="99"/>
      <c r="F5619" s="101">
        <v>90</v>
      </c>
      <c r="G5619" s="101">
        <f t="shared" si="279"/>
        <v>90</v>
      </c>
      <c r="H5619" s="101">
        <v>45</v>
      </c>
      <c r="I5619" s="100">
        <f t="shared" si="280"/>
        <v>45</v>
      </c>
      <c r="J5619" s="7" t="str">
        <f t="shared" si="281"/>
        <v>DEBE</v>
      </c>
      <c r="K5619" s="34" t="s">
        <v>2754</v>
      </c>
      <c r="M5619" s="8" t="s">
        <v>5287</v>
      </c>
    </row>
    <row r="5620" spans="1:13" x14ac:dyDescent="0.25">
      <c r="A5620" s="97">
        <v>46041</v>
      </c>
      <c r="B5620" s="7"/>
      <c r="C5620" s="98" t="s">
        <v>5289</v>
      </c>
      <c r="D5620" s="98" t="s">
        <v>1510</v>
      </c>
      <c r="E5620" s="99"/>
      <c r="F5620" s="101">
        <v>70</v>
      </c>
      <c r="G5620" s="101">
        <f t="shared" si="279"/>
        <v>70</v>
      </c>
      <c r="H5620" s="101">
        <v>35</v>
      </c>
      <c r="I5620" s="100">
        <f t="shared" si="280"/>
        <v>35</v>
      </c>
      <c r="J5620" s="7" t="str">
        <f t="shared" si="281"/>
        <v>DEBE</v>
      </c>
      <c r="K5620" s="34" t="s">
        <v>2754</v>
      </c>
      <c r="M5620" s="8" t="s">
        <v>5287</v>
      </c>
    </row>
    <row r="5621" spans="1:13" x14ac:dyDescent="0.25">
      <c r="A5621" s="97">
        <v>46041</v>
      </c>
      <c r="B5621" s="7"/>
      <c r="C5621" s="98" t="s">
        <v>5290</v>
      </c>
      <c r="D5621" s="98" t="s">
        <v>1510</v>
      </c>
      <c r="E5621" s="99"/>
      <c r="F5621" s="101">
        <v>80</v>
      </c>
      <c r="G5621" s="101">
        <f t="shared" si="279"/>
        <v>80</v>
      </c>
      <c r="H5621" s="101">
        <v>40</v>
      </c>
      <c r="I5621" s="100">
        <f t="shared" si="280"/>
        <v>40</v>
      </c>
      <c r="J5621" s="7" t="str">
        <f t="shared" si="281"/>
        <v>DEBE</v>
      </c>
      <c r="K5621" s="34" t="s">
        <v>2754</v>
      </c>
      <c r="M5621" s="8" t="s">
        <v>5287</v>
      </c>
    </row>
    <row r="5622" spans="1:13" x14ac:dyDescent="0.25">
      <c r="A5622" s="97">
        <v>46041</v>
      </c>
      <c r="B5622" s="7"/>
      <c r="C5622" s="98" t="s">
        <v>5291</v>
      </c>
      <c r="D5622" s="98" t="s">
        <v>1510</v>
      </c>
      <c r="E5622" s="99"/>
      <c r="F5622" s="101">
        <v>160</v>
      </c>
      <c r="G5622" s="101">
        <f t="shared" si="279"/>
        <v>160</v>
      </c>
      <c r="H5622" s="101">
        <v>80</v>
      </c>
      <c r="I5622" s="100">
        <f t="shared" si="280"/>
        <v>80</v>
      </c>
      <c r="J5622" s="7" t="str">
        <f t="shared" si="281"/>
        <v>DEBE</v>
      </c>
      <c r="K5622" s="34" t="s">
        <v>2754</v>
      </c>
      <c r="M5622" s="8" t="s">
        <v>5245</v>
      </c>
    </row>
    <row r="5623" spans="1:13" x14ac:dyDescent="0.25">
      <c r="A5623" s="97">
        <v>46041</v>
      </c>
      <c r="B5623" s="7"/>
      <c r="C5623" s="98" t="s">
        <v>5292</v>
      </c>
      <c r="D5623" s="98" t="s">
        <v>1510</v>
      </c>
      <c r="E5623" s="99"/>
      <c r="F5623" s="101">
        <v>90</v>
      </c>
      <c r="G5623" s="101">
        <f t="shared" si="279"/>
        <v>90</v>
      </c>
      <c r="H5623" s="101">
        <v>45</v>
      </c>
      <c r="I5623" s="100">
        <f t="shared" si="280"/>
        <v>45</v>
      </c>
      <c r="J5623" s="7" t="str">
        <f t="shared" si="281"/>
        <v>DEBE</v>
      </c>
      <c r="K5623" s="34" t="s">
        <v>2754</v>
      </c>
      <c r="M5623" s="8" t="s">
        <v>5293</v>
      </c>
    </row>
    <row r="5624" spans="1:13" x14ac:dyDescent="0.25">
      <c r="A5624" s="97">
        <v>46041</v>
      </c>
      <c r="B5624" s="7"/>
      <c r="C5624" s="98" t="s">
        <v>5294</v>
      </c>
      <c r="D5624" s="98" t="s">
        <v>1510</v>
      </c>
      <c r="E5624" s="99"/>
      <c r="F5624" s="101">
        <v>80</v>
      </c>
      <c r="G5624" s="101">
        <f t="shared" si="279"/>
        <v>80</v>
      </c>
      <c r="H5624" s="101">
        <v>40</v>
      </c>
      <c r="I5624" s="100">
        <f t="shared" si="280"/>
        <v>40</v>
      </c>
      <c r="J5624" s="7" t="str">
        <f t="shared" si="281"/>
        <v>DEBE</v>
      </c>
      <c r="K5624" s="34" t="s">
        <v>2754</v>
      </c>
      <c r="M5624" s="8" t="s">
        <v>5293</v>
      </c>
    </row>
    <row r="5625" spans="1:13" x14ac:dyDescent="0.25">
      <c r="A5625" s="97">
        <v>46041</v>
      </c>
      <c r="B5625" s="7"/>
      <c r="C5625" s="98" t="s">
        <v>5295</v>
      </c>
      <c r="D5625" s="98" t="s">
        <v>1510</v>
      </c>
      <c r="E5625" s="99"/>
      <c r="F5625" s="101">
        <v>110</v>
      </c>
      <c r="G5625" s="101">
        <f t="shared" si="279"/>
        <v>110</v>
      </c>
      <c r="H5625" s="101">
        <v>55</v>
      </c>
      <c r="I5625" s="100">
        <f t="shared" si="280"/>
        <v>55</v>
      </c>
      <c r="J5625" s="7" t="str">
        <f t="shared" si="281"/>
        <v>DEBE</v>
      </c>
      <c r="K5625" s="34" t="s">
        <v>2754</v>
      </c>
      <c r="M5625" s="8" t="s">
        <v>5296</v>
      </c>
    </row>
    <row r="5626" spans="1:13" x14ac:dyDescent="0.25">
      <c r="A5626" s="97">
        <v>46041</v>
      </c>
      <c r="B5626" s="7"/>
      <c r="C5626" s="98" t="s">
        <v>5295</v>
      </c>
      <c r="D5626" s="98" t="s">
        <v>1510</v>
      </c>
      <c r="E5626" s="99"/>
      <c r="F5626" s="101">
        <v>110</v>
      </c>
      <c r="G5626" s="101">
        <f t="shared" si="279"/>
        <v>110</v>
      </c>
      <c r="H5626" s="101">
        <v>55</v>
      </c>
      <c r="I5626" s="100">
        <f t="shared" si="280"/>
        <v>55</v>
      </c>
      <c r="J5626" s="7" t="str">
        <f t="shared" si="281"/>
        <v>DEBE</v>
      </c>
      <c r="K5626" s="34" t="s">
        <v>2754</v>
      </c>
      <c r="M5626" s="8" t="s">
        <v>5296</v>
      </c>
    </row>
    <row r="5627" spans="1:13" x14ac:dyDescent="0.25">
      <c r="A5627" s="97">
        <v>46041</v>
      </c>
      <c r="B5627" s="7"/>
      <c r="C5627" s="98" t="s">
        <v>5297</v>
      </c>
      <c r="D5627" s="98" t="s">
        <v>1510</v>
      </c>
      <c r="E5627" s="99"/>
      <c r="F5627" s="101">
        <v>90</v>
      </c>
      <c r="G5627" s="101">
        <f t="shared" si="279"/>
        <v>90</v>
      </c>
      <c r="H5627" s="102">
        <f>20+25</f>
        <v>45</v>
      </c>
      <c r="I5627" s="100">
        <f t="shared" si="280"/>
        <v>45</v>
      </c>
      <c r="J5627" s="7" t="str">
        <f t="shared" si="281"/>
        <v>DEBE</v>
      </c>
      <c r="K5627" s="34" t="s">
        <v>2754</v>
      </c>
      <c r="M5627" s="8" t="s">
        <v>5296</v>
      </c>
    </row>
    <row r="5628" spans="1:13" x14ac:dyDescent="0.25">
      <c r="A5628" s="97">
        <v>46041</v>
      </c>
      <c r="B5628" s="7"/>
      <c r="C5628" s="98" t="s">
        <v>5298</v>
      </c>
      <c r="D5628" s="98" t="s">
        <v>67</v>
      </c>
      <c r="E5628" s="99"/>
      <c r="F5628" s="101">
        <v>150</v>
      </c>
      <c r="G5628" s="101">
        <f t="shared" si="279"/>
        <v>150</v>
      </c>
      <c r="H5628" s="108">
        <v>75</v>
      </c>
      <c r="I5628" s="100">
        <f t="shared" si="280"/>
        <v>75</v>
      </c>
      <c r="J5628" s="7" t="str">
        <f t="shared" si="281"/>
        <v>DEBE</v>
      </c>
      <c r="K5628" s="34" t="s">
        <v>2754</v>
      </c>
      <c r="M5628" s="8" t="s">
        <v>5299</v>
      </c>
    </row>
    <row r="5629" spans="1:13" x14ac:dyDescent="0.25">
      <c r="A5629" s="97">
        <v>46041</v>
      </c>
      <c r="B5629" s="7"/>
      <c r="C5629" s="98" t="s">
        <v>5300</v>
      </c>
      <c r="D5629" s="98" t="s">
        <v>3316</v>
      </c>
      <c r="E5629" s="99"/>
      <c r="F5629" s="101">
        <v>45</v>
      </c>
      <c r="G5629" s="101">
        <f t="shared" si="279"/>
        <v>45</v>
      </c>
      <c r="H5629" s="101">
        <v>45</v>
      </c>
      <c r="I5629" s="100">
        <f t="shared" si="280"/>
        <v>0</v>
      </c>
      <c r="J5629" s="7" t="str">
        <f t="shared" si="281"/>
        <v>PAGADO</v>
      </c>
      <c r="K5629" s="34" t="s">
        <v>2754</v>
      </c>
      <c r="M5629" s="8" t="s">
        <v>5301</v>
      </c>
    </row>
    <row r="5630" spans="1:13" x14ac:dyDescent="0.25">
      <c r="A5630" s="97">
        <v>46041</v>
      </c>
      <c r="B5630" s="7"/>
      <c r="C5630" s="109" t="s">
        <v>5302</v>
      </c>
      <c r="D5630" s="109" t="s">
        <v>4587</v>
      </c>
      <c r="E5630" s="110"/>
      <c r="F5630" s="111">
        <v>70</v>
      </c>
      <c r="G5630" s="111">
        <f t="shared" ref="G5630:G5693" si="282">F5630-E5630</f>
        <v>70</v>
      </c>
      <c r="H5630" s="111">
        <v>35</v>
      </c>
      <c r="I5630" s="111">
        <f t="shared" si="280"/>
        <v>35</v>
      </c>
      <c r="J5630" s="88" t="str">
        <f t="shared" si="281"/>
        <v>DEBE</v>
      </c>
      <c r="K5630" s="112" t="s">
        <v>2754</v>
      </c>
      <c r="L5630" s="41"/>
      <c r="M5630" s="8" t="s">
        <v>5303</v>
      </c>
    </row>
    <row r="5631" spans="1:13" x14ac:dyDescent="0.25">
      <c r="A5631" s="97">
        <v>46041</v>
      </c>
      <c r="B5631" s="7"/>
      <c r="C5631" s="98" t="s">
        <v>5304</v>
      </c>
      <c r="D5631" s="98" t="s">
        <v>4665</v>
      </c>
      <c r="E5631" s="99"/>
      <c r="F5631" s="101">
        <v>160</v>
      </c>
      <c r="G5631" s="101">
        <f t="shared" si="282"/>
        <v>160</v>
      </c>
      <c r="H5631" s="101">
        <v>80</v>
      </c>
      <c r="I5631" s="100">
        <f t="shared" si="280"/>
        <v>80</v>
      </c>
      <c r="J5631" s="7" t="str">
        <f t="shared" si="281"/>
        <v>DEBE</v>
      </c>
      <c r="K5631" s="34" t="s">
        <v>2754</v>
      </c>
      <c r="M5631" s="8" t="s">
        <v>5305</v>
      </c>
    </row>
    <row r="5632" spans="1:13" x14ac:dyDescent="0.25">
      <c r="A5632" s="97">
        <v>46041</v>
      </c>
      <c r="B5632" s="7"/>
      <c r="C5632" s="98" t="s">
        <v>5286</v>
      </c>
      <c r="D5632" s="98" t="s">
        <v>3736</v>
      </c>
      <c r="E5632" s="99"/>
      <c r="F5632" s="101">
        <v>70</v>
      </c>
      <c r="G5632" s="101">
        <f t="shared" si="282"/>
        <v>70</v>
      </c>
      <c r="H5632" s="101">
        <f>40+30</f>
        <v>70</v>
      </c>
      <c r="I5632" s="100">
        <f t="shared" si="280"/>
        <v>0</v>
      </c>
      <c r="J5632" s="7" t="str">
        <f t="shared" si="281"/>
        <v>PAGADO</v>
      </c>
      <c r="K5632" s="34" t="s">
        <v>2754</v>
      </c>
      <c r="M5632" s="8" t="s">
        <v>5306</v>
      </c>
    </row>
    <row r="5633" spans="1:13" x14ac:dyDescent="0.25">
      <c r="A5633" s="97">
        <v>46041</v>
      </c>
      <c r="B5633" s="7"/>
      <c r="C5633" s="98" t="s">
        <v>5307</v>
      </c>
      <c r="D5633" s="98" t="s">
        <v>4881</v>
      </c>
      <c r="E5633" s="99"/>
      <c r="F5633" s="101">
        <v>150</v>
      </c>
      <c r="G5633" s="101">
        <f t="shared" si="282"/>
        <v>150</v>
      </c>
      <c r="H5633" s="101">
        <v>75</v>
      </c>
      <c r="I5633" s="100">
        <f t="shared" si="280"/>
        <v>75</v>
      </c>
      <c r="J5633" s="7" t="str">
        <f t="shared" si="281"/>
        <v>DEBE</v>
      </c>
      <c r="K5633" s="34" t="s">
        <v>2754</v>
      </c>
      <c r="M5633" s="8" t="s">
        <v>5308</v>
      </c>
    </row>
    <row r="5634" spans="1:13" x14ac:dyDescent="0.25">
      <c r="A5634" s="97">
        <v>46041</v>
      </c>
      <c r="B5634" s="7"/>
      <c r="C5634" s="98" t="s">
        <v>5309</v>
      </c>
      <c r="D5634" s="98" t="s">
        <v>4881</v>
      </c>
      <c r="E5634" s="99"/>
      <c r="F5634" s="101">
        <v>120</v>
      </c>
      <c r="G5634" s="101">
        <f t="shared" si="282"/>
        <v>120</v>
      </c>
      <c r="H5634" s="101">
        <v>60</v>
      </c>
      <c r="I5634" s="100">
        <f t="shared" si="280"/>
        <v>60</v>
      </c>
      <c r="J5634" s="7" t="str">
        <f t="shared" si="281"/>
        <v>DEBE</v>
      </c>
      <c r="K5634" s="34" t="s">
        <v>2754</v>
      </c>
      <c r="M5634" s="8" t="s">
        <v>5308</v>
      </c>
    </row>
    <row r="5635" spans="1:13" x14ac:dyDescent="0.25">
      <c r="A5635" s="97">
        <v>46041</v>
      </c>
      <c r="B5635" s="7"/>
      <c r="C5635" s="98" t="s">
        <v>5310</v>
      </c>
      <c r="D5635" s="98" t="s">
        <v>4881</v>
      </c>
      <c r="E5635" s="99"/>
      <c r="F5635" s="101">
        <v>120</v>
      </c>
      <c r="G5635" s="101">
        <f t="shared" si="282"/>
        <v>120</v>
      </c>
      <c r="H5635" s="101">
        <v>60</v>
      </c>
      <c r="I5635" s="100">
        <f t="shared" si="280"/>
        <v>60</v>
      </c>
      <c r="J5635" s="7" t="str">
        <f t="shared" si="281"/>
        <v>DEBE</v>
      </c>
      <c r="K5635" s="34" t="s">
        <v>2754</v>
      </c>
      <c r="M5635" s="8" t="s">
        <v>5308</v>
      </c>
    </row>
    <row r="5636" spans="1:13" x14ac:dyDescent="0.25">
      <c r="A5636" s="97">
        <v>46041</v>
      </c>
      <c r="B5636" s="7"/>
      <c r="C5636" s="98" t="s">
        <v>5311</v>
      </c>
      <c r="D5636" s="98" t="s">
        <v>4881</v>
      </c>
      <c r="E5636" s="99"/>
      <c r="F5636" s="101">
        <v>120</v>
      </c>
      <c r="G5636" s="101">
        <f t="shared" si="282"/>
        <v>120</v>
      </c>
      <c r="H5636" s="101">
        <v>60</v>
      </c>
      <c r="I5636" s="100">
        <f t="shared" si="280"/>
        <v>60</v>
      </c>
      <c r="J5636" s="7" t="str">
        <f t="shared" si="281"/>
        <v>DEBE</v>
      </c>
      <c r="K5636" s="34" t="s">
        <v>2754</v>
      </c>
      <c r="M5636" s="8" t="s">
        <v>5308</v>
      </c>
    </row>
    <row r="5637" spans="1:13" x14ac:dyDescent="0.25">
      <c r="A5637" s="97">
        <v>46041</v>
      </c>
      <c r="B5637" s="7"/>
      <c r="C5637" s="98" t="s">
        <v>5312</v>
      </c>
      <c r="D5637" s="98" t="s">
        <v>5209</v>
      </c>
      <c r="E5637" s="99"/>
      <c r="F5637" s="101">
        <v>90</v>
      </c>
      <c r="G5637" s="101">
        <f t="shared" si="282"/>
        <v>90</v>
      </c>
      <c r="H5637" s="101">
        <v>45</v>
      </c>
      <c r="I5637" s="100">
        <f t="shared" si="280"/>
        <v>45</v>
      </c>
      <c r="J5637" s="7" t="str">
        <f t="shared" si="281"/>
        <v>DEBE</v>
      </c>
      <c r="K5637" s="34" t="s">
        <v>2754</v>
      </c>
      <c r="M5637" s="8" t="s">
        <v>2755</v>
      </c>
    </row>
    <row r="5638" spans="1:13" x14ac:dyDescent="0.25">
      <c r="A5638" s="97">
        <v>46041</v>
      </c>
      <c r="B5638" s="7"/>
      <c r="C5638" s="109" t="s">
        <v>5313</v>
      </c>
      <c r="D5638" s="109" t="s">
        <v>4587</v>
      </c>
      <c r="E5638" s="110"/>
      <c r="F5638" s="111">
        <v>80</v>
      </c>
      <c r="G5638" s="111">
        <f t="shared" si="282"/>
        <v>80</v>
      </c>
      <c r="H5638" s="111">
        <v>40</v>
      </c>
      <c r="I5638" s="111">
        <f t="shared" si="280"/>
        <v>40</v>
      </c>
      <c r="J5638" s="88" t="str">
        <f t="shared" si="281"/>
        <v>DEBE</v>
      </c>
      <c r="K5638" s="112" t="s">
        <v>2754</v>
      </c>
      <c r="L5638" s="41"/>
      <c r="M5638" s="8" t="s">
        <v>5314</v>
      </c>
    </row>
    <row r="5639" spans="1:13" x14ac:dyDescent="0.25">
      <c r="A5639" s="97">
        <v>46041</v>
      </c>
      <c r="B5639" s="7"/>
      <c r="C5639" s="98" t="s">
        <v>5315</v>
      </c>
      <c r="D5639" s="98" t="s">
        <v>5209</v>
      </c>
      <c r="E5639" s="99"/>
      <c r="F5639" s="101">
        <v>90</v>
      </c>
      <c r="G5639" s="101">
        <f t="shared" si="282"/>
        <v>90</v>
      </c>
      <c r="H5639" s="101">
        <v>45</v>
      </c>
      <c r="I5639" s="100">
        <f t="shared" si="280"/>
        <v>45</v>
      </c>
      <c r="J5639" s="7" t="str">
        <f t="shared" si="281"/>
        <v>DEBE</v>
      </c>
      <c r="K5639" s="34" t="s">
        <v>2754</v>
      </c>
      <c r="M5639" s="8" t="s">
        <v>5316</v>
      </c>
    </row>
    <row r="5640" spans="1:13" x14ac:dyDescent="0.25">
      <c r="A5640" s="97">
        <v>46041</v>
      </c>
      <c r="B5640" s="7"/>
      <c r="C5640" s="98" t="s">
        <v>5317</v>
      </c>
      <c r="D5640" s="98" t="s">
        <v>3370</v>
      </c>
      <c r="E5640" s="99"/>
      <c r="F5640" s="101">
        <v>60</v>
      </c>
      <c r="G5640" s="101">
        <f t="shared" si="282"/>
        <v>60</v>
      </c>
      <c r="H5640" s="101">
        <v>30</v>
      </c>
      <c r="I5640" s="100">
        <f t="shared" si="280"/>
        <v>30</v>
      </c>
      <c r="J5640" s="7" t="str">
        <f t="shared" si="281"/>
        <v>DEBE</v>
      </c>
      <c r="K5640" s="34" t="s">
        <v>2754</v>
      </c>
      <c r="M5640" s="8" t="s">
        <v>5318</v>
      </c>
    </row>
    <row r="5641" spans="1:13" x14ac:dyDescent="0.25">
      <c r="A5641" s="97">
        <v>46041</v>
      </c>
      <c r="B5641" s="7"/>
      <c r="C5641" s="98" t="s">
        <v>5319</v>
      </c>
      <c r="D5641" s="98" t="s">
        <v>3370</v>
      </c>
      <c r="E5641" s="99"/>
      <c r="F5641" s="101">
        <v>60</v>
      </c>
      <c r="G5641" s="101">
        <f t="shared" si="282"/>
        <v>60</v>
      </c>
      <c r="H5641" s="101">
        <v>30</v>
      </c>
      <c r="I5641" s="100">
        <f t="shared" si="280"/>
        <v>30</v>
      </c>
      <c r="J5641" s="7" t="str">
        <f t="shared" si="281"/>
        <v>DEBE</v>
      </c>
      <c r="K5641" s="34" t="s">
        <v>2754</v>
      </c>
      <c r="M5641" s="8" t="s">
        <v>5318</v>
      </c>
    </row>
    <row r="5642" spans="1:13" x14ac:dyDescent="0.25">
      <c r="A5642" s="97">
        <v>46041</v>
      </c>
      <c r="B5642" s="7"/>
      <c r="C5642" s="98" t="s">
        <v>5286</v>
      </c>
      <c r="D5642" s="98" t="s">
        <v>1523</v>
      </c>
      <c r="E5642" s="99"/>
      <c r="F5642" s="101">
        <v>70</v>
      </c>
      <c r="G5642" s="101">
        <f t="shared" si="282"/>
        <v>70</v>
      </c>
      <c r="H5642" s="113">
        <v>10</v>
      </c>
      <c r="I5642" s="100">
        <f t="shared" si="280"/>
        <v>60</v>
      </c>
      <c r="J5642" s="7" t="str">
        <f t="shared" si="281"/>
        <v>DEBE</v>
      </c>
      <c r="K5642" s="34" t="s">
        <v>2754</v>
      </c>
      <c r="M5642" s="8" t="s">
        <v>5306</v>
      </c>
    </row>
    <row r="5643" spans="1:13" x14ac:dyDescent="0.25">
      <c r="A5643" s="97">
        <v>46041</v>
      </c>
      <c r="B5643" s="7"/>
      <c r="C5643" s="98" t="s">
        <v>5320</v>
      </c>
      <c r="D5643" s="98" t="s">
        <v>5209</v>
      </c>
      <c r="E5643" s="99"/>
      <c r="F5643" s="101">
        <v>190</v>
      </c>
      <c r="G5643" s="101">
        <f t="shared" si="282"/>
        <v>190</v>
      </c>
      <c r="H5643" s="101">
        <v>95</v>
      </c>
      <c r="I5643" s="100">
        <f t="shared" ref="I5643:I5706" si="283">F5643-H5643</f>
        <v>95</v>
      </c>
      <c r="J5643" s="7" t="str">
        <f t="shared" si="281"/>
        <v>DEBE</v>
      </c>
      <c r="K5643" s="34" t="s">
        <v>2754</v>
      </c>
      <c r="M5643" s="8" t="s">
        <v>5321</v>
      </c>
    </row>
    <row r="5644" spans="1:13" x14ac:dyDescent="0.25">
      <c r="A5644" s="97">
        <v>46041</v>
      </c>
      <c r="B5644" s="7"/>
      <c r="C5644" s="98" t="s">
        <v>5322</v>
      </c>
      <c r="D5644" s="98" t="s">
        <v>1523</v>
      </c>
      <c r="E5644" s="99"/>
      <c r="F5644" s="101">
        <v>150</v>
      </c>
      <c r="G5644" s="101">
        <f t="shared" si="282"/>
        <v>150</v>
      </c>
      <c r="H5644" s="113">
        <v>150</v>
      </c>
      <c r="I5644" s="100">
        <f t="shared" si="283"/>
        <v>0</v>
      </c>
      <c r="J5644" s="7" t="str">
        <f t="shared" si="281"/>
        <v>PAGADO</v>
      </c>
      <c r="K5644" s="34" t="s">
        <v>2754</v>
      </c>
      <c r="M5644" s="8" t="s">
        <v>5285</v>
      </c>
    </row>
    <row r="5645" spans="1:13" x14ac:dyDescent="0.25">
      <c r="A5645" s="97">
        <v>46041</v>
      </c>
      <c r="B5645" s="7"/>
      <c r="C5645" s="98" t="s">
        <v>5323</v>
      </c>
      <c r="D5645" s="98" t="s">
        <v>4864</v>
      </c>
      <c r="E5645" s="99"/>
      <c r="F5645" s="101">
        <v>70</v>
      </c>
      <c r="G5645" s="101">
        <f t="shared" si="282"/>
        <v>70</v>
      </c>
      <c r="H5645" s="101">
        <v>70</v>
      </c>
      <c r="I5645" s="100">
        <f t="shared" si="283"/>
        <v>0</v>
      </c>
      <c r="J5645" s="7" t="str">
        <f t="shared" si="281"/>
        <v>PAGADO</v>
      </c>
      <c r="K5645" s="34" t="s">
        <v>2754</v>
      </c>
      <c r="M5645" s="8" t="s">
        <v>5262</v>
      </c>
    </row>
    <row r="5646" spans="1:13" x14ac:dyDescent="0.25">
      <c r="A5646" s="97">
        <v>46041</v>
      </c>
      <c r="B5646" s="7"/>
      <c r="C5646" s="98" t="s">
        <v>5324</v>
      </c>
      <c r="D5646" s="98" t="s">
        <v>1078</v>
      </c>
      <c r="E5646" s="99"/>
      <c r="F5646" s="101">
        <v>55</v>
      </c>
      <c r="G5646" s="101">
        <f t="shared" si="282"/>
        <v>55</v>
      </c>
      <c r="H5646" s="108">
        <v>30</v>
      </c>
      <c r="I5646" s="100">
        <f t="shared" si="283"/>
        <v>25</v>
      </c>
      <c r="J5646" s="7" t="str">
        <f t="shared" si="281"/>
        <v>DEBE</v>
      </c>
      <c r="K5646" s="34" t="s">
        <v>2754</v>
      </c>
      <c r="M5646" s="8" t="s">
        <v>5241</v>
      </c>
    </row>
    <row r="5647" spans="1:13" x14ac:dyDescent="0.25">
      <c r="A5647" s="97">
        <v>46041</v>
      </c>
      <c r="B5647" s="7"/>
      <c r="C5647" s="98" t="s">
        <v>5325</v>
      </c>
      <c r="D5647" s="98" t="s">
        <v>2969</v>
      </c>
      <c r="E5647" s="99"/>
      <c r="F5647" s="101">
        <v>80</v>
      </c>
      <c r="G5647" s="101">
        <f t="shared" si="282"/>
        <v>80</v>
      </c>
      <c r="H5647" s="101">
        <v>80</v>
      </c>
      <c r="I5647" s="100">
        <f t="shared" si="283"/>
        <v>0</v>
      </c>
      <c r="J5647" s="7" t="str">
        <f t="shared" ref="J5647:J5710" si="284">IF(I5647&gt;0,"DEBE","PAGADO")</f>
        <v>PAGADO</v>
      </c>
      <c r="K5647" s="34" t="s">
        <v>2754</v>
      </c>
      <c r="M5647" s="8" t="s">
        <v>5293</v>
      </c>
    </row>
    <row r="5648" spans="1:13" x14ac:dyDescent="0.25">
      <c r="A5648" s="97">
        <v>46041</v>
      </c>
      <c r="B5648" s="7"/>
      <c r="C5648" s="98" t="s">
        <v>5326</v>
      </c>
      <c r="D5648" s="98" t="s">
        <v>1309</v>
      </c>
      <c r="E5648" s="99"/>
      <c r="F5648" s="101">
        <v>45</v>
      </c>
      <c r="G5648" s="101">
        <f t="shared" si="282"/>
        <v>45</v>
      </c>
      <c r="H5648" s="101">
        <v>45</v>
      </c>
      <c r="I5648" s="100">
        <f t="shared" si="283"/>
        <v>0</v>
      </c>
      <c r="J5648" s="7" t="str">
        <f t="shared" si="284"/>
        <v>PAGADO</v>
      </c>
      <c r="K5648" s="34" t="s">
        <v>2754</v>
      </c>
      <c r="M5648" s="8" t="s">
        <v>5301</v>
      </c>
    </row>
    <row r="5649" spans="1:13" x14ac:dyDescent="0.25">
      <c r="A5649" s="97">
        <v>46041</v>
      </c>
      <c r="B5649" s="7"/>
      <c r="C5649" s="98" t="s">
        <v>5327</v>
      </c>
      <c r="D5649" s="98" t="s">
        <v>1510</v>
      </c>
      <c r="E5649" s="99"/>
      <c r="F5649" s="101">
        <v>70</v>
      </c>
      <c r="G5649" s="101">
        <f t="shared" si="282"/>
        <v>70</v>
      </c>
      <c r="H5649" s="101">
        <v>35</v>
      </c>
      <c r="I5649" s="100">
        <f t="shared" si="283"/>
        <v>35</v>
      </c>
      <c r="J5649" s="7" t="str">
        <f t="shared" si="284"/>
        <v>DEBE</v>
      </c>
      <c r="K5649" s="34" t="s">
        <v>2754</v>
      </c>
      <c r="M5649" s="8" t="s">
        <v>5251</v>
      </c>
    </row>
    <row r="5650" spans="1:13" x14ac:dyDescent="0.25">
      <c r="A5650" s="97">
        <v>46041</v>
      </c>
      <c r="B5650" s="7"/>
      <c r="C5650" s="98" t="s">
        <v>5268</v>
      </c>
      <c r="D5650" s="98" t="s">
        <v>1510</v>
      </c>
      <c r="E5650" s="99"/>
      <c r="F5650" s="101">
        <v>75</v>
      </c>
      <c r="G5650" s="101">
        <f t="shared" si="282"/>
        <v>75</v>
      </c>
      <c r="H5650" s="101">
        <v>37.5</v>
      </c>
      <c r="I5650" s="108">
        <f t="shared" si="283"/>
        <v>37.5</v>
      </c>
      <c r="J5650" s="7" t="str">
        <f t="shared" si="284"/>
        <v>DEBE</v>
      </c>
      <c r="K5650" s="34" t="s">
        <v>2754</v>
      </c>
      <c r="M5650" s="8" t="s">
        <v>5269</v>
      </c>
    </row>
    <row r="5651" spans="1:13" x14ac:dyDescent="0.25">
      <c r="A5651" s="97">
        <v>46041</v>
      </c>
      <c r="B5651" s="7"/>
      <c r="C5651" s="98" t="s">
        <v>5328</v>
      </c>
      <c r="D5651" s="98" t="s">
        <v>1510</v>
      </c>
      <c r="E5651" s="99"/>
      <c r="F5651" s="101">
        <v>70</v>
      </c>
      <c r="G5651" s="101">
        <f t="shared" si="282"/>
        <v>70</v>
      </c>
      <c r="H5651" s="101">
        <v>35</v>
      </c>
      <c r="I5651" s="108">
        <f t="shared" si="283"/>
        <v>35</v>
      </c>
      <c r="J5651" s="7" t="str">
        <f t="shared" si="284"/>
        <v>DEBE</v>
      </c>
      <c r="K5651" s="34" t="s">
        <v>2754</v>
      </c>
      <c r="M5651" s="8" t="s">
        <v>5329</v>
      </c>
    </row>
    <row r="5652" spans="1:13" x14ac:dyDescent="0.25">
      <c r="A5652" s="97">
        <v>46041</v>
      </c>
      <c r="B5652" s="7"/>
      <c r="C5652" s="98" t="s">
        <v>5330</v>
      </c>
      <c r="D5652" s="98" t="s">
        <v>1510</v>
      </c>
      <c r="E5652" s="99"/>
      <c r="F5652" s="101">
        <v>90</v>
      </c>
      <c r="G5652" s="101">
        <f t="shared" si="282"/>
        <v>90</v>
      </c>
      <c r="H5652" s="101">
        <v>45</v>
      </c>
      <c r="I5652" s="108">
        <f t="shared" si="283"/>
        <v>45</v>
      </c>
      <c r="J5652" s="7" t="str">
        <f t="shared" si="284"/>
        <v>DEBE</v>
      </c>
      <c r="K5652" s="34" t="s">
        <v>2754</v>
      </c>
      <c r="M5652" s="8" t="s">
        <v>5329</v>
      </c>
    </row>
    <row r="5653" spans="1:13" x14ac:dyDescent="0.25">
      <c r="A5653" s="97">
        <v>46041</v>
      </c>
      <c r="B5653" s="7"/>
      <c r="C5653" s="98" t="s">
        <v>5331</v>
      </c>
      <c r="D5653" s="98" t="s">
        <v>1510</v>
      </c>
      <c r="E5653" s="99"/>
      <c r="F5653" s="101">
        <v>60</v>
      </c>
      <c r="G5653" s="101">
        <f t="shared" si="282"/>
        <v>60</v>
      </c>
      <c r="H5653" s="101">
        <v>30</v>
      </c>
      <c r="I5653" s="100">
        <f t="shared" si="283"/>
        <v>30</v>
      </c>
      <c r="J5653" s="7" t="str">
        <f t="shared" si="284"/>
        <v>DEBE</v>
      </c>
      <c r="K5653" s="34" t="s">
        <v>2754</v>
      </c>
      <c r="M5653" s="8" t="s">
        <v>5318</v>
      </c>
    </row>
    <row r="5654" spans="1:13" x14ac:dyDescent="0.25">
      <c r="A5654" s="97">
        <v>46041</v>
      </c>
      <c r="B5654" s="7"/>
      <c r="C5654" s="98" t="s">
        <v>5332</v>
      </c>
      <c r="D5654" s="98" t="s">
        <v>1510</v>
      </c>
      <c r="E5654" s="99"/>
      <c r="F5654" s="101">
        <v>65</v>
      </c>
      <c r="G5654" s="101">
        <f t="shared" si="282"/>
        <v>65</v>
      </c>
      <c r="H5654" s="101">
        <v>32.5</v>
      </c>
      <c r="I5654" s="114">
        <f t="shared" si="283"/>
        <v>32.5</v>
      </c>
      <c r="J5654" s="7" t="str">
        <f t="shared" si="284"/>
        <v>DEBE</v>
      </c>
      <c r="K5654" s="34" t="s">
        <v>2754</v>
      </c>
      <c r="M5654" s="8" t="s">
        <v>5318</v>
      </c>
    </row>
    <row r="5655" spans="1:13" x14ac:dyDescent="0.25">
      <c r="A5655" s="97">
        <v>46041</v>
      </c>
      <c r="B5655" s="7"/>
      <c r="C5655" s="98" t="s">
        <v>5333</v>
      </c>
      <c r="D5655" s="98" t="s">
        <v>1510</v>
      </c>
      <c r="E5655" s="99"/>
      <c r="F5655" s="101">
        <v>60</v>
      </c>
      <c r="G5655" s="101">
        <f t="shared" si="282"/>
        <v>60</v>
      </c>
      <c r="H5655" s="101">
        <v>30</v>
      </c>
      <c r="I5655" s="114">
        <f t="shared" si="283"/>
        <v>30</v>
      </c>
      <c r="J5655" s="7" t="str">
        <f t="shared" si="284"/>
        <v>DEBE</v>
      </c>
      <c r="K5655" s="34" t="s">
        <v>2754</v>
      </c>
      <c r="M5655" s="8" t="s">
        <v>5318</v>
      </c>
    </row>
    <row r="5656" spans="1:13" x14ac:dyDescent="0.25">
      <c r="A5656" s="97">
        <v>46041</v>
      </c>
      <c r="B5656" s="7"/>
      <c r="C5656" s="98" t="s">
        <v>5286</v>
      </c>
      <c r="D5656" s="98" t="s">
        <v>1510</v>
      </c>
      <c r="E5656" s="99"/>
      <c r="F5656" s="101">
        <v>70</v>
      </c>
      <c r="G5656" s="101">
        <f t="shared" si="282"/>
        <v>70</v>
      </c>
      <c r="H5656" s="101">
        <v>35</v>
      </c>
      <c r="I5656" s="100">
        <f t="shared" si="283"/>
        <v>35</v>
      </c>
      <c r="J5656" s="7" t="str">
        <f t="shared" si="284"/>
        <v>DEBE</v>
      </c>
      <c r="K5656" s="34" t="s">
        <v>2754</v>
      </c>
      <c r="M5656" s="8" t="s">
        <v>5306</v>
      </c>
    </row>
    <row r="5657" spans="1:13" x14ac:dyDescent="0.25">
      <c r="A5657" s="97">
        <v>46041</v>
      </c>
      <c r="B5657" s="7"/>
      <c r="C5657" s="98" t="s">
        <v>5334</v>
      </c>
      <c r="D5657" s="98" t="s">
        <v>1510</v>
      </c>
      <c r="E5657" s="99"/>
      <c r="F5657" s="101">
        <v>80</v>
      </c>
      <c r="G5657" s="101">
        <f t="shared" si="282"/>
        <v>80</v>
      </c>
      <c r="H5657" s="102">
        <v>40</v>
      </c>
      <c r="I5657" s="100">
        <f t="shared" si="283"/>
        <v>40</v>
      </c>
      <c r="J5657" s="7" t="str">
        <f t="shared" si="284"/>
        <v>DEBE</v>
      </c>
      <c r="K5657" s="34" t="s">
        <v>2754</v>
      </c>
      <c r="M5657" s="8" t="s">
        <v>5253</v>
      </c>
    </row>
    <row r="5658" spans="1:13" x14ac:dyDescent="0.25">
      <c r="A5658" s="97">
        <v>46041</v>
      </c>
      <c r="B5658" s="7"/>
      <c r="C5658" s="98" t="s">
        <v>5335</v>
      </c>
      <c r="D5658" s="98" t="s">
        <v>1510</v>
      </c>
      <c r="E5658" s="99"/>
      <c r="F5658" s="101">
        <v>80</v>
      </c>
      <c r="G5658" s="101">
        <f t="shared" si="282"/>
        <v>80</v>
      </c>
      <c r="H5658" s="102">
        <v>40</v>
      </c>
      <c r="I5658" s="100">
        <f t="shared" si="283"/>
        <v>40</v>
      </c>
      <c r="J5658" s="7" t="str">
        <f t="shared" si="284"/>
        <v>DEBE</v>
      </c>
      <c r="K5658" s="34" t="s">
        <v>2754</v>
      </c>
      <c r="M5658" s="8" t="s">
        <v>5253</v>
      </c>
    </row>
    <row r="5659" spans="1:13" x14ac:dyDescent="0.25">
      <c r="A5659" s="97">
        <v>46041</v>
      </c>
      <c r="B5659" s="7"/>
      <c r="C5659" s="98" t="s">
        <v>5336</v>
      </c>
      <c r="D5659" s="98" t="s">
        <v>1510</v>
      </c>
      <c r="E5659" s="99"/>
      <c r="F5659" s="101">
        <v>80</v>
      </c>
      <c r="G5659" s="101">
        <f t="shared" si="282"/>
        <v>80</v>
      </c>
      <c r="H5659" s="102">
        <v>40</v>
      </c>
      <c r="I5659" s="100">
        <f t="shared" si="283"/>
        <v>40</v>
      </c>
      <c r="J5659" s="7" t="str">
        <f t="shared" si="284"/>
        <v>DEBE</v>
      </c>
      <c r="K5659" s="34" t="s">
        <v>2754</v>
      </c>
      <c r="M5659" s="8" t="s">
        <v>5253</v>
      </c>
    </row>
    <row r="5660" spans="1:13" x14ac:dyDescent="0.25">
      <c r="A5660" s="97">
        <v>46041</v>
      </c>
      <c r="B5660" s="7"/>
      <c r="C5660" s="98" t="s">
        <v>5337</v>
      </c>
      <c r="D5660" s="98" t="s">
        <v>1510</v>
      </c>
      <c r="E5660" s="99"/>
      <c r="F5660" s="101">
        <v>90</v>
      </c>
      <c r="G5660" s="101">
        <f t="shared" si="282"/>
        <v>90</v>
      </c>
      <c r="H5660" s="101">
        <v>45</v>
      </c>
      <c r="I5660" s="100">
        <f t="shared" si="283"/>
        <v>45</v>
      </c>
      <c r="J5660" s="7" t="str">
        <f t="shared" si="284"/>
        <v>DEBE</v>
      </c>
      <c r="K5660" s="34" t="s">
        <v>2754</v>
      </c>
      <c r="M5660" s="8" t="s">
        <v>5285</v>
      </c>
    </row>
    <row r="5661" spans="1:13" x14ac:dyDescent="0.25">
      <c r="A5661" s="97">
        <v>46041</v>
      </c>
      <c r="B5661" s="7"/>
      <c r="C5661" s="98" t="s">
        <v>5338</v>
      </c>
      <c r="D5661" s="98" t="s">
        <v>1510</v>
      </c>
      <c r="E5661" s="99"/>
      <c r="F5661" s="101">
        <v>70</v>
      </c>
      <c r="G5661" s="101">
        <f t="shared" si="282"/>
        <v>70</v>
      </c>
      <c r="H5661" s="102">
        <v>35</v>
      </c>
      <c r="I5661" s="100">
        <f t="shared" si="283"/>
        <v>35</v>
      </c>
      <c r="J5661" s="7" t="str">
        <f t="shared" si="284"/>
        <v>DEBE</v>
      </c>
      <c r="K5661" s="34" t="s">
        <v>2754</v>
      </c>
      <c r="M5661" s="8" t="s">
        <v>5339</v>
      </c>
    </row>
    <row r="5662" spans="1:13" x14ac:dyDescent="0.25">
      <c r="A5662" s="97">
        <v>46041</v>
      </c>
      <c r="B5662" s="7"/>
      <c r="C5662" s="98" t="s">
        <v>5340</v>
      </c>
      <c r="D5662" s="98" t="s">
        <v>1510</v>
      </c>
      <c r="E5662" s="99"/>
      <c r="F5662" s="101">
        <v>60</v>
      </c>
      <c r="G5662" s="101">
        <f t="shared" si="282"/>
        <v>60</v>
      </c>
      <c r="H5662" s="102">
        <v>30</v>
      </c>
      <c r="I5662" s="100">
        <f t="shared" si="283"/>
        <v>30</v>
      </c>
      <c r="J5662" s="7" t="str">
        <f t="shared" si="284"/>
        <v>DEBE</v>
      </c>
      <c r="K5662" s="34" t="s">
        <v>2754</v>
      </c>
      <c r="M5662" s="8" t="s">
        <v>5339</v>
      </c>
    </row>
    <row r="5663" spans="1:13" x14ac:dyDescent="0.25">
      <c r="A5663" s="97">
        <v>46041</v>
      </c>
      <c r="B5663" s="7"/>
      <c r="C5663" s="98" t="s">
        <v>5341</v>
      </c>
      <c r="D5663" s="98" t="s">
        <v>3370</v>
      </c>
      <c r="E5663" s="99"/>
      <c r="F5663" s="101">
        <v>130</v>
      </c>
      <c r="G5663" s="101">
        <f t="shared" si="282"/>
        <v>130</v>
      </c>
      <c r="H5663" s="101">
        <v>65</v>
      </c>
      <c r="I5663" s="100">
        <f t="shared" si="283"/>
        <v>65</v>
      </c>
      <c r="J5663" s="7" t="str">
        <f t="shared" si="284"/>
        <v>DEBE</v>
      </c>
      <c r="K5663" s="34" t="s">
        <v>2754</v>
      </c>
      <c r="M5663" s="8" t="s">
        <v>5342</v>
      </c>
    </row>
    <row r="5664" spans="1:13" x14ac:dyDescent="0.25">
      <c r="A5664" s="97">
        <v>46041</v>
      </c>
      <c r="B5664" s="7"/>
      <c r="C5664" s="98" t="s">
        <v>5343</v>
      </c>
      <c r="D5664" s="98" t="s">
        <v>5202</v>
      </c>
      <c r="E5664" s="99"/>
      <c r="F5664" s="101">
        <v>50</v>
      </c>
      <c r="G5664" s="101">
        <f t="shared" si="282"/>
        <v>50</v>
      </c>
      <c r="H5664" s="101">
        <v>25</v>
      </c>
      <c r="I5664" s="100">
        <f t="shared" si="283"/>
        <v>25</v>
      </c>
      <c r="J5664" s="7" t="str">
        <f t="shared" si="284"/>
        <v>DEBE</v>
      </c>
      <c r="K5664" s="34" t="s">
        <v>2754</v>
      </c>
      <c r="M5664" s="8" t="s">
        <v>5271</v>
      </c>
    </row>
    <row r="5665" spans="1:13" x14ac:dyDescent="0.25">
      <c r="A5665" s="97">
        <v>46041</v>
      </c>
      <c r="B5665" s="7"/>
      <c r="C5665" s="98" t="s">
        <v>5344</v>
      </c>
      <c r="D5665" s="98" t="s">
        <v>5202</v>
      </c>
      <c r="E5665" s="99"/>
      <c r="F5665" s="101">
        <v>50</v>
      </c>
      <c r="G5665" s="101">
        <f t="shared" si="282"/>
        <v>50</v>
      </c>
      <c r="H5665" s="101">
        <v>25</v>
      </c>
      <c r="I5665" s="100">
        <f t="shared" si="283"/>
        <v>25</v>
      </c>
      <c r="J5665" s="7" t="str">
        <f t="shared" si="284"/>
        <v>DEBE</v>
      </c>
      <c r="K5665" s="34" t="s">
        <v>2754</v>
      </c>
      <c r="M5665" s="8" t="s">
        <v>5271</v>
      </c>
    </row>
    <row r="5666" spans="1:13" x14ac:dyDescent="0.25">
      <c r="A5666" s="97">
        <v>46041</v>
      </c>
      <c r="B5666" s="7"/>
      <c r="C5666" s="98" t="s">
        <v>5345</v>
      </c>
      <c r="D5666" s="98" t="s">
        <v>5202</v>
      </c>
      <c r="E5666" s="99"/>
      <c r="F5666" s="101">
        <v>50</v>
      </c>
      <c r="G5666" s="101">
        <f t="shared" si="282"/>
        <v>50</v>
      </c>
      <c r="H5666" s="101">
        <v>25</v>
      </c>
      <c r="I5666" s="100">
        <f t="shared" si="283"/>
        <v>25</v>
      </c>
      <c r="J5666" s="7" t="str">
        <f t="shared" si="284"/>
        <v>DEBE</v>
      </c>
      <c r="K5666" s="34" t="s">
        <v>2754</v>
      </c>
      <c r="M5666" s="8" t="s">
        <v>5271</v>
      </c>
    </row>
    <row r="5667" spans="1:13" x14ac:dyDescent="0.25">
      <c r="A5667" s="97">
        <v>46041</v>
      </c>
      <c r="B5667" s="7"/>
      <c r="C5667" s="98" t="s">
        <v>5346</v>
      </c>
      <c r="D5667" s="98" t="s">
        <v>1078</v>
      </c>
      <c r="E5667" s="99"/>
      <c r="F5667" s="101">
        <v>100</v>
      </c>
      <c r="G5667" s="101">
        <f t="shared" si="282"/>
        <v>100</v>
      </c>
      <c r="H5667" s="108">
        <v>50</v>
      </c>
      <c r="I5667" s="100">
        <f t="shared" si="283"/>
        <v>50</v>
      </c>
      <c r="J5667" s="7" t="str">
        <f t="shared" si="284"/>
        <v>DEBE</v>
      </c>
      <c r="K5667" s="34" t="s">
        <v>2754</v>
      </c>
      <c r="M5667" s="8" t="s">
        <v>5342</v>
      </c>
    </row>
    <row r="5668" spans="1:13" x14ac:dyDescent="0.25">
      <c r="A5668" s="97">
        <v>46041</v>
      </c>
      <c r="B5668" s="7"/>
      <c r="C5668" s="98" t="s">
        <v>5338</v>
      </c>
      <c r="D5668" s="98" t="s">
        <v>5164</v>
      </c>
      <c r="E5668" s="99"/>
      <c r="F5668" s="101">
        <v>70</v>
      </c>
      <c r="G5668" s="101">
        <f t="shared" si="282"/>
        <v>70</v>
      </c>
      <c r="H5668" s="101">
        <v>35</v>
      </c>
      <c r="I5668" s="100">
        <f t="shared" si="283"/>
        <v>35</v>
      </c>
      <c r="J5668" s="7" t="str">
        <f t="shared" si="284"/>
        <v>DEBE</v>
      </c>
      <c r="K5668" s="34" t="s">
        <v>2754</v>
      </c>
      <c r="M5668" s="8" t="s">
        <v>5339</v>
      </c>
    </row>
    <row r="5669" spans="1:13" x14ac:dyDescent="0.25">
      <c r="A5669" s="97">
        <v>46041</v>
      </c>
      <c r="B5669" s="7"/>
      <c r="C5669" s="98" t="s">
        <v>5340</v>
      </c>
      <c r="D5669" s="98" t="s">
        <v>5164</v>
      </c>
      <c r="E5669" s="99"/>
      <c r="F5669" s="101">
        <v>60</v>
      </c>
      <c r="G5669" s="101">
        <f t="shared" si="282"/>
        <v>60</v>
      </c>
      <c r="H5669" s="101">
        <v>30</v>
      </c>
      <c r="I5669" s="100">
        <f t="shared" si="283"/>
        <v>30</v>
      </c>
      <c r="J5669" s="7" t="str">
        <f t="shared" si="284"/>
        <v>DEBE</v>
      </c>
      <c r="K5669" s="34" t="s">
        <v>2754</v>
      </c>
      <c r="M5669" s="8" t="s">
        <v>5339</v>
      </c>
    </row>
    <row r="5670" spans="1:13" x14ac:dyDescent="0.25">
      <c r="A5670" s="97">
        <v>46041</v>
      </c>
      <c r="B5670" s="7"/>
      <c r="C5670" s="98" t="s">
        <v>5347</v>
      </c>
      <c r="D5670" s="98" t="s">
        <v>3420</v>
      </c>
      <c r="E5670" s="99"/>
      <c r="F5670" s="101">
        <v>50</v>
      </c>
      <c r="G5670" s="101">
        <f t="shared" si="282"/>
        <v>50</v>
      </c>
      <c r="H5670" s="101">
        <v>25</v>
      </c>
      <c r="I5670" s="100">
        <f t="shared" si="283"/>
        <v>25</v>
      </c>
      <c r="J5670" s="7" t="str">
        <f t="shared" si="284"/>
        <v>DEBE</v>
      </c>
      <c r="K5670" s="34" t="s">
        <v>2754</v>
      </c>
      <c r="M5670" s="8" t="s">
        <v>5348</v>
      </c>
    </row>
    <row r="5671" spans="1:13" x14ac:dyDescent="0.25">
      <c r="A5671" s="97">
        <v>46041</v>
      </c>
      <c r="B5671" s="7"/>
      <c r="C5671" s="98" t="s">
        <v>5349</v>
      </c>
      <c r="D5671" s="98" t="s">
        <v>5164</v>
      </c>
      <c r="E5671" s="99"/>
      <c r="F5671" s="101">
        <v>70</v>
      </c>
      <c r="G5671" s="101">
        <f t="shared" si="282"/>
        <v>70</v>
      </c>
      <c r="H5671" s="101">
        <v>35</v>
      </c>
      <c r="I5671" s="100">
        <f t="shared" si="283"/>
        <v>35</v>
      </c>
      <c r="J5671" s="7" t="str">
        <f t="shared" si="284"/>
        <v>DEBE</v>
      </c>
      <c r="K5671" s="34" t="s">
        <v>2754</v>
      </c>
      <c r="M5671" s="8" t="s">
        <v>5350</v>
      </c>
    </row>
    <row r="5672" spans="1:13" x14ac:dyDescent="0.25">
      <c r="A5672" s="97">
        <v>46041</v>
      </c>
      <c r="B5672" s="7"/>
      <c r="C5672" s="98" t="s">
        <v>5351</v>
      </c>
      <c r="D5672" s="98" t="s">
        <v>4881</v>
      </c>
      <c r="E5672" s="99"/>
      <c r="F5672" s="101">
        <v>150</v>
      </c>
      <c r="G5672" s="101">
        <f t="shared" si="282"/>
        <v>150</v>
      </c>
      <c r="H5672" s="101">
        <v>75</v>
      </c>
      <c r="I5672" s="100">
        <f t="shared" si="283"/>
        <v>75</v>
      </c>
      <c r="J5672" s="7" t="str">
        <f t="shared" si="284"/>
        <v>DEBE</v>
      </c>
      <c r="K5672" s="34" t="s">
        <v>2754</v>
      </c>
      <c r="M5672" s="8" t="s">
        <v>5342</v>
      </c>
    </row>
    <row r="5673" spans="1:13" x14ac:dyDescent="0.25">
      <c r="A5673" s="97">
        <v>46041</v>
      </c>
      <c r="B5673" s="7"/>
      <c r="C5673" s="98" t="s">
        <v>5352</v>
      </c>
      <c r="D5673" s="98" t="s">
        <v>2153</v>
      </c>
      <c r="E5673" s="99"/>
      <c r="F5673" s="101">
        <v>80</v>
      </c>
      <c r="G5673" s="101">
        <f t="shared" si="282"/>
        <v>80</v>
      </c>
      <c r="H5673" s="101">
        <v>40</v>
      </c>
      <c r="I5673" s="100">
        <f t="shared" si="283"/>
        <v>40</v>
      </c>
      <c r="J5673" s="7" t="str">
        <f t="shared" si="284"/>
        <v>DEBE</v>
      </c>
      <c r="K5673" s="34" t="s">
        <v>2754</v>
      </c>
      <c r="M5673" s="8" t="s">
        <v>5267</v>
      </c>
    </row>
    <row r="5674" spans="1:13" x14ac:dyDescent="0.25">
      <c r="A5674" s="97">
        <v>46041</v>
      </c>
      <c r="B5674" s="7"/>
      <c r="C5674" s="98" t="s">
        <v>5353</v>
      </c>
      <c r="D5674" s="98" t="s">
        <v>597</v>
      </c>
      <c r="E5674" s="99"/>
      <c r="F5674" s="101">
        <v>80</v>
      </c>
      <c r="G5674" s="101">
        <f t="shared" si="282"/>
        <v>80</v>
      </c>
      <c r="H5674" s="101">
        <v>80</v>
      </c>
      <c r="I5674" s="100">
        <f t="shared" si="283"/>
        <v>0</v>
      </c>
      <c r="J5674" s="7" t="str">
        <f t="shared" si="284"/>
        <v>PAGADO</v>
      </c>
      <c r="K5674" s="34" t="s">
        <v>2754</v>
      </c>
      <c r="M5674" s="8" t="s">
        <v>5354</v>
      </c>
    </row>
    <row r="5675" spans="1:13" x14ac:dyDescent="0.25">
      <c r="A5675" s="97">
        <v>46041</v>
      </c>
      <c r="B5675" s="7"/>
      <c r="C5675" s="98" t="s">
        <v>5355</v>
      </c>
      <c r="D5675" s="98" t="s">
        <v>597</v>
      </c>
      <c r="E5675" s="99"/>
      <c r="F5675" s="101">
        <v>80</v>
      </c>
      <c r="G5675" s="101">
        <f t="shared" si="282"/>
        <v>80</v>
      </c>
      <c r="H5675" s="101">
        <v>80</v>
      </c>
      <c r="I5675" s="100">
        <f t="shared" si="283"/>
        <v>0</v>
      </c>
      <c r="J5675" s="7" t="str">
        <f t="shared" si="284"/>
        <v>PAGADO</v>
      </c>
      <c r="K5675" s="34" t="s">
        <v>2754</v>
      </c>
      <c r="M5675" s="8" t="s">
        <v>5354</v>
      </c>
    </row>
    <row r="5676" spans="1:13" x14ac:dyDescent="0.25">
      <c r="A5676" s="97">
        <v>46041</v>
      </c>
      <c r="B5676" s="7"/>
      <c r="C5676" s="98" t="s">
        <v>2376</v>
      </c>
      <c r="D5676" s="98" t="s">
        <v>597</v>
      </c>
      <c r="E5676" s="99"/>
      <c r="F5676" s="101">
        <v>120</v>
      </c>
      <c r="G5676" s="101">
        <f t="shared" si="282"/>
        <v>120</v>
      </c>
      <c r="H5676" s="102">
        <v>120</v>
      </c>
      <c r="I5676" s="100">
        <f t="shared" si="283"/>
        <v>0</v>
      </c>
      <c r="J5676" s="7" t="str">
        <f t="shared" si="284"/>
        <v>PAGADO</v>
      </c>
      <c r="K5676" s="34" t="s">
        <v>2754</v>
      </c>
      <c r="M5676" s="8" t="s">
        <v>5356</v>
      </c>
    </row>
    <row r="5677" spans="1:13" x14ac:dyDescent="0.25">
      <c r="A5677" s="97">
        <v>46041</v>
      </c>
      <c r="B5677" s="7"/>
      <c r="C5677" s="98" t="s">
        <v>5357</v>
      </c>
      <c r="D5677" s="98" t="s">
        <v>5164</v>
      </c>
      <c r="E5677" s="99"/>
      <c r="F5677" s="101">
        <v>90</v>
      </c>
      <c r="G5677" s="101">
        <f t="shared" si="282"/>
        <v>90</v>
      </c>
      <c r="H5677" s="101">
        <v>45</v>
      </c>
      <c r="I5677" s="100">
        <f t="shared" si="283"/>
        <v>45</v>
      </c>
      <c r="J5677" s="7" t="str">
        <f t="shared" si="284"/>
        <v>DEBE</v>
      </c>
      <c r="K5677" s="34" t="s">
        <v>2754</v>
      </c>
      <c r="M5677" s="8" t="s">
        <v>5251</v>
      </c>
    </row>
    <row r="5678" spans="1:13" x14ac:dyDescent="0.25">
      <c r="A5678" s="97">
        <v>46041</v>
      </c>
      <c r="B5678" s="7"/>
      <c r="C5678" s="98" t="s">
        <v>5358</v>
      </c>
      <c r="D5678" s="98" t="s">
        <v>597</v>
      </c>
      <c r="E5678" s="99"/>
      <c r="F5678" s="101">
        <v>90</v>
      </c>
      <c r="G5678" s="101">
        <f t="shared" si="282"/>
        <v>90</v>
      </c>
      <c r="H5678" s="102">
        <f>50+40</f>
        <v>90</v>
      </c>
      <c r="I5678" s="100">
        <f t="shared" si="283"/>
        <v>0</v>
      </c>
      <c r="J5678" s="7" t="str">
        <f t="shared" si="284"/>
        <v>PAGADO</v>
      </c>
      <c r="K5678" s="34" t="s">
        <v>2754</v>
      </c>
      <c r="M5678" s="8" t="s">
        <v>5359</v>
      </c>
    </row>
    <row r="5679" spans="1:13" x14ac:dyDescent="0.25">
      <c r="A5679" s="97">
        <v>46041</v>
      </c>
      <c r="B5679" s="7"/>
      <c r="C5679" s="98" t="s">
        <v>5360</v>
      </c>
      <c r="D5679" s="9" t="s">
        <v>2935</v>
      </c>
      <c r="E5679" s="99"/>
      <c r="F5679" s="101">
        <v>70</v>
      </c>
      <c r="G5679" s="101">
        <f t="shared" si="282"/>
        <v>70</v>
      </c>
      <c r="H5679" s="101">
        <v>35</v>
      </c>
      <c r="I5679" s="100">
        <f t="shared" si="283"/>
        <v>35</v>
      </c>
      <c r="J5679" s="7" t="str">
        <f t="shared" si="284"/>
        <v>DEBE</v>
      </c>
      <c r="K5679" s="34" t="s">
        <v>2754</v>
      </c>
      <c r="M5679" s="8" t="s">
        <v>5251</v>
      </c>
    </row>
    <row r="5680" spans="1:13" x14ac:dyDescent="0.25">
      <c r="A5680" s="97">
        <v>46041</v>
      </c>
      <c r="B5680" s="7"/>
      <c r="C5680" s="98" t="s">
        <v>5361</v>
      </c>
      <c r="D5680" s="98" t="s">
        <v>4963</v>
      </c>
      <c r="E5680" s="99"/>
      <c r="F5680" s="101">
        <v>70</v>
      </c>
      <c r="G5680" s="101">
        <f t="shared" si="282"/>
        <v>70</v>
      </c>
      <c r="H5680" s="101">
        <v>35</v>
      </c>
      <c r="I5680" s="100">
        <f t="shared" si="283"/>
        <v>35</v>
      </c>
      <c r="J5680" s="7" t="str">
        <f t="shared" si="284"/>
        <v>DEBE</v>
      </c>
      <c r="K5680" s="34" t="s">
        <v>2754</v>
      </c>
      <c r="M5680" s="8" t="s">
        <v>5354</v>
      </c>
    </row>
    <row r="5681" spans="1:13" x14ac:dyDescent="0.25">
      <c r="A5681" s="97">
        <v>46041</v>
      </c>
      <c r="B5681" s="7"/>
      <c r="C5681" s="98" t="s">
        <v>5362</v>
      </c>
      <c r="D5681" s="98" t="s">
        <v>4963</v>
      </c>
      <c r="E5681" s="99"/>
      <c r="F5681" s="101">
        <v>90</v>
      </c>
      <c r="G5681" s="101">
        <f t="shared" si="282"/>
        <v>90</v>
      </c>
      <c r="H5681" s="101">
        <v>45</v>
      </c>
      <c r="I5681" s="100">
        <f t="shared" si="283"/>
        <v>45</v>
      </c>
      <c r="J5681" s="7" t="str">
        <f t="shared" si="284"/>
        <v>DEBE</v>
      </c>
      <c r="K5681" s="34" t="s">
        <v>2754</v>
      </c>
      <c r="M5681" s="8" t="s">
        <v>5303</v>
      </c>
    </row>
    <row r="5682" spans="1:13" x14ac:dyDescent="0.25">
      <c r="A5682" s="97">
        <v>46041</v>
      </c>
      <c r="B5682" s="7"/>
      <c r="C5682" s="98" t="s">
        <v>5363</v>
      </c>
      <c r="D5682" s="98" t="s">
        <v>4963</v>
      </c>
      <c r="E5682" s="99"/>
      <c r="F5682" s="101">
        <v>80</v>
      </c>
      <c r="G5682" s="101">
        <f t="shared" si="282"/>
        <v>80</v>
      </c>
      <c r="H5682" s="101">
        <v>40</v>
      </c>
      <c r="I5682" s="100">
        <f t="shared" si="283"/>
        <v>40</v>
      </c>
      <c r="J5682" s="7" t="str">
        <f t="shared" si="284"/>
        <v>DEBE</v>
      </c>
      <c r="K5682" s="34" t="s">
        <v>2754</v>
      </c>
      <c r="M5682" s="8" t="s">
        <v>5364</v>
      </c>
    </row>
    <row r="5683" spans="1:13" x14ac:dyDescent="0.25">
      <c r="A5683" s="115">
        <v>46041</v>
      </c>
      <c r="B5683" s="17"/>
      <c r="C5683" s="116" t="s">
        <v>5365</v>
      </c>
      <c r="D5683" s="116" t="s">
        <v>4963</v>
      </c>
      <c r="E5683" s="117"/>
      <c r="F5683" s="108">
        <v>70</v>
      </c>
      <c r="G5683" s="108">
        <f t="shared" si="282"/>
        <v>70</v>
      </c>
      <c r="H5683" s="108">
        <f>35+35</f>
        <v>70</v>
      </c>
      <c r="I5683" s="108">
        <f t="shared" si="283"/>
        <v>0</v>
      </c>
      <c r="J5683" s="17" t="str">
        <f t="shared" si="284"/>
        <v>PAGADO</v>
      </c>
      <c r="K5683" s="118" t="s">
        <v>2247</v>
      </c>
    </row>
    <row r="5684" spans="1:13" x14ac:dyDescent="0.25">
      <c r="A5684" s="97">
        <v>46041</v>
      </c>
      <c r="B5684" s="7"/>
      <c r="C5684" s="98" t="s">
        <v>5366</v>
      </c>
      <c r="D5684" s="98" t="s">
        <v>4407</v>
      </c>
      <c r="E5684" s="99"/>
      <c r="F5684" s="101">
        <v>80</v>
      </c>
      <c r="G5684" s="101">
        <f t="shared" si="282"/>
        <v>80</v>
      </c>
      <c r="H5684" s="101">
        <v>40</v>
      </c>
      <c r="I5684" s="100">
        <f t="shared" si="283"/>
        <v>40</v>
      </c>
      <c r="J5684" s="7" t="str">
        <f t="shared" si="284"/>
        <v>DEBE</v>
      </c>
      <c r="K5684" s="34" t="s">
        <v>2754</v>
      </c>
      <c r="M5684" s="8" t="s">
        <v>5287</v>
      </c>
    </row>
    <row r="5685" spans="1:13" x14ac:dyDescent="0.25">
      <c r="A5685" s="97">
        <v>46041</v>
      </c>
      <c r="B5685" s="7"/>
      <c r="C5685" s="98" t="s">
        <v>5367</v>
      </c>
      <c r="D5685" s="98" t="s">
        <v>3833</v>
      </c>
      <c r="E5685" s="99"/>
      <c r="F5685" s="101">
        <v>80</v>
      </c>
      <c r="G5685" s="101">
        <f t="shared" si="282"/>
        <v>80</v>
      </c>
      <c r="H5685" s="101">
        <v>40</v>
      </c>
      <c r="I5685" s="100">
        <f t="shared" si="283"/>
        <v>40</v>
      </c>
      <c r="J5685" s="7" t="str">
        <f t="shared" si="284"/>
        <v>DEBE</v>
      </c>
      <c r="K5685" s="34" t="s">
        <v>2754</v>
      </c>
      <c r="M5685" s="8" t="s">
        <v>5354</v>
      </c>
    </row>
    <row r="5686" spans="1:13" x14ac:dyDescent="0.25">
      <c r="A5686" s="97">
        <v>46041</v>
      </c>
      <c r="B5686" s="7"/>
      <c r="C5686" s="98" t="s">
        <v>5368</v>
      </c>
      <c r="D5686" s="98" t="s">
        <v>3833</v>
      </c>
      <c r="E5686" s="99"/>
      <c r="F5686" s="101">
        <v>80</v>
      </c>
      <c r="G5686" s="101">
        <f t="shared" si="282"/>
        <v>80</v>
      </c>
      <c r="H5686" s="101">
        <v>40</v>
      </c>
      <c r="I5686" s="100">
        <f t="shared" si="283"/>
        <v>40</v>
      </c>
      <c r="J5686" s="7" t="str">
        <f t="shared" si="284"/>
        <v>DEBE</v>
      </c>
      <c r="K5686" s="34" t="s">
        <v>2754</v>
      </c>
      <c r="M5686" s="8" t="s">
        <v>5356</v>
      </c>
    </row>
    <row r="5687" spans="1:13" x14ac:dyDescent="0.25">
      <c r="A5687" s="97">
        <v>46041</v>
      </c>
      <c r="B5687" s="7"/>
      <c r="C5687" s="98" t="s">
        <v>5369</v>
      </c>
      <c r="D5687" s="98" t="s">
        <v>5145</v>
      </c>
      <c r="E5687" s="99"/>
      <c r="F5687" s="101">
        <v>40</v>
      </c>
      <c r="G5687" s="101">
        <f t="shared" si="282"/>
        <v>40</v>
      </c>
      <c r="H5687" s="101">
        <v>20</v>
      </c>
      <c r="I5687" s="100">
        <f t="shared" si="283"/>
        <v>20</v>
      </c>
      <c r="J5687" s="7" t="str">
        <f t="shared" si="284"/>
        <v>DEBE</v>
      </c>
      <c r="K5687" s="34" t="s">
        <v>2754</v>
      </c>
      <c r="M5687" s="8" t="s">
        <v>5370</v>
      </c>
    </row>
    <row r="5688" spans="1:13" x14ac:dyDescent="0.25">
      <c r="A5688" s="97">
        <v>46041</v>
      </c>
      <c r="B5688" s="7"/>
      <c r="C5688" s="98" t="s">
        <v>5371</v>
      </c>
      <c r="D5688" s="98" t="s">
        <v>5145</v>
      </c>
      <c r="E5688" s="99"/>
      <c r="F5688" s="101">
        <v>40</v>
      </c>
      <c r="G5688" s="101">
        <f t="shared" si="282"/>
        <v>40</v>
      </c>
      <c r="H5688" s="101">
        <v>20</v>
      </c>
      <c r="I5688" s="100">
        <f t="shared" si="283"/>
        <v>20</v>
      </c>
      <c r="J5688" s="7" t="str">
        <f t="shared" si="284"/>
        <v>DEBE</v>
      </c>
      <c r="K5688" s="34" t="s">
        <v>2754</v>
      </c>
      <c r="M5688" s="8" t="s">
        <v>5370</v>
      </c>
    </row>
    <row r="5689" spans="1:13" x14ac:dyDescent="0.25">
      <c r="A5689" s="97">
        <v>46041</v>
      </c>
      <c r="B5689" s="7"/>
      <c r="C5689" s="98" t="s">
        <v>5372</v>
      </c>
      <c r="D5689" s="98" t="s">
        <v>5145</v>
      </c>
      <c r="E5689" s="99"/>
      <c r="F5689" s="101">
        <v>40</v>
      </c>
      <c r="G5689" s="101">
        <f t="shared" si="282"/>
        <v>40</v>
      </c>
      <c r="H5689" s="101">
        <v>20</v>
      </c>
      <c r="I5689" s="100">
        <f t="shared" si="283"/>
        <v>20</v>
      </c>
      <c r="J5689" s="7" t="str">
        <f t="shared" si="284"/>
        <v>DEBE</v>
      </c>
      <c r="K5689" s="34" t="s">
        <v>2754</v>
      </c>
      <c r="M5689" s="8" t="s">
        <v>5370</v>
      </c>
    </row>
    <row r="5690" spans="1:13" x14ac:dyDescent="0.25">
      <c r="A5690" s="97">
        <v>46041</v>
      </c>
      <c r="B5690" s="7"/>
      <c r="C5690" s="98" t="s">
        <v>5373</v>
      </c>
      <c r="D5690" s="98" t="s">
        <v>3833</v>
      </c>
      <c r="E5690" s="99"/>
      <c r="F5690" s="101">
        <v>100</v>
      </c>
      <c r="G5690" s="101">
        <f t="shared" si="282"/>
        <v>100</v>
      </c>
      <c r="H5690" s="101">
        <f>50+50</f>
        <v>100</v>
      </c>
      <c r="I5690" s="108">
        <f t="shared" si="283"/>
        <v>0</v>
      </c>
      <c r="J5690" s="7" t="str">
        <f t="shared" si="284"/>
        <v>PAGADO</v>
      </c>
      <c r="K5690" s="33" t="s">
        <v>3819</v>
      </c>
    </row>
    <row r="5691" spans="1:13" x14ac:dyDescent="0.25">
      <c r="A5691" s="97">
        <v>46042</v>
      </c>
      <c r="B5691" s="7"/>
      <c r="C5691" s="98" t="s">
        <v>5374</v>
      </c>
      <c r="D5691" s="98" t="s">
        <v>1510</v>
      </c>
      <c r="E5691" s="99"/>
      <c r="F5691" s="101">
        <v>70</v>
      </c>
      <c r="G5691" s="101">
        <f t="shared" si="282"/>
        <v>70</v>
      </c>
      <c r="H5691" s="102">
        <v>35</v>
      </c>
      <c r="I5691" s="100">
        <f t="shared" si="283"/>
        <v>35</v>
      </c>
      <c r="J5691" s="7" t="str">
        <f t="shared" si="284"/>
        <v>DEBE</v>
      </c>
      <c r="K5691" s="34" t="s">
        <v>2754</v>
      </c>
      <c r="M5691" s="8" t="s">
        <v>5375</v>
      </c>
    </row>
    <row r="5692" spans="1:13" x14ac:dyDescent="0.25">
      <c r="A5692" s="97">
        <v>46042</v>
      </c>
      <c r="B5692" s="7"/>
      <c r="C5692" s="98" t="s">
        <v>5374</v>
      </c>
      <c r="D5692" s="98" t="s">
        <v>1510</v>
      </c>
      <c r="E5692" s="99"/>
      <c r="F5692" s="101">
        <v>70</v>
      </c>
      <c r="G5692" s="101">
        <f t="shared" si="282"/>
        <v>70</v>
      </c>
      <c r="H5692" s="102">
        <v>35</v>
      </c>
      <c r="I5692" s="100">
        <f t="shared" si="283"/>
        <v>35</v>
      </c>
      <c r="J5692" s="7" t="str">
        <f t="shared" si="284"/>
        <v>DEBE</v>
      </c>
      <c r="K5692" s="34" t="s">
        <v>2754</v>
      </c>
      <c r="M5692" s="8" t="s">
        <v>5375</v>
      </c>
    </row>
    <row r="5693" spans="1:13" x14ac:dyDescent="0.25">
      <c r="A5693" s="97">
        <v>46042</v>
      </c>
      <c r="B5693" s="7"/>
      <c r="C5693" s="98" t="s">
        <v>5374</v>
      </c>
      <c r="D5693" s="98" t="s">
        <v>4030</v>
      </c>
      <c r="E5693" s="99"/>
      <c r="F5693" s="101">
        <v>70</v>
      </c>
      <c r="G5693" s="101">
        <f t="shared" si="282"/>
        <v>70</v>
      </c>
      <c r="H5693" s="101">
        <v>35</v>
      </c>
      <c r="I5693" s="100">
        <f t="shared" si="283"/>
        <v>35</v>
      </c>
      <c r="J5693" s="7" t="str">
        <f t="shared" si="284"/>
        <v>DEBE</v>
      </c>
      <c r="K5693" s="34" t="s">
        <v>2754</v>
      </c>
      <c r="M5693" s="8" t="s">
        <v>5375</v>
      </c>
    </row>
    <row r="5694" spans="1:13" x14ac:dyDescent="0.25">
      <c r="A5694" s="97">
        <v>46042</v>
      </c>
      <c r="B5694" s="7"/>
      <c r="C5694" s="98" t="s">
        <v>5376</v>
      </c>
      <c r="D5694" s="98" t="s">
        <v>5164</v>
      </c>
      <c r="E5694" s="99"/>
      <c r="F5694" s="101">
        <v>12</v>
      </c>
      <c r="G5694" s="101">
        <f t="shared" ref="G5694:G5757" si="285">F5694-E5694</f>
        <v>12</v>
      </c>
      <c r="H5694" s="101">
        <v>6</v>
      </c>
      <c r="I5694" s="100">
        <f t="shared" si="283"/>
        <v>6</v>
      </c>
      <c r="J5694" s="7" t="str">
        <f t="shared" si="284"/>
        <v>DEBE</v>
      </c>
      <c r="K5694" s="34" t="s">
        <v>2754</v>
      </c>
      <c r="M5694" s="8" t="s">
        <v>5377</v>
      </c>
    </row>
    <row r="5695" spans="1:13" x14ac:dyDescent="0.25">
      <c r="A5695" s="97">
        <v>46042</v>
      </c>
      <c r="B5695" s="7"/>
      <c r="C5695" s="98" t="s">
        <v>5378</v>
      </c>
      <c r="D5695" s="98" t="s">
        <v>2906</v>
      </c>
      <c r="E5695" s="99"/>
      <c r="F5695" s="101">
        <v>90</v>
      </c>
      <c r="G5695" s="101">
        <f t="shared" si="285"/>
        <v>90</v>
      </c>
      <c r="H5695" s="101">
        <v>45</v>
      </c>
      <c r="I5695" s="100">
        <f t="shared" si="283"/>
        <v>45</v>
      </c>
      <c r="J5695" s="7" t="str">
        <f t="shared" si="284"/>
        <v>DEBE</v>
      </c>
      <c r="K5695" s="34" t="s">
        <v>2754</v>
      </c>
      <c r="M5695" s="8" t="s">
        <v>5379</v>
      </c>
    </row>
    <row r="5696" spans="1:13" x14ac:dyDescent="0.25">
      <c r="A5696" s="97">
        <v>46042</v>
      </c>
      <c r="B5696" s="7"/>
      <c r="C5696" s="98" t="s">
        <v>5380</v>
      </c>
      <c r="D5696" s="98" t="s">
        <v>2906</v>
      </c>
      <c r="E5696" s="99"/>
      <c r="F5696" s="101">
        <v>90</v>
      </c>
      <c r="G5696" s="101">
        <f t="shared" si="285"/>
        <v>90</v>
      </c>
      <c r="H5696" s="101">
        <v>45</v>
      </c>
      <c r="I5696" s="100">
        <f t="shared" si="283"/>
        <v>45</v>
      </c>
      <c r="J5696" s="7" t="str">
        <f t="shared" si="284"/>
        <v>DEBE</v>
      </c>
      <c r="K5696" s="34" t="s">
        <v>2754</v>
      </c>
      <c r="M5696" s="8" t="s">
        <v>5379</v>
      </c>
    </row>
    <row r="5697" spans="1:13" x14ac:dyDescent="0.25">
      <c r="A5697" s="97">
        <v>46042</v>
      </c>
      <c r="B5697" s="7"/>
      <c r="C5697" s="98" t="s">
        <v>5380</v>
      </c>
      <c r="D5697" s="98" t="s">
        <v>1523</v>
      </c>
      <c r="E5697" s="99"/>
      <c r="F5697" s="101">
        <v>90</v>
      </c>
      <c r="G5697" s="101">
        <f t="shared" si="285"/>
        <v>90</v>
      </c>
      <c r="H5697" s="113">
        <v>90</v>
      </c>
      <c r="I5697" s="100">
        <f t="shared" si="283"/>
        <v>0</v>
      </c>
      <c r="J5697" s="7" t="str">
        <f t="shared" si="284"/>
        <v>PAGADO</v>
      </c>
      <c r="K5697" s="34" t="s">
        <v>2754</v>
      </c>
      <c r="M5697" s="8" t="s">
        <v>5379</v>
      </c>
    </row>
    <row r="5698" spans="1:13" x14ac:dyDescent="0.25">
      <c r="A5698" s="97">
        <v>46042</v>
      </c>
      <c r="B5698" s="7"/>
      <c r="C5698" s="98" t="s">
        <v>5378</v>
      </c>
      <c r="D5698" s="98" t="s">
        <v>1510</v>
      </c>
      <c r="E5698" s="99"/>
      <c r="F5698" s="101">
        <v>90</v>
      </c>
      <c r="G5698" s="101">
        <f t="shared" si="285"/>
        <v>90</v>
      </c>
      <c r="H5698" s="101">
        <v>45</v>
      </c>
      <c r="I5698" s="114">
        <f t="shared" si="283"/>
        <v>45</v>
      </c>
      <c r="J5698" s="7" t="str">
        <f t="shared" si="284"/>
        <v>DEBE</v>
      </c>
      <c r="K5698" s="34" t="s">
        <v>2754</v>
      </c>
      <c r="M5698" s="8" t="s">
        <v>5379</v>
      </c>
    </row>
    <row r="5699" spans="1:13" x14ac:dyDescent="0.25">
      <c r="A5699" s="97">
        <v>46042</v>
      </c>
      <c r="B5699" s="7"/>
      <c r="C5699" s="98" t="s">
        <v>5380</v>
      </c>
      <c r="D5699" s="98" t="s">
        <v>1510</v>
      </c>
      <c r="E5699" s="99"/>
      <c r="F5699" s="101">
        <v>90</v>
      </c>
      <c r="G5699" s="101">
        <f t="shared" si="285"/>
        <v>90</v>
      </c>
      <c r="H5699" s="101">
        <v>45</v>
      </c>
      <c r="I5699" s="114">
        <f t="shared" si="283"/>
        <v>45</v>
      </c>
      <c r="J5699" s="7" t="str">
        <f t="shared" si="284"/>
        <v>DEBE</v>
      </c>
      <c r="K5699" s="34" t="s">
        <v>2754</v>
      </c>
      <c r="M5699" s="8" t="s">
        <v>5379</v>
      </c>
    </row>
    <row r="5700" spans="1:13" x14ac:dyDescent="0.25">
      <c r="A5700" s="97">
        <v>46042</v>
      </c>
      <c r="B5700" s="7"/>
      <c r="C5700" s="98" t="s">
        <v>5378</v>
      </c>
      <c r="D5700" s="98" t="s">
        <v>4551</v>
      </c>
      <c r="E5700" s="99"/>
      <c r="F5700" s="101">
        <v>90</v>
      </c>
      <c r="G5700" s="101">
        <f t="shared" si="285"/>
        <v>90</v>
      </c>
      <c r="H5700" s="101">
        <v>30</v>
      </c>
      <c r="I5700" s="100">
        <f t="shared" si="283"/>
        <v>60</v>
      </c>
      <c r="J5700" s="7" t="str">
        <f t="shared" si="284"/>
        <v>DEBE</v>
      </c>
      <c r="K5700" s="34" t="s">
        <v>2754</v>
      </c>
      <c r="M5700" s="8" t="s">
        <v>5379</v>
      </c>
    </row>
    <row r="5701" spans="1:13" x14ac:dyDescent="0.25">
      <c r="A5701" s="97">
        <v>46042</v>
      </c>
      <c r="B5701" s="7"/>
      <c r="C5701" s="98" t="s">
        <v>5380</v>
      </c>
      <c r="D5701" t="s">
        <v>1390</v>
      </c>
      <c r="E5701" s="99"/>
      <c r="F5701" s="101">
        <v>90</v>
      </c>
      <c r="G5701" s="101">
        <f t="shared" si="285"/>
        <v>90</v>
      </c>
      <c r="H5701" s="101">
        <v>45</v>
      </c>
      <c r="I5701" s="100">
        <f t="shared" si="283"/>
        <v>45</v>
      </c>
      <c r="J5701" s="7" t="str">
        <f t="shared" si="284"/>
        <v>DEBE</v>
      </c>
      <c r="K5701" s="34" t="s">
        <v>2754</v>
      </c>
      <c r="M5701" s="8" t="s">
        <v>5379</v>
      </c>
    </row>
    <row r="5702" spans="1:13" x14ac:dyDescent="0.25">
      <c r="A5702" s="97">
        <v>46042</v>
      </c>
      <c r="B5702" s="7"/>
      <c r="C5702" s="98" t="s">
        <v>5374</v>
      </c>
      <c r="D5702" s="98" t="s">
        <v>2363</v>
      </c>
      <c r="E5702" s="99"/>
      <c r="F5702" s="101">
        <v>70</v>
      </c>
      <c r="G5702" s="101">
        <f t="shared" si="285"/>
        <v>70</v>
      </c>
      <c r="H5702" s="113">
        <v>35</v>
      </c>
      <c r="I5702" s="100">
        <f t="shared" si="283"/>
        <v>35</v>
      </c>
      <c r="J5702" s="7" t="str">
        <f t="shared" si="284"/>
        <v>DEBE</v>
      </c>
      <c r="K5702" s="34" t="s">
        <v>2754</v>
      </c>
      <c r="M5702" s="8" t="s">
        <v>5375</v>
      </c>
    </row>
    <row r="5703" spans="1:13" x14ac:dyDescent="0.25">
      <c r="A5703" s="97">
        <v>46041</v>
      </c>
      <c r="C5703" s="98" t="s">
        <v>5381</v>
      </c>
      <c r="D5703" s="98" t="s">
        <v>5382</v>
      </c>
      <c r="F5703" s="6">
        <v>65</v>
      </c>
      <c r="G5703" s="6">
        <f t="shared" si="285"/>
        <v>65</v>
      </c>
      <c r="H5703" s="6">
        <v>65</v>
      </c>
      <c r="I5703" s="26">
        <f t="shared" si="283"/>
        <v>0</v>
      </c>
      <c r="J5703" s="7" t="str">
        <f t="shared" si="284"/>
        <v>PAGADO</v>
      </c>
    </row>
    <row r="5704" spans="1:13" x14ac:dyDescent="0.25">
      <c r="A5704" s="97">
        <v>46041</v>
      </c>
      <c r="C5704" s="98" t="s">
        <v>3945</v>
      </c>
      <c r="D5704" s="98" t="s">
        <v>5382</v>
      </c>
      <c r="F5704" s="6">
        <v>80</v>
      </c>
      <c r="G5704" s="6">
        <f t="shared" si="285"/>
        <v>80</v>
      </c>
      <c r="H5704" s="6">
        <v>80</v>
      </c>
      <c r="I5704" s="26">
        <f t="shared" si="283"/>
        <v>0</v>
      </c>
      <c r="J5704" s="7" t="str">
        <f t="shared" si="284"/>
        <v>PAGADO</v>
      </c>
    </row>
    <row r="5705" spans="1:13" x14ac:dyDescent="0.25">
      <c r="A5705" s="97">
        <v>46042</v>
      </c>
      <c r="C5705" s="9" t="s">
        <v>5383</v>
      </c>
      <c r="D5705" s="9" t="s">
        <v>18</v>
      </c>
      <c r="F5705" s="6">
        <v>80</v>
      </c>
      <c r="G5705" s="6">
        <f t="shared" si="285"/>
        <v>80</v>
      </c>
      <c r="H5705" s="6">
        <v>50</v>
      </c>
      <c r="I5705" s="26">
        <f t="shared" si="283"/>
        <v>30</v>
      </c>
      <c r="J5705" s="7" t="str">
        <f t="shared" si="284"/>
        <v>DEBE</v>
      </c>
      <c r="K5705" s="33" t="s">
        <v>3819</v>
      </c>
    </row>
    <row r="5706" spans="1:13" x14ac:dyDescent="0.25">
      <c r="A5706" s="97">
        <v>46042</v>
      </c>
      <c r="C5706" s="9" t="s">
        <v>5384</v>
      </c>
      <c r="D5706" s="98" t="s">
        <v>1309</v>
      </c>
      <c r="F5706" s="6">
        <v>100</v>
      </c>
      <c r="G5706" s="6">
        <f t="shared" si="285"/>
        <v>100</v>
      </c>
      <c r="H5706" s="6">
        <v>100</v>
      </c>
      <c r="I5706" s="26">
        <f t="shared" si="283"/>
        <v>0</v>
      </c>
      <c r="J5706" s="7" t="str">
        <f t="shared" si="284"/>
        <v>PAGADO</v>
      </c>
      <c r="K5706" s="34" t="s">
        <v>2754</v>
      </c>
      <c r="M5706" s="8" t="s">
        <v>5279</v>
      </c>
    </row>
    <row r="5707" spans="1:13" x14ac:dyDescent="0.25">
      <c r="A5707" s="97">
        <v>46042</v>
      </c>
      <c r="C5707" t="s">
        <v>3159</v>
      </c>
      <c r="D5707" s="9" t="s">
        <v>5183</v>
      </c>
      <c r="F5707" s="6">
        <v>80</v>
      </c>
      <c r="G5707" s="6">
        <f t="shared" si="285"/>
        <v>80</v>
      </c>
      <c r="H5707" s="6">
        <f>40+40</f>
        <v>80</v>
      </c>
      <c r="I5707" s="26">
        <f t="shared" ref="I5707:I5770" si="286">F5707-H5707</f>
        <v>0</v>
      </c>
      <c r="J5707" s="7" t="str">
        <f t="shared" si="284"/>
        <v>PAGADO</v>
      </c>
      <c r="K5707" s="9" t="s">
        <v>2712</v>
      </c>
    </row>
    <row r="5708" spans="1:13" x14ac:dyDescent="0.25">
      <c r="A5708" s="97">
        <v>46042</v>
      </c>
      <c r="C5708" s="109" t="s">
        <v>5378</v>
      </c>
      <c r="D5708" s="109" t="s">
        <v>4587</v>
      </c>
      <c r="E5708" s="110"/>
      <c r="F5708" s="111">
        <v>90</v>
      </c>
      <c r="G5708" s="111">
        <f t="shared" si="285"/>
        <v>90</v>
      </c>
      <c r="H5708" s="111">
        <v>45</v>
      </c>
      <c r="I5708" s="111">
        <f t="shared" si="286"/>
        <v>45</v>
      </c>
      <c r="J5708" s="88" t="str">
        <f t="shared" si="284"/>
        <v>DEBE</v>
      </c>
      <c r="K5708" s="112" t="s">
        <v>2754</v>
      </c>
      <c r="L5708" s="41"/>
      <c r="M5708" s="8" t="s">
        <v>5379</v>
      </c>
    </row>
    <row r="5709" spans="1:13" x14ac:dyDescent="0.25">
      <c r="A5709" s="97">
        <v>46042</v>
      </c>
      <c r="C5709" s="109" t="s">
        <v>5380</v>
      </c>
      <c r="D5709" s="109" t="s">
        <v>4587</v>
      </c>
      <c r="E5709" s="87"/>
      <c r="F5709" s="58">
        <v>90</v>
      </c>
      <c r="G5709" s="58">
        <f t="shared" si="285"/>
        <v>90</v>
      </c>
      <c r="H5709" s="58">
        <v>45</v>
      </c>
      <c r="I5709" s="58">
        <f t="shared" si="286"/>
        <v>45</v>
      </c>
      <c r="J5709" s="88" t="str">
        <f t="shared" si="284"/>
        <v>DEBE</v>
      </c>
      <c r="K5709" s="112" t="s">
        <v>2754</v>
      </c>
      <c r="L5709" s="41"/>
      <c r="M5709" s="8" t="s">
        <v>5379</v>
      </c>
    </row>
    <row r="5710" spans="1:13" x14ac:dyDescent="0.25">
      <c r="A5710" s="97">
        <v>46042</v>
      </c>
      <c r="C5710" s="9" t="s">
        <v>5385</v>
      </c>
      <c r="D5710" s="9" t="s">
        <v>5151</v>
      </c>
      <c r="F5710" s="6">
        <v>150</v>
      </c>
      <c r="G5710" s="6">
        <f t="shared" si="285"/>
        <v>150</v>
      </c>
      <c r="H5710" s="6">
        <f>75+75</f>
        <v>150</v>
      </c>
      <c r="I5710" s="26">
        <f t="shared" si="286"/>
        <v>0</v>
      </c>
      <c r="J5710" s="7" t="str">
        <f t="shared" si="284"/>
        <v>PAGADO</v>
      </c>
      <c r="K5710" s="9" t="s">
        <v>2712</v>
      </c>
    </row>
    <row r="5711" spans="1:13" x14ac:dyDescent="0.25">
      <c r="A5711" s="97">
        <v>46042</v>
      </c>
      <c r="C5711" s="9" t="s">
        <v>5386</v>
      </c>
      <c r="D5711" s="9" t="s">
        <v>2278</v>
      </c>
      <c r="F5711" s="6">
        <v>70</v>
      </c>
      <c r="G5711" s="6">
        <f t="shared" si="285"/>
        <v>70</v>
      </c>
      <c r="H5711" s="6">
        <f>35+35</f>
        <v>70</v>
      </c>
      <c r="I5711" s="26">
        <f t="shared" si="286"/>
        <v>0</v>
      </c>
      <c r="J5711" s="7" t="str">
        <f t="shared" ref="J5711:J5774" si="287">IF(I5711&gt;0,"DEBE","PAGADO")</f>
        <v>PAGADO</v>
      </c>
      <c r="K5711" s="33" t="s">
        <v>2712</v>
      </c>
    </row>
    <row r="5712" spans="1:13" x14ac:dyDescent="0.25">
      <c r="A5712" s="97">
        <v>46042</v>
      </c>
      <c r="C5712" s="9" t="s">
        <v>5387</v>
      </c>
      <c r="D5712" s="9" t="s">
        <v>2548</v>
      </c>
      <c r="F5712" s="6">
        <v>70</v>
      </c>
      <c r="G5712" s="6">
        <f t="shared" si="285"/>
        <v>70</v>
      </c>
      <c r="H5712" s="107">
        <v>35</v>
      </c>
      <c r="I5712" s="26">
        <f t="shared" si="286"/>
        <v>35</v>
      </c>
      <c r="J5712" s="7" t="str">
        <f t="shared" si="287"/>
        <v>DEBE</v>
      </c>
      <c r="K5712" s="34" t="s">
        <v>2754</v>
      </c>
      <c r="M5712" s="82" t="s">
        <v>5354</v>
      </c>
    </row>
    <row r="5713" spans="1:13" x14ac:dyDescent="0.25">
      <c r="A5713" s="97">
        <v>46042</v>
      </c>
      <c r="C5713" s="98" t="s">
        <v>2822</v>
      </c>
      <c r="D5713" s="98" t="s">
        <v>5202</v>
      </c>
      <c r="E5713" s="99"/>
      <c r="F5713" s="101">
        <v>80</v>
      </c>
      <c r="G5713" s="101">
        <f t="shared" si="285"/>
        <v>80</v>
      </c>
      <c r="H5713" s="101">
        <f>40+40</f>
        <v>80</v>
      </c>
      <c r="I5713" s="100">
        <f t="shared" si="286"/>
        <v>0</v>
      </c>
      <c r="J5713" s="7" t="str">
        <f t="shared" si="287"/>
        <v>PAGADO</v>
      </c>
      <c r="K5713" s="34" t="s">
        <v>3819</v>
      </c>
    </row>
    <row r="5714" spans="1:13" x14ac:dyDescent="0.25">
      <c r="A5714" s="97">
        <v>46042</v>
      </c>
      <c r="C5714" s="9" t="s">
        <v>5388</v>
      </c>
      <c r="D5714" s="9" t="s">
        <v>2275</v>
      </c>
      <c r="F5714" s="6">
        <v>30</v>
      </c>
      <c r="G5714" s="6">
        <f t="shared" si="285"/>
        <v>30</v>
      </c>
      <c r="H5714" s="6">
        <v>15</v>
      </c>
      <c r="I5714" s="26">
        <f t="shared" si="286"/>
        <v>15</v>
      </c>
      <c r="J5714" s="7" t="str">
        <f t="shared" si="287"/>
        <v>DEBE</v>
      </c>
      <c r="K5714" s="34" t="s">
        <v>2754</v>
      </c>
      <c r="M5714" s="82" t="s">
        <v>5258</v>
      </c>
    </row>
    <row r="5715" spans="1:13" x14ac:dyDescent="0.25">
      <c r="A5715" s="97">
        <v>46042</v>
      </c>
      <c r="C5715" s="41" t="s">
        <v>5389</v>
      </c>
      <c r="D5715" s="41" t="s">
        <v>4587</v>
      </c>
      <c r="E5715" s="87"/>
      <c r="F5715" s="58">
        <v>80</v>
      </c>
      <c r="G5715" s="58">
        <f t="shared" si="285"/>
        <v>80</v>
      </c>
      <c r="H5715" s="58">
        <v>80</v>
      </c>
      <c r="I5715" s="58">
        <f t="shared" si="286"/>
        <v>0</v>
      </c>
      <c r="J5715" s="88" t="str">
        <f t="shared" si="287"/>
        <v>PAGADO</v>
      </c>
      <c r="K5715" s="56" t="s">
        <v>3506</v>
      </c>
      <c r="L5715" s="41"/>
    </row>
    <row r="5716" spans="1:13" x14ac:dyDescent="0.25">
      <c r="A5716" s="97">
        <v>46042</v>
      </c>
      <c r="C5716" s="9" t="s">
        <v>5390</v>
      </c>
      <c r="D5716" s="9" t="s">
        <v>2360</v>
      </c>
      <c r="F5716" s="6">
        <v>40</v>
      </c>
      <c r="G5716" s="6">
        <f t="shared" si="285"/>
        <v>40</v>
      </c>
      <c r="H5716" s="6">
        <v>40</v>
      </c>
      <c r="I5716" s="26">
        <f t="shared" si="286"/>
        <v>0</v>
      </c>
      <c r="J5716" s="7" t="str">
        <f t="shared" si="287"/>
        <v>PAGADO</v>
      </c>
      <c r="K5716" s="9" t="s">
        <v>2714</v>
      </c>
    </row>
    <row r="5717" spans="1:13" x14ac:dyDescent="0.25">
      <c r="A5717"/>
      <c r="C5717" t="s">
        <v>5391</v>
      </c>
      <c r="D5717" s="9" t="s">
        <v>3213</v>
      </c>
      <c r="F5717" s="6">
        <v>110</v>
      </c>
      <c r="G5717" s="6">
        <f t="shared" si="285"/>
        <v>110</v>
      </c>
      <c r="H5717" s="6">
        <v>110</v>
      </c>
      <c r="I5717" s="26">
        <f t="shared" si="286"/>
        <v>0</v>
      </c>
      <c r="J5717" s="7" t="str">
        <f t="shared" si="287"/>
        <v>PAGADO</v>
      </c>
      <c r="K5717" s="28" t="s">
        <v>2714</v>
      </c>
    </row>
    <row r="5718" spans="1:13" x14ac:dyDescent="0.25">
      <c r="A5718" s="97">
        <v>46042</v>
      </c>
      <c r="C5718" t="s">
        <v>5392</v>
      </c>
      <c r="D5718" t="s">
        <v>5223</v>
      </c>
      <c r="F5718" s="6">
        <v>65</v>
      </c>
      <c r="G5718" s="6">
        <f t="shared" si="285"/>
        <v>65</v>
      </c>
      <c r="H5718" s="6">
        <f>32.5+32.5</f>
        <v>65</v>
      </c>
      <c r="I5718" s="26">
        <f t="shared" si="286"/>
        <v>0</v>
      </c>
      <c r="J5718" s="7" t="str">
        <f t="shared" si="287"/>
        <v>PAGADO</v>
      </c>
      <c r="K5718" s="28" t="s">
        <v>2712</v>
      </c>
    </row>
    <row r="5719" spans="1:13" x14ac:dyDescent="0.25">
      <c r="A5719" s="97">
        <v>46042</v>
      </c>
      <c r="C5719" s="9" t="s">
        <v>5393</v>
      </c>
      <c r="D5719" s="98" t="s">
        <v>4864</v>
      </c>
      <c r="E5719" s="99"/>
      <c r="F5719" s="101">
        <v>400</v>
      </c>
      <c r="G5719" s="101">
        <f t="shared" si="285"/>
        <v>400</v>
      </c>
      <c r="H5719" s="101">
        <v>400</v>
      </c>
      <c r="I5719" s="100">
        <f t="shared" si="286"/>
        <v>0</v>
      </c>
      <c r="J5719" s="7" t="str">
        <f t="shared" si="287"/>
        <v>PAGADO</v>
      </c>
      <c r="K5719" s="9" t="s">
        <v>5394</v>
      </c>
    </row>
    <row r="5720" spans="1:13" x14ac:dyDescent="0.25">
      <c r="A5720" s="97">
        <v>46042</v>
      </c>
      <c r="C5720" s="9" t="s">
        <v>5067</v>
      </c>
      <c r="D5720" t="s">
        <v>5395</v>
      </c>
      <c r="F5720" s="6">
        <v>60</v>
      </c>
      <c r="G5720" s="6">
        <f t="shared" si="285"/>
        <v>60</v>
      </c>
      <c r="H5720" s="6">
        <f>10+50</f>
        <v>60</v>
      </c>
      <c r="I5720" s="26">
        <f t="shared" si="286"/>
        <v>0</v>
      </c>
      <c r="J5720" s="7" t="str">
        <f t="shared" si="287"/>
        <v>PAGADO</v>
      </c>
      <c r="K5720" s="33" t="s">
        <v>3819</v>
      </c>
    </row>
    <row r="5721" spans="1:13" x14ac:dyDescent="0.25">
      <c r="A5721" s="97">
        <v>46042</v>
      </c>
      <c r="C5721" s="9" t="s">
        <v>5396</v>
      </c>
      <c r="D5721" t="s">
        <v>4864</v>
      </c>
      <c r="F5721" s="6">
        <v>420</v>
      </c>
      <c r="G5721" s="6">
        <f t="shared" si="285"/>
        <v>420</v>
      </c>
      <c r="H5721" s="6">
        <f>50+290+80</f>
        <v>420</v>
      </c>
      <c r="I5721" s="26">
        <f t="shared" si="286"/>
        <v>0</v>
      </c>
      <c r="J5721" s="7" t="str">
        <f t="shared" si="287"/>
        <v>PAGADO</v>
      </c>
      <c r="K5721" t="s">
        <v>5397</v>
      </c>
    </row>
    <row r="5722" spans="1:13" x14ac:dyDescent="0.25">
      <c r="A5722" s="97">
        <v>46043</v>
      </c>
      <c r="C5722" s="9" t="s">
        <v>5398</v>
      </c>
      <c r="D5722" t="s">
        <v>5399</v>
      </c>
      <c r="F5722" s="6">
        <v>100</v>
      </c>
      <c r="G5722" s="6">
        <f t="shared" si="285"/>
        <v>100</v>
      </c>
      <c r="H5722" s="6">
        <v>100</v>
      </c>
      <c r="I5722" s="26">
        <f t="shared" si="286"/>
        <v>0</v>
      </c>
      <c r="J5722" s="7" t="str">
        <f t="shared" si="287"/>
        <v>PAGADO</v>
      </c>
    </row>
    <row r="5723" spans="1:13" x14ac:dyDescent="0.25">
      <c r="A5723"/>
      <c r="C5723" s="98" t="s">
        <v>2726</v>
      </c>
      <c r="D5723" s="98" t="s">
        <v>5164</v>
      </c>
      <c r="F5723" s="6">
        <v>70</v>
      </c>
      <c r="G5723" s="6">
        <f t="shared" si="285"/>
        <v>70</v>
      </c>
      <c r="H5723" s="6">
        <v>70</v>
      </c>
      <c r="I5723" s="26">
        <f t="shared" si="286"/>
        <v>0</v>
      </c>
      <c r="J5723" s="7" t="str">
        <f t="shared" si="287"/>
        <v>PAGADO</v>
      </c>
      <c r="K5723" s="34" t="s">
        <v>2714</v>
      </c>
    </row>
    <row r="5724" spans="1:13" x14ac:dyDescent="0.25">
      <c r="A5724"/>
      <c r="C5724" s="98" t="s">
        <v>5400</v>
      </c>
      <c r="D5724" s="98" t="s">
        <v>5164</v>
      </c>
      <c r="F5724" s="6">
        <v>25</v>
      </c>
      <c r="G5724" s="6">
        <f t="shared" si="285"/>
        <v>25</v>
      </c>
      <c r="H5724" s="6">
        <v>25</v>
      </c>
      <c r="I5724" s="26">
        <f t="shared" si="286"/>
        <v>0</v>
      </c>
      <c r="J5724" s="7" t="str">
        <f t="shared" si="287"/>
        <v>PAGADO</v>
      </c>
      <c r="K5724" s="34" t="s">
        <v>2714</v>
      </c>
    </row>
    <row r="5725" spans="1:13" x14ac:dyDescent="0.25">
      <c r="A5725" s="73">
        <v>46043</v>
      </c>
      <c r="C5725" t="s">
        <v>5401</v>
      </c>
      <c r="D5725" s="9" t="s">
        <v>4503</v>
      </c>
      <c r="F5725" s="6">
        <v>40</v>
      </c>
      <c r="G5725" s="6">
        <f t="shared" si="285"/>
        <v>40</v>
      </c>
      <c r="H5725" s="6">
        <v>40</v>
      </c>
      <c r="I5725" s="26">
        <f t="shared" si="286"/>
        <v>0</v>
      </c>
      <c r="J5725" s="7" t="str">
        <f t="shared" si="287"/>
        <v>PAGADO</v>
      </c>
    </row>
    <row r="5726" spans="1:13" x14ac:dyDescent="0.25">
      <c r="A5726" s="73">
        <v>46043</v>
      </c>
      <c r="C5726" t="s">
        <v>5402</v>
      </c>
      <c r="D5726" s="9" t="s">
        <v>4503</v>
      </c>
      <c r="F5726" s="6">
        <v>60</v>
      </c>
      <c r="G5726" s="6">
        <f t="shared" si="285"/>
        <v>60</v>
      </c>
      <c r="H5726" s="6">
        <v>60</v>
      </c>
      <c r="I5726" s="26">
        <f t="shared" si="286"/>
        <v>0</v>
      </c>
      <c r="J5726" s="7" t="str">
        <f t="shared" si="287"/>
        <v>PAGADO</v>
      </c>
    </row>
    <row r="5727" spans="1:13" x14ac:dyDescent="0.25">
      <c r="A5727" s="73">
        <v>46043</v>
      </c>
      <c r="C5727" t="s">
        <v>5403</v>
      </c>
      <c r="D5727" s="9" t="s">
        <v>5151</v>
      </c>
      <c r="F5727" s="6">
        <v>70</v>
      </c>
      <c r="G5727" s="6">
        <f t="shared" si="285"/>
        <v>70</v>
      </c>
      <c r="H5727" s="6">
        <v>70</v>
      </c>
      <c r="I5727" s="26">
        <f t="shared" si="286"/>
        <v>0</v>
      </c>
      <c r="J5727" s="7" t="str">
        <f t="shared" si="287"/>
        <v>PAGADO</v>
      </c>
    </row>
    <row r="5728" spans="1:13" x14ac:dyDescent="0.25">
      <c r="A5728" s="73">
        <v>46043</v>
      </c>
      <c r="C5728" t="s">
        <v>5404</v>
      </c>
      <c r="D5728" s="9" t="s">
        <v>5151</v>
      </c>
      <c r="F5728" s="6">
        <v>60</v>
      </c>
      <c r="G5728" s="6">
        <f t="shared" si="285"/>
        <v>60</v>
      </c>
      <c r="H5728" s="6">
        <v>60</v>
      </c>
      <c r="I5728" s="26">
        <f t="shared" si="286"/>
        <v>0</v>
      </c>
      <c r="J5728" s="7" t="str">
        <f t="shared" si="287"/>
        <v>PAGADO</v>
      </c>
    </row>
    <row r="5729" spans="1:13" x14ac:dyDescent="0.25">
      <c r="A5729" s="73">
        <v>46043</v>
      </c>
      <c r="C5729" t="s">
        <v>3357</v>
      </c>
      <c r="D5729" s="9" t="s">
        <v>5151</v>
      </c>
      <c r="F5729" s="6">
        <v>40</v>
      </c>
      <c r="G5729" s="6">
        <f t="shared" si="285"/>
        <v>40</v>
      </c>
      <c r="H5729" s="6">
        <v>40</v>
      </c>
      <c r="I5729" s="26">
        <f t="shared" si="286"/>
        <v>0</v>
      </c>
      <c r="J5729" s="7" t="str">
        <f t="shared" si="287"/>
        <v>PAGADO</v>
      </c>
    </row>
    <row r="5730" spans="1:13" x14ac:dyDescent="0.25">
      <c r="A5730" s="73">
        <v>46043</v>
      </c>
      <c r="C5730" t="s">
        <v>637</v>
      </c>
      <c r="D5730" s="9" t="s">
        <v>5151</v>
      </c>
      <c r="F5730" s="6">
        <v>60</v>
      </c>
      <c r="G5730" s="6">
        <f t="shared" si="285"/>
        <v>60</v>
      </c>
      <c r="H5730" s="6">
        <v>60</v>
      </c>
      <c r="I5730" s="26">
        <f t="shared" si="286"/>
        <v>0</v>
      </c>
      <c r="J5730" s="7" t="str">
        <f t="shared" si="287"/>
        <v>PAGADO</v>
      </c>
    </row>
    <row r="5731" spans="1:13" x14ac:dyDescent="0.25">
      <c r="A5731" s="73">
        <v>46043</v>
      </c>
      <c r="C5731" s="98" t="s">
        <v>5405</v>
      </c>
      <c r="D5731" s="9" t="s">
        <v>2548</v>
      </c>
      <c r="F5731" s="6">
        <v>80</v>
      </c>
      <c r="G5731" s="6">
        <f t="shared" si="285"/>
        <v>80</v>
      </c>
      <c r="H5731" s="6">
        <v>80</v>
      </c>
      <c r="I5731" s="26">
        <f t="shared" si="286"/>
        <v>0</v>
      </c>
      <c r="J5731" s="7" t="str">
        <f t="shared" si="287"/>
        <v>PAGADO</v>
      </c>
      <c r="K5731" s="34" t="s">
        <v>5162</v>
      </c>
    </row>
    <row r="5732" spans="1:13" x14ac:dyDescent="0.25">
      <c r="A5732" s="73">
        <v>46044</v>
      </c>
      <c r="C5732" s="98" t="s">
        <v>5406</v>
      </c>
      <c r="D5732" s="98" t="s">
        <v>4881</v>
      </c>
      <c r="E5732" s="99"/>
      <c r="F5732" s="101">
        <v>140</v>
      </c>
      <c r="G5732" s="101">
        <f t="shared" si="285"/>
        <v>140</v>
      </c>
      <c r="H5732" s="101">
        <v>140</v>
      </c>
      <c r="I5732" s="100">
        <f t="shared" si="286"/>
        <v>0</v>
      </c>
      <c r="J5732" s="7" t="str">
        <f t="shared" si="287"/>
        <v>PAGADO</v>
      </c>
      <c r="K5732" s="28" t="s">
        <v>5124</v>
      </c>
    </row>
    <row r="5733" spans="1:13" x14ac:dyDescent="0.25">
      <c r="A5733" s="73">
        <v>46044</v>
      </c>
      <c r="C5733" s="9" t="s">
        <v>4264</v>
      </c>
      <c r="D5733" s="9" t="s">
        <v>4265</v>
      </c>
      <c r="F5733" s="6">
        <v>70</v>
      </c>
      <c r="G5733" s="6">
        <f t="shared" si="285"/>
        <v>70</v>
      </c>
      <c r="H5733" s="6">
        <v>70</v>
      </c>
      <c r="I5733" s="26">
        <f t="shared" si="286"/>
        <v>0</v>
      </c>
      <c r="J5733" s="7" t="str">
        <f t="shared" si="287"/>
        <v>PAGADO</v>
      </c>
    </row>
    <row r="5734" spans="1:13" x14ac:dyDescent="0.25">
      <c r="A5734" s="73">
        <v>46044</v>
      </c>
      <c r="C5734" s="9" t="s">
        <v>5407</v>
      </c>
      <c r="D5734" s="9" t="s">
        <v>5408</v>
      </c>
      <c r="F5734" s="6">
        <v>300</v>
      </c>
      <c r="G5734" s="6">
        <f t="shared" si="285"/>
        <v>300</v>
      </c>
      <c r="H5734" s="6">
        <v>300</v>
      </c>
      <c r="I5734" s="26">
        <f t="shared" si="286"/>
        <v>0</v>
      </c>
      <c r="J5734" s="7" t="str">
        <f t="shared" si="287"/>
        <v>PAGADO</v>
      </c>
    </row>
    <row r="5735" spans="1:13" x14ac:dyDescent="0.25">
      <c r="A5735" s="73">
        <v>46044</v>
      </c>
      <c r="C5735" s="9" t="s">
        <v>5409</v>
      </c>
      <c r="D5735" s="9" t="s">
        <v>5410</v>
      </c>
      <c r="F5735" s="6">
        <v>150</v>
      </c>
      <c r="G5735" s="6">
        <f t="shared" si="285"/>
        <v>150</v>
      </c>
      <c r="H5735" s="6">
        <v>150</v>
      </c>
      <c r="I5735" s="26">
        <f t="shared" si="286"/>
        <v>0</v>
      </c>
      <c r="J5735" s="7" t="str">
        <f t="shared" si="287"/>
        <v>PAGADO</v>
      </c>
    </row>
    <row r="5736" spans="1:13" x14ac:dyDescent="0.25">
      <c r="A5736" s="73">
        <v>46044</v>
      </c>
      <c r="C5736" s="14" t="s">
        <v>4335</v>
      </c>
      <c r="D5736" t="s">
        <v>3352</v>
      </c>
      <c r="F5736" s="6">
        <v>60</v>
      </c>
      <c r="G5736" s="6">
        <f t="shared" si="285"/>
        <v>60</v>
      </c>
      <c r="H5736" s="6">
        <f>30+30</f>
        <v>60</v>
      </c>
      <c r="I5736" s="26">
        <f t="shared" si="286"/>
        <v>0</v>
      </c>
      <c r="J5736" s="7" t="str">
        <f t="shared" si="287"/>
        <v>PAGADO</v>
      </c>
      <c r="K5736" s="33" t="s">
        <v>3506</v>
      </c>
    </row>
    <row r="5737" spans="1:13" x14ac:dyDescent="0.25">
      <c r="A5737" s="73">
        <v>46044</v>
      </c>
      <c r="C5737" s="9" t="s">
        <v>5389</v>
      </c>
      <c r="D5737" t="s">
        <v>3352</v>
      </c>
      <c r="F5737" s="6">
        <v>80</v>
      </c>
      <c r="G5737" s="6">
        <f t="shared" si="285"/>
        <v>80</v>
      </c>
      <c r="H5737" s="6">
        <f>40+40</f>
        <v>80</v>
      </c>
      <c r="I5737" s="26">
        <f t="shared" si="286"/>
        <v>0</v>
      </c>
      <c r="J5737" s="7" t="str">
        <f t="shared" si="287"/>
        <v>PAGADO</v>
      </c>
      <c r="K5737" s="33" t="s">
        <v>3506</v>
      </c>
    </row>
    <row r="5738" spans="1:13" x14ac:dyDescent="0.25">
      <c r="A5738" s="73">
        <v>46044</v>
      </c>
      <c r="C5738" s="9" t="s">
        <v>5411</v>
      </c>
      <c r="D5738" t="s">
        <v>3352</v>
      </c>
      <c r="F5738" s="6">
        <f>75*4</f>
        <v>300</v>
      </c>
      <c r="G5738" s="6">
        <f t="shared" si="285"/>
        <v>300</v>
      </c>
      <c r="H5738" s="6">
        <f>225+37.5</f>
        <v>262.5</v>
      </c>
      <c r="I5738" s="26">
        <f t="shared" si="286"/>
        <v>37.5</v>
      </c>
      <c r="J5738" s="7" t="str">
        <f t="shared" si="287"/>
        <v>DEBE</v>
      </c>
      <c r="K5738" s="9" t="s">
        <v>2754</v>
      </c>
      <c r="M5738" s="8" t="s">
        <v>5412</v>
      </c>
    </row>
    <row r="5739" spans="1:13" x14ac:dyDescent="0.25">
      <c r="A5739" s="73">
        <v>46044</v>
      </c>
      <c r="C5739" s="9" t="s">
        <v>5413</v>
      </c>
      <c r="D5739" s="9" t="s">
        <v>4407</v>
      </c>
      <c r="F5739" s="6">
        <v>80</v>
      </c>
      <c r="G5739" s="6">
        <f t="shared" si="285"/>
        <v>80</v>
      </c>
      <c r="H5739" s="6">
        <v>40</v>
      </c>
      <c r="I5739" s="26">
        <f t="shared" si="286"/>
        <v>40</v>
      </c>
      <c r="J5739" s="7" t="str">
        <f t="shared" si="287"/>
        <v>DEBE</v>
      </c>
      <c r="K5739" s="9" t="s">
        <v>2754</v>
      </c>
      <c r="M5739" s="8" t="s">
        <v>5412</v>
      </c>
    </row>
    <row r="5740" spans="1:13" x14ac:dyDescent="0.25">
      <c r="A5740" s="73">
        <v>46044</v>
      </c>
      <c r="C5740" s="9" t="s">
        <v>5413</v>
      </c>
      <c r="D5740" s="9" t="s">
        <v>700</v>
      </c>
      <c r="F5740" s="6">
        <v>80</v>
      </c>
      <c r="G5740" s="6">
        <f t="shared" si="285"/>
        <v>80</v>
      </c>
      <c r="H5740" s="6">
        <v>40</v>
      </c>
      <c r="I5740" s="26">
        <f t="shared" si="286"/>
        <v>40</v>
      </c>
      <c r="J5740" s="7" t="str">
        <f t="shared" si="287"/>
        <v>DEBE</v>
      </c>
      <c r="K5740" s="9" t="s">
        <v>2754</v>
      </c>
      <c r="M5740" s="8" t="s">
        <v>5412</v>
      </c>
    </row>
    <row r="5741" spans="1:13" x14ac:dyDescent="0.25">
      <c r="A5741" s="73">
        <v>46044</v>
      </c>
      <c r="C5741" s="9" t="s">
        <v>5414</v>
      </c>
      <c r="D5741" s="9" t="s">
        <v>4890</v>
      </c>
      <c r="F5741" s="6">
        <v>270</v>
      </c>
      <c r="G5741" s="6">
        <f t="shared" si="285"/>
        <v>270</v>
      </c>
      <c r="H5741" s="6">
        <v>270</v>
      </c>
      <c r="I5741" s="26">
        <f t="shared" si="286"/>
        <v>0</v>
      </c>
      <c r="J5741" s="7" t="str">
        <f t="shared" si="287"/>
        <v>PAGADO</v>
      </c>
    </row>
    <row r="5742" spans="1:13" x14ac:dyDescent="0.25">
      <c r="A5742" s="73">
        <v>46044</v>
      </c>
      <c r="C5742" s="9" t="s">
        <v>5415</v>
      </c>
      <c r="D5742" s="9" t="s">
        <v>5416</v>
      </c>
      <c r="F5742" s="6">
        <v>150</v>
      </c>
      <c r="G5742" s="6">
        <f t="shared" si="285"/>
        <v>150</v>
      </c>
      <c r="H5742" s="6">
        <v>150</v>
      </c>
      <c r="I5742" s="26">
        <f t="shared" si="286"/>
        <v>0</v>
      </c>
      <c r="J5742" s="7" t="str">
        <f t="shared" si="287"/>
        <v>PAGADO</v>
      </c>
    </row>
    <row r="5743" spans="1:13" x14ac:dyDescent="0.25">
      <c r="A5743" s="73">
        <v>46044</v>
      </c>
      <c r="C5743" s="9" t="s">
        <v>5417</v>
      </c>
      <c r="D5743" s="9" t="s">
        <v>1451</v>
      </c>
      <c r="F5743" s="6">
        <v>120</v>
      </c>
      <c r="G5743" s="6">
        <f t="shared" si="285"/>
        <v>120</v>
      </c>
      <c r="H5743" s="6">
        <v>120</v>
      </c>
      <c r="I5743" s="26">
        <f t="shared" si="286"/>
        <v>0</v>
      </c>
      <c r="J5743" s="7" t="str">
        <f t="shared" si="287"/>
        <v>PAGADO</v>
      </c>
    </row>
    <row r="5744" spans="1:13" x14ac:dyDescent="0.25">
      <c r="A5744" s="73">
        <v>46046</v>
      </c>
      <c r="C5744" s="98" t="s">
        <v>5418</v>
      </c>
      <c r="D5744" s="98" t="s">
        <v>597</v>
      </c>
      <c r="F5744" s="6">
        <v>250</v>
      </c>
      <c r="G5744" s="6">
        <f t="shared" si="285"/>
        <v>250</v>
      </c>
      <c r="H5744" s="24">
        <v>250</v>
      </c>
      <c r="I5744" s="26">
        <f t="shared" si="286"/>
        <v>0</v>
      </c>
      <c r="J5744" s="7" t="str">
        <f t="shared" si="287"/>
        <v>PAGADO</v>
      </c>
      <c r="K5744" s="9" t="s">
        <v>2754</v>
      </c>
      <c r="M5744" s="8" t="s">
        <v>5419</v>
      </c>
    </row>
    <row r="5745" spans="1:13" x14ac:dyDescent="0.25">
      <c r="A5745" s="73">
        <v>46046</v>
      </c>
      <c r="C5745" s="98" t="s">
        <v>5420</v>
      </c>
      <c r="D5745" s="98" t="s">
        <v>597</v>
      </c>
      <c r="F5745" s="6">
        <v>180</v>
      </c>
      <c r="G5745" s="6">
        <f t="shared" si="285"/>
        <v>180</v>
      </c>
      <c r="H5745" s="24">
        <v>180</v>
      </c>
      <c r="I5745" s="26">
        <f t="shared" si="286"/>
        <v>0</v>
      </c>
      <c r="J5745" s="7" t="str">
        <f t="shared" si="287"/>
        <v>PAGADO</v>
      </c>
      <c r="K5745" s="9" t="s">
        <v>2754</v>
      </c>
      <c r="M5745" s="8" t="s">
        <v>5421</v>
      </c>
    </row>
    <row r="5746" spans="1:13" x14ac:dyDescent="0.25">
      <c r="A5746" s="73">
        <v>46046</v>
      </c>
      <c r="C5746" s="9" t="s">
        <v>5422</v>
      </c>
      <c r="D5746" s="9" t="s">
        <v>4454</v>
      </c>
      <c r="F5746" s="6">
        <v>90</v>
      </c>
      <c r="G5746" s="6">
        <f t="shared" si="285"/>
        <v>90</v>
      </c>
      <c r="H5746" s="6">
        <v>45</v>
      </c>
      <c r="I5746" s="26">
        <f t="shared" si="286"/>
        <v>45</v>
      </c>
      <c r="J5746" s="7" t="str">
        <f t="shared" si="287"/>
        <v>DEBE</v>
      </c>
      <c r="K5746" s="9" t="s">
        <v>2754</v>
      </c>
      <c r="M5746" s="8" t="s">
        <v>5423</v>
      </c>
    </row>
    <row r="5747" spans="1:13" x14ac:dyDescent="0.25">
      <c r="A5747" s="73">
        <v>46046</v>
      </c>
      <c r="C5747" s="98" t="s">
        <v>5418</v>
      </c>
      <c r="D5747" s="119" t="s">
        <v>2548</v>
      </c>
      <c r="F5747" s="6">
        <v>240</v>
      </c>
      <c r="G5747" s="6">
        <f t="shared" si="285"/>
        <v>240</v>
      </c>
      <c r="H5747" s="31">
        <v>120</v>
      </c>
      <c r="I5747" s="26">
        <f t="shared" si="286"/>
        <v>120</v>
      </c>
      <c r="J5747" s="7" t="str">
        <f t="shared" si="287"/>
        <v>DEBE</v>
      </c>
      <c r="K5747" s="34" t="s">
        <v>2754</v>
      </c>
      <c r="M5747" s="8" t="s">
        <v>5424</v>
      </c>
    </row>
    <row r="5748" spans="1:13" x14ac:dyDescent="0.25">
      <c r="A5748" s="73">
        <v>46046</v>
      </c>
      <c r="C5748" s="98" t="s">
        <v>5425</v>
      </c>
      <c r="D5748" s="119" t="s">
        <v>2548</v>
      </c>
      <c r="F5748" s="6">
        <v>500</v>
      </c>
      <c r="G5748" s="6">
        <f t="shared" si="285"/>
        <v>500</v>
      </c>
      <c r="H5748" s="24">
        <v>250</v>
      </c>
      <c r="I5748" s="26">
        <f t="shared" si="286"/>
        <v>250</v>
      </c>
      <c r="J5748" s="7" t="str">
        <f t="shared" si="287"/>
        <v>DEBE</v>
      </c>
      <c r="K5748" s="34" t="s">
        <v>2754</v>
      </c>
      <c r="M5748" s="8" t="s">
        <v>5424</v>
      </c>
    </row>
    <row r="5749" spans="1:13" x14ac:dyDescent="0.25">
      <c r="A5749" s="73">
        <v>46046</v>
      </c>
      <c r="C5749" s="98" t="s">
        <v>5426</v>
      </c>
      <c r="D5749" s="119" t="s">
        <v>2018</v>
      </c>
      <c r="F5749" s="6">
        <v>240</v>
      </c>
      <c r="G5749" s="6">
        <f t="shared" si="285"/>
        <v>240</v>
      </c>
      <c r="H5749" s="16">
        <v>120</v>
      </c>
      <c r="I5749" s="26">
        <f t="shared" si="286"/>
        <v>120</v>
      </c>
      <c r="J5749" s="7" t="str">
        <f t="shared" si="287"/>
        <v>DEBE</v>
      </c>
      <c r="K5749" s="9" t="s">
        <v>2754</v>
      </c>
      <c r="M5749" s="8" t="s">
        <v>5424</v>
      </c>
    </row>
    <row r="5750" spans="1:13" x14ac:dyDescent="0.25">
      <c r="A5750" s="73">
        <v>46046</v>
      </c>
      <c r="C5750" s="98" t="s">
        <v>5427</v>
      </c>
      <c r="D5750" s="119" t="s">
        <v>3198</v>
      </c>
      <c r="F5750" s="6">
        <v>180</v>
      </c>
      <c r="G5750" s="6">
        <f t="shared" si="285"/>
        <v>180</v>
      </c>
      <c r="H5750" s="120">
        <f>90+90</f>
        <v>180</v>
      </c>
      <c r="I5750" s="26">
        <f t="shared" si="286"/>
        <v>0</v>
      </c>
      <c r="J5750" s="7" t="str">
        <f t="shared" si="287"/>
        <v>PAGADO</v>
      </c>
      <c r="K5750" s="9" t="s">
        <v>2754</v>
      </c>
      <c r="M5750" s="8" t="s">
        <v>5419</v>
      </c>
    </row>
    <row r="5751" spans="1:13" x14ac:dyDescent="0.25">
      <c r="A5751" s="73">
        <v>46046</v>
      </c>
      <c r="C5751" s="119" t="s">
        <v>5426</v>
      </c>
      <c r="D5751" s="119" t="s">
        <v>3198</v>
      </c>
      <c r="F5751" s="6">
        <v>250</v>
      </c>
      <c r="G5751" s="6">
        <f t="shared" si="285"/>
        <v>250</v>
      </c>
      <c r="H5751" s="16">
        <f>125+125</f>
        <v>250</v>
      </c>
      <c r="I5751" s="26">
        <f t="shared" si="286"/>
        <v>0</v>
      </c>
      <c r="J5751" s="7" t="str">
        <f t="shared" si="287"/>
        <v>PAGADO</v>
      </c>
      <c r="K5751" s="9" t="s">
        <v>2754</v>
      </c>
      <c r="M5751" s="8" t="s">
        <v>5423</v>
      </c>
    </row>
    <row r="5752" spans="1:13" x14ac:dyDescent="0.25">
      <c r="A5752" s="73">
        <v>46046</v>
      </c>
      <c r="C5752" s="119" t="s">
        <v>5425</v>
      </c>
      <c r="D5752" s="119" t="s">
        <v>3198</v>
      </c>
      <c r="F5752" s="6">
        <v>500</v>
      </c>
      <c r="G5752" s="6">
        <f t="shared" si="285"/>
        <v>500</v>
      </c>
      <c r="H5752" s="16">
        <f>255+245</f>
        <v>500</v>
      </c>
      <c r="I5752" s="26">
        <f t="shared" si="286"/>
        <v>0</v>
      </c>
      <c r="J5752" s="7" t="str">
        <f t="shared" si="287"/>
        <v>PAGADO</v>
      </c>
      <c r="K5752" s="9" t="s">
        <v>2754</v>
      </c>
      <c r="M5752" s="8" t="s">
        <v>5423</v>
      </c>
    </row>
    <row r="5753" spans="1:13" x14ac:dyDescent="0.25">
      <c r="A5753" s="73">
        <v>46046</v>
      </c>
      <c r="C5753" s="119" t="s">
        <v>5428</v>
      </c>
      <c r="D5753" s="119" t="s">
        <v>1510</v>
      </c>
      <c r="F5753" s="6">
        <v>90</v>
      </c>
      <c r="G5753" s="6">
        <f t="shared" si="285"/>
        <v>90</v>
      </c>
      <c r="H5753" s="24">
        <v>45</v>
      </c>
      <c r="I5753" s="26">
        <f t="shared" si="286"/>
        <v>45</v>
      </c>
      <c r="J5753" s="7" t="str">
        <f t="shared" si="287"/>
        <v>DEBE</v>
      </c>
      <c r="K5753" s="34" t="s">
        <v>2754</v>
      </c>
      <c r="M5753" s="8" t="s">
        <v>5423</v>
      </c>
    </row>
    <row r="5754" spans="1:13" x14ac:dyDescent="0.25">
      <c r="A5754" s="73">
        <v>46046</v>
      </c>
      <c r="C5754" s="119" t="s">
        <v>5429</v>
      </c>
      <c r="D5754" s="119" t="s">
        <v>2548</v>
      </c>
      <c r="F5754" s="6">
        <v>45</v>
      </c>
      <c r="G5754" s="6">
        <f t="shared" si="285"/>
        <v>45</v>
      </c>
      <c r="H5754" s="30">
        <v>22.5</v>
      </c>
      <c r="I5754" s="26">
        <f t="shared" si="286"/>
        <v>22.5</v>
      </c>
      <c r="J5754" s="7" t="str">
        <f t="shared" si="287"/>
        <v>DEBE</v>
      </c>
      <c r="K5754" s="34" t="s">
        <v>2754</v>
      </c>
      <c r="M5754" s="8" t="s">
        <v>5423</v>
      </c>
    </row>
    <row r="5755" spans="1:13" x14ac:dyDescent="0.25">
      <c r="A5755" s="73">
        <v>46046</v>
      </c>
      <c r="C5755" s="9" t="s">
        <v>489</v>
      </c>
      <c r="D5755" s="9" t="s">
        <v>2415</v>
      </c>
      <c r="F5755" s="6">
        <v>60</v>
      </c>
      <c r="G5755" s="6">
        <f t="shared" si="285"/>
        <v>60</v>
      </c>
      <c r="H5755" s="6">
        <f>30+30</f>
        <v>60</v>
      </c>
      <c r="I5755" s="26">
        <f t="shared" si="286"/>
        <v>0</v>
      </c>
      <c r="J5755" s="7" t="str">
        <f t="shared" si="287"/>
        <v>PAGADO</v>
      </c>
      <c r="K5755" s="9" t="s">
        <v>2712</v>
      </c>
    </row>
    <row r="5756" spans="1:13" x14ac:dyDescent="0.25">
      <c r="A5756" s="73">
        <v>46046</v>
      </c>
      <c r="B5756" s="7"/>
      <c r="C5756" s="98" t="s">
        <v>5374</v>
      </c>
      <c r="D5756" s="9" t="s">
        <v>1606</v>
      </c>
      <c r="E5756" s="99"/>
      <c r="F5756" s="101">
        <v>70</v>
      </c>
      <c r="G5756" s="101">
        <f t="shared" si="285"/>
        <v>70</v>
      </c>
      <c r="H5756" s="101">
        <f>35+20+15</f>
        <v>70</v>
      </c>
      <c r="I5756" s="100">
        <f t="shared" si="286"/>
        <v>0</v>
      </c>
      <c r="J5756" s="7" t="str">
        <f t="shared" si="287"/>
        <v>PAGADO</v>
      </c>
      <c r="K5756" s="34" t="s">
        <v>2754</v>
      </c>
      <c r="M5756" s="8" t="s">
        <v>5375</v>
      </c>
    </row>
    <row r="5757" spans="1:13" x14ac:dyDescent="0.25">
      <c r="A5757" s="73">
        <v>46046</v>
      </c>
      <c r="C5757" s="9" t="s">
        <v>5430</v>
      </c>
      <c r="D5757" s="9" t="s">
        <v>1685</v>
      </c>
      <c r="F5757" s="6">
        <v>130</v>
      </c>
      <c r="G5757" s="6">
        <f t="shared" si="285"/>
        <v>130</v>
      </c>
      <c r="H5757" s="6">
        <v>26</v>
      </c>
      <c r="I5757" s="26">
        <f t="shared" si="286"/>
        <v>104</v>
      </c>
      <c r="J5757" s="7" t="str">
        <f t="shared" si="287"/>
        <v>DEBE</v>
      </c>
      <c r="K5757" s="9" t="s">
        <v>2754</v>
      </c>
      <c r="M5757" s="8" t="s">
        <v>5431</v>
      </c>
    </row>
    <row r="5758" spans="1:13" x14ac:dyDescent="0.25">
      <c r="A5758" s="73">
        <v>46046</v>
      </c>
      <c r="C5758" s="9" t="s">
        <v>5432</v>
      </c>
      <c r="D5758" s="9" t="s">
        <v>3026</v>
      </c>
      <c r="F5758" s="6">
        <v>80</v>
      </c>
      <c r="G5758" s="6">
        <f t="shared" ref="G5758:G5821" si="288">F5758-E5758</f>
        <v>80</v>
      </c>
      <c r="H5758" s="6">
        <v>80</v>
      </c>
      <c r="I5758" s="26">
        <f t="shared" si="286"/>
        <v>0</v>
      </c>
      <c r="J5758" s="7" t="str">
        <f t="shared" si="287"/>
        <v>PAGADO</v>
      </c>
    </row>
    <row r="5759" spans="1:13" x14ac:dyDescent="0.25">
      <c r="A5759" s="73">
        <v>46046</v>
      </c>
      <c r="C5759" s="9" t="s">
        <v>4023</v>
      </c>
      <c r="D5759" s="9" t="s">
        <v>3026</v>
      </c>
      <c r="F5759" s="6">
        <v>100</v>
      </c>
      <c r="G5759" s="6">
        <f t="shared" si="288"/>
        <v>100</v>
      </c>
      <c r="H5759" s="6">
        <v>100</v>
      </c>
      <c r="I5759" s="26">
        <f t="shared" si="286"/>
        <v>0</v>
      </c>
      <c r="J5759" s="7" t="str">
        <f t="shared" si="287"/>
        <v>PAGADO</v>
      </c>
    </row>
    <row r="5760" spans="1:13" x14ac:dyDescent="0.25">
      <c r="A5760" s="73">
        <v>46046</v>
      </c>
      <c r="C5760" s="9" t="s">
        <v>5433</v>
      </c>
      <c r="D5760" s="9" t="s">
        <v>5434</v>
      </c>
      <c r="F5760" s="6">
        <v>300</v>
      </c>
      <c r="G5760" s="6">
        <f t="shared" si="288"/>
        <v>300</v>
      </c>
      <c r="H5760" s="6">
        <f>150+150</f>
        <v>300</v>
      </c>
      <c r="I5760" s="26">
        <f t="shared" si="286"/>
        <v>0</v>
      </c>
      <c r="J5760" s="7" t="str">
        <f t="shared" si="287"/>
        <v>PAGADO</v>
      </c>
    </row>
    <row r="5761" spans="1:14" x14ac:dyDescent="0.25">
      <c r="A5761" s="73">
        <v>46046</v>
      </c>
      <c r="C5761" s="9" t="s">
        <v>5435</v>
      </c>
      <c r="D5761" s="9" t="s">
        <v>5436</v>
      </c>
      <c r="F5761" s="6">
        <v>100</v>
      </c>
      <c r="G5761" s="6">
        <f t="shared" si="288"/>
        <v>100</v>
      </c>
      <c r="H5761" s="6">
        <v>100</v>
      </c>
      <c r="I5761" s="26">
        <f t="shared" si="286"/>
        <v>0</v>
      </c>
      <c r="J5761" s="7" t="str">
        <f t="shared" si="287"/>
        <v>PAGADO</v>
      </c>
    </row>
    <row r="5762" spans="1:14" x14ac:dyDescent="0.25">
      <c r="A5762" s="73">
        <v>46046</v>
      </c>
      <c r="C5762" s="9" t="s">
        <v>5437</v>
      </c>
      <c r="D5762" s="9" t="s">
        <v>5145</v>
      </c>
      <c r="F5762" s="6">
        <v>90</v>
      </c>
      <c r="G5762" s="6">
        <f t="shared" si="288"/>
        <v>90</v>
      </c>
      <c r="H5762" s="6">
        <v>45</v>
      </c>
      <c r="I5762" s="26">
        <f t="shared" si="286"/>
        <v>45</v>
      </c>
      <c r="J5762" s="7" t="str">
        <f t="shared" si="287"/>
        <v>DEBE</v>
      </c>
      <c r="K5762" s="34" t="s">
        <v>2754</v>
      </c>
      <c r="M5762" s="8" t="s">
        <v>5438</v>
      </c>
    </row>
    <row r="5763" spans="1:14" x14ac:dyDescent="0.25">
      <c r="A5763" s="73">
        <v>46046</v>
      </c>
      <c r="C5763" t="s">
        <v>5439</v>
      </c>
      <c r="D5763" s="9" t="s">
        <v>3076</v>
      </c>
      <c r="F5763" s="6">
        <v>80</v>
      </c>
      <c r="G5763" s="6">
        <f t="shared" si="288"/>
        <v>80</v>
      </c>
      <c r="H5763" s="6">
        <v>40</v>
      </c>
      <c r="I5763" s="26">
        <f t="shared" si="286"/>
        <v>40</v>
      </c>
      <c r="J5763" s="7" t="str">
        <f t="shared" si="287"/>
        <v>DEBE</v>
      </c>
      <c r="K5763" s="34" t="s">
        <v>2754</v>
      </c>
      <c r="M5763" s="8" t="s">
        <v>5285</v>
      </c>
    </row>
    <row r="5764" spans="1:14" x14ac:dyDescent="0.25">
      <c r="A5764" s="73">
        <v>46046</v>
      </c>
      <c r="C5764" t="s">
        <v>5437</v>
      </c>
      <c r="D5764" s="9" t="s">
        <v>5183</v>
      </c>
      <c r="F5764" s="6">
        <v>90</v>
      </c>
      <c r="G5764" s="6">
        <f t="shared" si="288"/>
        <v>90</v>
      </c>
      <c r="H5764" s="6">
        <f>45+45</f>
        <v>90</v>
      </c>
      <c r="I5764" s="26">
        <f t="shared" si="286"/>
        <v>0</v>
      </c>
      <c r="J5764" s="7" t="str">
        <f t="shared" si="287"/>
        <v>PAGADO</v>
      </c>
      <c r="K5764" s="34" t="s">
        <v>2754</v>
      </c>
      <c r="M5764" s="8" t="s">
        <v>5438</v>
      </c>
    </row>
    <row r="5765" spans="1:14" x14ac:dyDescent="0.25">
      <c r="A5765" s="73">
        <v>46046</v>
      </c>
      <c r="C5765" s="9" t="s">
        <v>86</v>
      </c>
      <c r="D5765" s="9" t="s">
        <v>3376</v>
      </c>
      <c r="F5765" s="6">
        <v>50</v>
      </c>
      <c r="G5765" s="6">
        <f t="shared" si="288"/>
        <v>50</v>
      </c>
      <c r="H5765" s="65">
        <v>25</v>
      </c>
      <c r="I5765" s="26">
        <f t="shared" si="286"/>
        <v>25</v>
      </c>
      <c r="J5765" s="7" t="str">
        <f t="shared" si="287"/>
        <v>DEBE</v>
      </c>
      <c r="K5765" s="9" t="s">
        <v>2754</v>
      </c>
      <c r="M5765" s="8" t="s">
        <v>5440</v>
      </c>
      <c r="N5765" t="s">
        <v>5441</v>
      </c>
    </row>
    <row r="5766" spans="1:14" x14ac:dyDescent="0.25">
      <c r="A5766" s="73">
        <v>46046</v>
      </c>
      <c r="C5766" s="98" t="s">
        <v>5442</v>
      </c>
      <c r="D5766" s="98" t="s">
        <v>67</v>
      </c>
      <c r="E5766" s="99"/>
      <c r="F5766" s="101">
        <v>70</v>
      </c>
      <c r="G5766" s="101">
        <f t="shared" si="288"/>
        <v>70</v>
      </c>
      <c r="H5766" s="108">
        <v>35</v>
      </c>
      <c r="I5766" s="100">
        <f t="shared" si="286"/>
        <v>35</v>
      </c>
      <c r="J5766" s="7" t="str">
        <f t="shared" si="287"/>
        <v>DEBE</v>
      </c>
      <c r="K5766" s="34" t="s">
        <v>2754</v>
      </c>
      <c r="M5766" s="8" t="s">
        <v>5412</v>
      </c>
    </row>
    <row r="5767" spans="1:14" x14ac:dyDescent="0.25">
      <c r="A5767" s="73">
        <v>46046</v>
      </c>
      <c r="C5767" s="9" t="s">
        <v>5443</v>
      </c>
      <c r="D5767" s="98" t="s">
        <v>67</v>
      </c>
      <c r="F5767" s="6">
        <v>65</v>
      </c>
      <c r="G5767" s="6">
        <f t="shared" si="288"/>
        <v>65</v>
      </c>
      <c r="H5767" s="16">
        <v>32.5</v>
      </c>
      <c r="I5767" s="26">
        <f t="shared" si="286"/>
        <v>32.5</v>
      </c>
      <c r="J5767" s="7" t="str">
        <f t="shared" si="287"/>
        <v>DEBE</v>
      </c>
      <c r="K5767" s="34" t="s">
        <v>2754</v>
      </c>
      <c r="M5767" s="8" t="s">
        <v>5412</v>
      </c>
    </row>
    <row r="5768" spans="1:14" x14ac:dyDescent="0.25">
      <c r="A5768" s="73">
        <v>46046</v>
      </c>
      <c r="C5768" s="9" t="s">
        <v>5290</v>
      </c>
      <c r="D5768" s="98" t="s">
        <v>67</v>
      </c>
      <c r="F5768" s="6">
        <v>80</v>
      </c>
      <c r="G5768" s="6">
        <f t="shared" si="288"/>
        <v>80</v>
      </c>
      <c r="H5768" s="16">
        <v>7.5</v>
      </c>
      <c r="I5768" s="26">
        <f t="shared" si="286"/>
        <v>72.5</v>
      </c>
      <c r="J5768" s="7" t="str">
        <f t="shared" si="287"/>
        <v>DEBE</v>
      </c>
      <c r="K5768" s="34" t="s">
        <v>2754</v>
      </c>
      <c r="M5768" s="8" t="s">
        <v>5412</v>
      </c>
    </row>
    <row r="5769" spans="1:14" x14ac:dyDescent="0.25">
      <c r="A5769" s="73">
        <v>46046</v>
      </c>
      <c r="C5769" s="9" t="s">
        <v>5437</v>
      </c>
      <c r="D5769" s="9" t="s">
        <v>1309</v>
      </c>
      <c r="F5769" s="6">
        <v>90</v>
      </c>
      <c r="G5769" s="6">
        <f t="shared" si="288"/>
        <v>90</v>
      </c>
      <c r="H5769" s="6">
        <f>55+35</f>
        <v>90</v>
      </c>
      <c r="I5769" s="26">
        <f t="shared" si="286"/>
        <v>0</v>
      </c>
      <c r="J5769" s="7" t="str">
        <f t="shared" si="287"/>
        <v>PAGADO</v>
      </c>
      <c r="K5769" s="34" t="s">
        <v>2754</v>
      </c>
      <c r="M5769" s="8" t="s">
        <v>5438</v>
      </c>
    </row>
    <row r="5770" spans="1:14" x14ac:dyDescent="0.25">
      <c r="A5770" s="73">
        <v>46046</v>
      </c>
      <c r="C5770" s="98" t="s">
        <v>5444</v>
      </c>
      <c r="D5770" s="98" t="s">
        <v>4172</v>
      </c>
      <c r="E5770" s="99"/>
      <c r="F5770" s="101">
        <v>120</v>
      </c>
      <c r="G5770" s="101">
        <f t="shared" si="288"/>
        <v>120</v>
      </c>
      <c r="H5770" s="101">
        <v>60</v>
      </c>
      <c r="I5770" s="100">
        <f t="shared" si="286"/>
        <v>60</v>
      </c>
      <c r="J5770" s="7" t="str">
        <f t="shared" si="287"/>
        <v>DEBE</v>
      </c>
      <c r="K5770" s="34" t="s">
        <v>2754</v>
      </c>
      <c r="M5770" s="8" t="s">
        <v>5440</v>
      </c>
    </row>
    <row r="5771" spans="1:14" x14ac:dyDescent="0.25">
      <c r="A5771" s="73">
        <v>46046</v>
      </c>
      <c r="C5771" t="s">
        <v>5445</v>
      </c>
      <c r="D5771" s="9" t="s">
        <v>5151</v>
      </c>
      <c r="F5771" s="6">
        <v>65</v>
      </c>
      <c r="G5771" s="6">
        <f t="shared" si="288"/>
        <v>65</v>
      </c>
      <c r="H5771" s="6">
        <v>32.5</v>
      </c>
      <c r="I5771" s="26">
        <f t="shared" ref="I5771:I5834" si="289">F5771-H5771</f>
        <v>32.5</v>
      </c>
      <c r="J5771" s="7" t="str">
        <f t="shared" si="287"/>
        <v>DEBE</v>
      </c>
      <c r="K5771" s="34" t="s">
        <v>2754</v>
      </c>
      <c r="M5771" s="8" t="s">
        <v>5440</v>
      </c>
    </row>
    <row r="5772" spans="1:14" x14ac:dyDescent="0.25">
      <c r="A5772" s="73">
        <v>46046</v>
      </c>
      <c r="C5772" t="s">
        <v>5446</v>
      </c>
      <c r="D5772" s="98" t="s">
        <v>1510</v>
      </c>
      <c r="F5772" s="6">
        <v>300</v>
      </c>
      <c r="G5772" s="6">
        <f t="shared" si="288"/>
        <v>300</v>
      </c>
      <c r="H5772" s="24">
        <f>32.5+117.5</f>
        <v>150</v>
      </c>
      <c r="I5772" s="26">
        <f t="shared" si="289"/>
        <v>150</v>
      </c>
      <c r="J5772" s="7" t="str">
        <f t="shared" si="287"/>
        <v>DEBE</v>
      </c>
      <c r="K5772" s="34" t="s">
        <v>2754</v>
      </c>
      <c r="M5772" s="8" t="s">
        <v>5447</v>
      </c>
    </row>
    <row r="5773" spans="1:14" x14ac:dyDescent="0.25">
      <c r="A5773" s="73">
        <v>46046</v>
      </c>
      <c r="C5773" t="s">
        <v>5448</v>
      </c>
      <c r="D5773" s="9" t="s">
        <v>2857</v>
      </c>
      <c r="F5773" s="6">
        <v>150</v>
      </c>
      <c r="G5773" s="6">
        <f t="shared" si="288"/>
        <v>150</v>
      </c>
      <c r="H5773" s="6">
        <v>75</v>
      </c>
      <c r="I5773" s="26">
        <f t="shared" si="289"/>
        <v>75</v>
      </c>
      <c r="J5773" s="7" t="str">
        <f t="shared" si="287"/>
        <v>DEBE</v>
      </c>
      <c r="K5773" s="34" t="s">
        <v>2754</v>
      </c>
      <c r="M5773" s="8" t="s">
        <v>5447</v>
      </c>
    </row>
    <row r="5774" spans="1:14" x14ac:dyDescent="0.25">
      <c r="A5774" s="73">
        <v>46046</v>
      </c>
      <c r="C5774" t="s">
        <v>5449</v>
      </c>
      <c r="D5774" s="98" t="s">
        <v>1510</v>
      </c>
      <c r="F5774" s="6">
        <v>80</v>
      </c>
      <c r="G5774" s="6">
        <f t="shared" si="288"/>
        <v>80</v>
      </c>
      <c r="H5774" s="6">
        <v>40</v>
      </c>
      <c r="I5774" s="43">
        <f t="shared" si="289"/>
        <v>40</v>
      </c>
      <c r="J5774" s="7" t="str">
        <f t="shared" si="287"/>
        <v>DEBE</v>
      </c>
      <c r="K5774" s="34" t="s">
        <v>2754</v>
      </c>
      <c r="M5774" s="8" t="s">
        <v>5440</v>
      </c>
    </row>
    <row r="5775" spans="1:14" x14ac:dyDescent="0.25">
      <c r="A5775" s="73">
        <v>46046</v>
      </c>
      <c r="C5775" t="s">
        <v>5450</v>
      </c>
      <c r="D5775" s="9" t="s">
        <v>2841</v>
      </c>
      <c r="F5775" s="6">
        <v>70</v>
      </c>
      <c r="G5775" s="6">
        <f t="shared" si="288"/>
        <v>70</v>
      </c>
      <c r="H5775" s="6">
        <f>20+10+40</f>
        <v>70</v>
      </c>
      <c r="I5775" s="26">
        <f t="shared" si="289"/>
        <v>0</v>
      </c>
      <c r="J5775" s="7" t="str">
        <f t="shared" ref="J5775:J5838" si="290">IF(I5775&gt;0,"DEBE","PAGADO")</f>
        <v>PAGADO</v>
      </c>
      <c r="K5775" s="34" t="s">
        <v>2754</v>
      </c>
      <c r="M5775" s="8" t="s">
        <v>5314</v>
      </c>
    </row>
    <row r="5776" spans="1:14" x14ac:dyDescent="0.25">
      <c r="A5776" s="73">
        <v>46046</v>
      </c>
      <c r="C5776" t="s">
        <v>3279</v>
      </c>
      <c r="D5776" s="98" t="s">
        <v>5451</v>
      </c>
      <c r="F5776" s="6">
        <v>80</v>
      </c>
      <c r="G5776" s="6">
        <f t="shared" si="288"/>
        <v>80</v>
      </c>
      <c r="H5776" s="6">
        <f>40+40</f>
        <v>80</v>
      </c>
      <c r="I5776" s="26">
        <f t="shared" si="289"/>
        <v>0</v>
      </c>
      <c r="J5776" s="7" t="str">
        <f t="shared" si="290"/>
        <v>PAGADO</v>
      </c>
      <c r="K5776" s="34" t="s">
        <v>3506</v>
      </c>
    </row>
    <row r="5777" spans="1:13" x14ac:dyDescent="0.25">
      <c r="A5777" s="73">
        <v>46047</v>
      </c>
      <c r="C5777" t="s">
        <v>5380</v>
      </c>
      <c r="D5777" s="9" t="s">
        <v>3352</v>
      </c>
      <c r="F5777" s="6">
        <v>90</v>
      </c>
      <c r="G5777" s="6">
        <f t="shared" si="288"/>
        <v>90</v>
      </c>
      <c r="H5777" s="6">
        <v>45</v>
      </c>
      <c r="I5777" s="26">
        <f t="shared" si="289"/>
        <v>45</v>
      </c>
      <c r="J5777" s="7" t="str">
        <f t="shared" si="290"/>
        <v>DEBE</v>
      </c>
      <c r="K5777" s="34" t="s">
        <v>2754</v>
      </c>
      <c r="M5777" s="8" t="s">
        <v>5379</v>
      </c>
    </row>
    <row r="5778" spans="1:13" x14ac:dyDescent="0.25">
      <c r="A5778" s="73">
        <v>46047</v>
      </c>
      <c r="C5778" t="s">
        <v>5452</v>
      </c>
      <c r="D5778" s="98" t="s">
        <v>2841</v>
      </c>
      <c r="F5778" s="6">
        <v>60</v>
      </c>
      <c r="G5778" s="6">
        <f t="shared" si="288"/>
        <v>60</v>
      </c>
      <c r="H5778" s="6">
        <f>20+40</f>
        <v>60</v>
      </c>
      <c r="I5778" s="26">
        <f t="shared" si="289"/>
        <v>0</v>
      </c>
      <c r="J5778" s="7" t="str">
        <f t="shared" si="290"/>
        <v>PAGADO</v>
      </c>
      <c r="K5778" s="9" t="s">
        <v>2712</v>
      </c>
    </row>
    <row r="5779" spans="1:13" x14ac:dyDescent="0.25">
      <c r="A5779" s="73">
        <v>46047</v>
      </c>
      <c r="C5779" t="s">
        <v>5453</v>
      </c>
      <c r="D5779" s="9" t="s">
        <v>4590</v>
      </c>
      <c r="F5779" s="6">
        <v>180</v>
      </c>
      <c r="G5779" s="6">
        <f t="shared" si="288"/>
        <v>180</v>
      </c>
      <c r="H5779" s="6">
        <f>30+30+30+30+30+30</f>
        <v>180</v>
      </c>
      <c r="I5779" s="26">
        <f t="shared" si="289"/>
        <v>0</v>
      </c>
      <c r="J5779" s="7" t="str">
        <f t="shared" si="290"/>
        <v>PAGADO</v>
      </c>
      <c r="K5779" s="33" t="s">
        <v>3819</v>
      </c>
    </row>
    <row r="5780" spans="1:13" x14ac:dyDescent="0.25">
      <c r="A5780" s="73">
        <v>46047</v>
      </c>
      <c r="C5780" s="9" t="s">
        <v>5454</v>
      </c>
      <c r="D5780" s="9" t="s">
        <v>2275</v>
      </c>
      <c r="F5780" s="6">
        <v>50</v>
      </c>
      <c r="G5780" s="6">
        <f t="shared" si="288"/>
        <v>50</v>
      </c>
      <c r="H5780" s="6">
        <v>25</v>
      </c>
      <c r="I5780" s="26">
        <f t="shared" si="289"/>
        <v>25</v>
      </c>
      <c r="J5780" s="7" t="str">
        <f t="shared" si="290"/>
        <v>DEBE</v>
      </c>
      <c r="K5780" s="34" t="s">
        <v>2754</v>
      </c>
      <c r="M5780" s="8" t="s">
        <v>5243</v>
      </c>
    </row>
    <row r="5781" spans="1:13" x14ac:dyDescent="0.25">
      <c r="A5781" s="73">
        <v>46047</v>
      </c>
      <c r="C5781" s="9" t="s">
        <v>5455</v>
      </c>
      <c r="D5781" s="9" t="s">
        <v>3980</v>
      </c>
      <c r="F5781" s="6">
        <v>50</v>
      </c>
      <c r="G5781" s="6">
        <f t="shared" si="288"/>
        <v>50</v>
      </c>
      <c r="H5781" s="6">
        <v>50</v>
      </c>
      <c r="I5781" s="26">
        <f t="shared" si="289"/>
        <v>0</v>
      </c>
      <c r="J5781" s="7" t="str">
        <f t="shared" si="290"/>
        <v>PAGADO</v>
      </c>
      <c r="K5781" s="9" t="s">
        <v>2714</v>
      </c>
    </row>
    <row r="5782" spans="1:13" x14ac:dyDescent="0.25">
      <c r="A5782" s="73">
        <v>46047</v>
      </c>
      <c r="C5782" s="98" t="s">
        <v>1603</v>
      </c>
      <c r="D5782" s="98" t="s">
        <v>5164</v>
      </c>
      <c r="F5782" s="6">
        <v>65</v>
      </c>
      <c r="G5782" s="6">
        <f t="shared" si="288"/>
        <v>65</v>
      </c>
      <c r="H5782" s="6">
        <v>65</v>
      </c>
      <c r="I5782" s="26">
        <f t="shared" si="289"/>
        <v>0</v>
      </c>
      <c r="J5782" s="7" t="str">
        <f t="shared" si="290"/>
        <v>PAGADO</v>
      </c>
      <c r="K5782" s="34" t="s">
        <v>2714</v>
      </c>
    </row>
    <row r="5783" spans="1:13" x14ac:dyDescent="0.25">
      <c r="A5783" s="73">
        <v>46047</v>
      </c>
      <c r="C5783" s="9" t="s">
        <v>5456</v>
      </c>
      <c r="D5783" s="9" t="s">
        <v>5086</v>
      </c>
      <c r="F5783" s="6">
        <v>80</v>
      </c>
      <c r="G5783" s="6">
        <f t="shared" si="288"/>
        <v>80</v>
      </c>
      <c r="H5783" s="6">
        <v>80</v>
      </c>
      <c r="I5783" s="26">
        <f t="shared" si="289"/>
        <v>0</v>
      </c>
      <c r="J5783" s="7" t="str">
        <f t="shared" si="290"/>
        <v>PAGADO</v>
      </c>
    </row>
    <row r="5784" spans="1:13" x14ac:dyDescent="0.25">
      <c r="A5784" s="73">
        <v>46047</v>
      </c>
      <c r="C5784" s="9" t="s">
        <v>5457</v>
      </c>
      <c r="D5784" s="9" t="s">
        <v>3352</v>
      </c>
      <c r="F5784" s="6">
        <v>70</v>
      </c>
      <c r="G5784" s="6">
        <f t="shared" si="288"/>
        <v>70</v>
      </c>
      <c r="H5784" s="6">
        <v>70</v>
      </c>
      <c r="I5784" s="26">
        <f t="shared" si="289"/>
        <v>0</v>
      </c>
      <c r="J5784" s="7" t="str">
        <f t="shared" si="290"/>
        <v>PAGADO</v>
      </c>
      <c r="K5784" s="34" t="s">
        <v>5458</v>
      </c>
    </row>
    <row r="5785" spans="1:13" x14ac:dyDescent="0.25">
      <c r="A5785" s="73">
        <v>46047</v>
      </c>
      <c r="C5785" s="9" t="s">
        <v>5459</v>
      </c>
      <c r="D5785" s="9" t="s">
        <v>3679</v>
      </c>
      <c r="F5785" s="6">
        <v>40</v>
      </c>
      <c r="G5785" s="6">
        <f t="shared" si="288"/>
        <v>40</v>
      </c>
      <c r="H5785" s="6">
        <v>40</v>
      </c>
      <c r="I5785" s="26">
        <f t="shared" si="289"/>
        <v>0</v>
      </c>
      <c r="J5785" s="7" t="str">
        <f t="shared" si="290"/>
        <v>PAGADO</v>
      </c>
    </row>
    <row r="5786" spans="1:13" x14ac:dyDescent="0.25">
      <c r="A5786" s="73">
        <v>46047</v>
      </c>
      <c r="C5786" s="119" t="s">
        <v>5460</v>
      </c>
      <c r="D5786" s="119" t="s">
        <v>2548</v>
      </c>
      <c r="F5786" s="6">
        <v>50</v>
      </c>
      <c r="G5786" s="6">
        <f t="shared" si="288"/>
        <v>50</v>
      </c>
      <c r="H5786" s="6">
        <v>50</v>
      </c>
      <c r="I5786" s="26">
        <f t="shared" si="289"/>
        <v>0</v>
      </c>
      <c r="J5786" s="7" t="str">
        <f t="shared" si="290"/>
        <v>PAGADO</v>
      </c>
      <c r="K5786" s="9" t="s">
        <v>2714</v>
      </c>
    </row>
    <row r="5787" spans="1:13" x14ac:dyDescent="0.25">
      <c r="A5787" s="73">
        <v>46047</v>
      </c>
      <c r="C5787" s="98" t="s">
        <v>5461</v>
      </c>
      <c r="D5787" s="98" t="s">
        <v>5202</v>
      </c>
      <c r="F5787" s="6">
        <v>60</v>
      </c>
      <c r="G5787" s="6">
        <f t="shared" si="288"/>
        <v>60</v>
      </c>
      <c r="H5787" s="6">
        <v>60</v>
      </c>
      <c r="I5787" s="26">
        <f t="shared" si="289"/>
        <v>0</v>
      </c>
      <c r="J5787" s="7" t="str">
        <f t="shared" si="290"/>
        <v>PAGADO</v>
      </c>
    </row>
    <row r="5788" spans="1:13" x14ac:dyDescent="0.25">
      <c r="A5788" s="73">
        <v>46047</v>
      </c>
      <c r="C5788" s="98" t="s">
        <v>5462</v>
      </c>
      <c r="D5788" s="98" t="s">
        <v>5202</v>
      </c>
      <c r="F5788" s="6">
        <v>55</v>
      </c>
      <c r="G5788" s="6">
        <f t="shared" si="288"/>
        <v>55</v>
      </c>
      <c r="H5788" s="6">
        <v>55</v>
      </c>
      <c r="I5788" s="26">
        <f t="shared" si="289"/>
        <v>0</v>
      </c>
      <c r="J5788" s="7" t="str">
        <f t="shared" si="290"/>
        <v>PAGADO</v>
      </c>
    </row>
    <row r="5789" spans="1:13" x14ac:dyDescent="0.25">
      <c r="A5789" s="73">
        <v>46047</v>
      </c>
      <c r="C5789" s="98" t="s">
        <v>5463</v>
      </c>
      <c r="D5789" s="98" t="s">
        <v>5202</v>
      </c>
      <c r="F5789" s="6">
        <v>55</v>
      </c>
      <c r="G5789" s="6">
        <f t="shared" si="288"/>
        <v>55</v>
      </c>
      <c r="H5789" s="6">
        <v>55</v>
      </c>
      <c r="I5789" s="26">
        <f t="shared" si="289"/>
        <v>0</v>
      </c>
      <c r="J5789" s="7" t="str">
        <f t="shared" si="290"/>
        <v>PAGADO</v>
      </c>
    </row>
    <row r="5790" spans="1:13" x14ac:dyDescent="0.25">
      <c r="A5790" s="73">
        <v>46047</v>
      </c>
      <c r="C5790" s="98" t="s">
        <v>5464</v>
      </c>
      <c r="D5790" s="98" t="s">
        <v>5202</v>
      </c>
      <c r="F5790" s="6">
        <v>65</v>
      </c>
      <c r="G5790" s="6">
        <f t="shared" si="288"/>
        <v>65</v>
      </c>
      <c r="H5790" s="6">
        <v>65</v>
      </c>
      <c r="I5790" s="26">
        <f t="shared" si="289"/>
        <v>0</v>
      </c>
      <c r="J5790" s="7" t="str">
        <f t="shared" si="290"/>
        <v>PAGADO</v>
      </c>
    </row>
    <row r="5791" spans="1:13" x14ac:dyDescent="0.25">
      <c r="A5791" s="73">
        <v>46047</v>
      </c>
      <c r="C5791" s="98" t="s">
        <v>329</v>
      </c>
      <c r="D5791" s="98" t="s">
        <v>5465</v>
      </c>
      <c r="F5791" s="6">
        <v>55</v>
      </c>
      <c r="G5791" s="6">
        <f t="shared" si="288"/>
        <v>55</v>
      </c>
      <c r="H5791" s="6">
        <f>10+45</f>
        <v>55</v>
      </c>
      <c r="I5791" s="26">
        <f t="shared" si="289"/>
        <v>0</v>
      </c>
      <c r="J5791" s="7" t="str">
        <f t="shared" si="290"/>
        <v>PAGADO</v>
      </c>
    </row>
    <row r="5792" spans="1:13" x14ac:dyDescent="0.25">
      <c r="A5792" s="73">
        <v>46047</v>
      </c>
      <c r="C5792" s="98" t="s">
        <v>5027</v>
      </c>
      <c r="D5792" s="9" t="s">
        <v>5145</v>
      </c>
      <c r="F5792" s="6">
        <v>80</v>
      </c>
      <c r="G5792" s="6">
        <f t="shared" si="288"/>
        <v>80</v>
      </c>
      <c r="H5792" s="6">
        <f>40+40</f>
        <v>80</v>
      </c>
      <c r="I5792" s="16">
        <f t="shared" si="289"/>
        <v>0</v>
      </c>
      <c r="J5792" s="7" t="str">
        <f t="shared" si="290"/>
        <v>PAGADO</v>
      </c>
      <c r="K5792" s="28" t="s">
        <v>3819</v>
      </c>
    </row>
    <row r="5793" spans="1:13" x14ac:dyDescent="0.25">
      <c r="A5793" s="73">
        <v>46047</v>
      </c>
      <c r="C5793" s="98" t="s">
        <v>5466</v>
      </c>
      <c r="D5793" s="9" t="s">
        <v>5145</v>
      </c>
      <c r="F5793" s="6">
        <v>70</v>
      </c>
      <c r="G5793" s="6">
        <f t="shared" si="288"/>
        <v>70</v>
      </c>
      <c r="H5793" s="6">
        <v>35</v>
      </c>
      <c r="I5793" s="26">
        <f t="shared" si="289"/>
        <v>35</v>
      </c>
      <c r="J5793" s="7" t="str">
        <f t="shared" si="290"/>
        <v>DEBE</v>
      </c>
      <c r="K5793" s="34" t="s">
        <v>2754</v>
      </c>
      <c r="M5793" s="8" t="s">
        <v>5467</v>
      </c>
    </row>
    <row r="5794" spans="1:13" x14ac:dyDescent="0.25">
      <c r="A5794" s="73">
        <v>46047</v>
      </c>
      <c r="C5794" s="9" t="s">
        <v>5468</v>
      </c>
      <c r="D5794" s="9" t="s">
        <v>4890</v>
      </c>
      <c r="F5794" s="6">
        <v>50</v>
      </c>
      <c r="G5794" s="6">
        <f t="shared" si="288"/>
        <v>50</v>
      </c>
      <c r="H5794" s="6">
        <v>50</v>
      </c>
      <c r="I5794" s="26">
        <f t="shared" si="289"/>
        <v>0</v>
      </c>
      <c r="J5794" s="7" t="str">
        <f t="shared" si="290"/>
        <v>PAGADO</v>
      </c>
    </row>
    <row r="5795" spans="1:13" x14ac:dyDescent="0.25">
      <c r="A5795" s="73">
        <v>46047</v>
      </c>
      <c r="C5795" s="98" t="s">
        <v>695</v>
      </c>
      <c r="D5795" s="9" t="s">
        <v>5469</v>
      </c>
      <c r="F5795" s="6">
        <v>50</v>
      </c>
      <c r="G5795" s="6">
        <f t="shared" si="288"/>
        <v>50</v>
      </c>
      <c r="H5795" s="6">
        <v>50</v>
      </c>
      <c r="I5795" s="26">
        <f t="shared" si="289"/>
        <v>0</v>
      </c>
      <c r="J5795" s="7" t="str">
        <f t="shared" si="290"/>
        <v>PAGADO</v>
      </c>
    </row>
    <row r="5796" spans="1:13" x14ac:dyDescent="0.25">
      <c r="A5796" s="73">
        <v>46048</v>
      </c>
      <c r="C5796" t="s">
        <v>5374</v>
      </c>
      <c r="D5796" t="s">
        <v>2746</v>
      </c>
      <c r="F5796" s="6">
        <v>70</v>
      </c>
      <c r="G5796" s="6">
        <f t="shared" si="288"/>
        <v>70</v>
      </c>
      <c r="H5796" s="6">
        <v>35</v>
      </c>
      <c r="I5796" s="26">
        <f t="shared" si="289"/>
        <v>35</v>
      </c>
      <c r="J5796" s="7" t="str">
        <f t="shared" si="290"/>
        <v>DEBE</v>
      </c>
      <c r="K5796" t="s">
        <v>2754</v>
      </c>
      <c r="M5796" s="8" t="s">
        <v>5375</v>
      </c>
    </row>
    <row r="5797" spans="1:13" x14ac:dyDescent="0.25">
      <c r="A5797" s="73">
        <v>46048</v>
      </c>
      <c r="C5797" t="s">
        <v>5470</v>
      </c>
      <c r="D5797" t="s">
        <v>2746</v>
      </c>
      <c r="F5797" s="6">
        <v>200</v>
      </c>
      <c r="G5797" s="6">
        <f t="shared" si="288"/>
        <v>200</v>
      </c>
      <c r="H5797" s="6">
        <f>100+100</f>
        <v>200</v>
      </c>
      <c r="I5797" s="26">
        <f t="shared" si="289"/>
        <v>0</v>
      </c>
      <c r="J5797" s="7" t="str">
        <f t="shared" si="290"/>
        <v>PAGADO</v>
      </c>
      <c r="K5797" s="33" t="s">
        <v>3819</v>
      </c>
    </row>
    <row r="5798" spans="1:13" x14ac:dyDescent="0.25">
      <c r="A5798" s="73">
        <v>46048</v>
      </c>
      <c r="C5798" t="s">
        <v>4495</v>
      </c>
      <c r="D5798" t="s">
        <v>5471</v>
      </c>
      <c r="F5798" s="6">
        <v>60</v>
      </c>
      <c r="G5798" s="6">
        <f t="shared" si="288"/>
        <v>60</v>
      </c>
      <c r="H5798" s="6">
        <v>60</v>
      </c>
      <c r="I5798" s="26">
        <f t="shared" si="289"/>
        <v>0</v>
      </c>
      <c r="J5798" s="7" t="str">
        <f t="shared" si="290"/>
        <v>PAGADO</v>
      </c>
    </row>
    <row r="5799" spans="1:13" x14ac:dyDescent="0.25">
      <c r="A5799" s="73">
        <v>46048</v>
      </c>
      <c r="C5799" t="s">
        <v>5472</v>
      </c>
      <c r="D5799" t="s">
        <v>5471</v>
      </c>
      <c r="F5799" s="6">
        <v>60</v>
      </c>
      <c r="G5799" s="6">
        <f t="shared" si="288"/>
        <v>60</v>
      </c>
      <c r="H5799" s="6">
        <v>60</v>
      </c>
      <c r="I5799" s="26">
        <f t="shared" si="289"/>
        <v>0</v>
      </c>
      <c r="J5799" s="7" t="str">
        <f t="shared" si="290"/>
        <v>PAGADO</v>
      </c>
    </row>
    <row r="5800" spans="1:13" x14ac:dyDescent="0.25">
      <c r="A5800" s="73">
        <v>46048</v>
      </c>
      <c r="C5800" t="s">
        <v>5473</v>
      </c>
      <c r="D5800" t="s">
        <v>5471</v>
      </c>
      <c r="F5800" s="6">
        <v>60</v>
      </c>
      <c r="G5800" s="6">
        <f t="shared" si="288"/>
        <v>60</v>
      </c>
      <c r="H5800" s="6">
        <v>60</v>
      </c>
      <c r="I5800" s="26">
        <f t="shared" si="289"/>
        <v>0</v>
      </c>
      <c r="J5800" s="7" t="str">
        <f t="shared" si="290"/>
        <v>PAGADO</v>
      </c>
    </row>
    <row r="5801" spans="1:13" x14ac:dyDescent="0.25">
      <c r="A5801" s="73">
        <v>46048</v>
      </c>
      <c r="C5801" s="9" t="s">
        <v>5474</v>
      </c>
      <c r="D5801" s="9" t="s">
        <v>3479</v>
      </c>
      <c r="F5801" s="6">
        <v>50</v>
      </c>
      <c r="G5801" s="6">
        <f t="shared" si="288"/>
        <v>50</v>
      </c>
      <c r="H5801" s="6">
        <f>25+25</f>
        <v>50</v>
      </c>
      <c r="I5801" s="26">
        <f t="shared" si="289"/>
        <v>0</v>
      </c>
      <c r="J5801" s="7" t="str">
        <f t="shared" si="290"/>
        <v>PAGADO</v>
      </c>
    </row>
    <row r="5802" spans="1:13" x14ac:dyDescent="0.25">
      <c r="A5802" s="73">
        <v>46048</v>
      </c>
      <c r="C5802" s="9" t="s">
        <v>5475</v>
      </c>
      <c r="D5802" s="9" t="s">
        <v>5476</v>
      </c>
      <c r="F5802" s="6">
        <v>90</v>
      </c>
      <c r="G5802" s="6">
        <f t="shared" si="288"/>
        <v>90</v>
      </c>
      <c r="H5802" s="6">
        <v>90</v>
      </c>
      <c r="I5802" s="26">
        <f t="shared" si="289"/>
        <v>0</v>
      </c>
      <c r="J5802" s="7" t="str">
        <f t="shared" si="290"/>
        <v>PAGADO</v>
      </c>
    </row>
    <row r="5803" spans="1:13" x14ac:dyDescent="0.25">
      <c r="A5803" s="73">
        <v>46048</v>
      </c>
      <c r="C5803" s="9" t="s">
        <v>5477</v>
      </c>
      <c r="D5803" t="s">
        <v>5211</v>
      </c>
      <c r="F5803" s="6">
        <v>100</v>
      </c>
      <c r="G5803" s="6">
        <f t="shared" si="288"/>
        <v>100</v>
      </c>
      <c r="H5803" s="6">
        <v>100</v>
      </c>
      <c r="I5803" s="26">
        <f t="shared" si="289"/>
        <v>0</v>
      </c>
      <c r="J5803" s="7" t="str">
        <f t="shared" si="290"/>
        <v>PAGADO</v>
      </c>
    </row>
    <row r="5804" spans="1:13" x14ac:dyDescent="0.25">
      <c r="A5804" s="73">
        <v>46048</v>
      </c>
      <c r="C5804" s="119" t="s">
        <v>5478</v>
      </c>
      <c r="D5804" s="98" t="s">
        <v>5164</v>
      </c>
      <c r="F5804" s="6">
        <v>84</v>
      </c>
      <c r="G5804" s="6">
        <f t="shared" si="288"/>
        <v>84</v>
      </c>
      <c r="H5804" s="6">
        <v>84</v>
      </c>
      <c r="I5804" s="26">
        <f t="shared" si="289"/>
        <v>0</v>
      </c>
      <c r="J5804" s="7" t="str">
        <f t="shared" si="290"/>
        <v>PAGADO</v>
      </c>
      <c r="K5804" s="34" t="s">
        <v>2714</v>
      </c>
    </row>
    <row r="5805" spans="1:13" x14ac:dyDescent="0.25">
      <c r="A5805" s="73">
        <v>46048</v>
      </c>
      <c r="C5805" s="9" t="s">
        <v>5479</v>
      </c>
      <c r="D5805" s="9" t="s">
        <v>5480</v>
      </c>
      <c r="F5805" s="6">
        <v>75</v>
      </c>
      <c r="G5805" s="6">
        <f t="shared" si="288"/>
        <v>75</v>
      </c>
      <c r="H5805" s="6">
        <v>75</v>
      </c>
      <c r="I5805" s="26">
        <f t="shared" si="289"/>
        <v>0</v>
      </c>
      <c r="J5805" s="7" t="str">
        <f t="shared" si="290"/>
        <v>PAGADO</v>
      </c>
    </row>
    <row r="5806" spans="1:13" x14ac:dyDescent="0.25">
      <c r="A5806" s="73">
        <v>46048</v>
      </c>
      <c r="C5806" s="9" t="s">
        <v>4967</v>
      </c>
      <c r="D5806" s="9" t="s">
        <v>4263</v>
      </c>
      <c r="F5806" s="6">
        <v>50</v>
      </c>
      <c r="G5806" s="6">
        <f t="shared" si="288"/>
        <v>50</v>
      </c>
      <c r="H5806" s="6">
        <v>50</v>
      </c>
      <c r="I5806" s="26">
        <f t="shared" si="289"/>
        <v>0</v>
      </c>
      <c r="J5806" s="7" t="str">
        <f t="shared" si="290"/>
        <v>PAGADO</v>
      </c>
    </row>
    <row r="5807" spans="1:13" x14ac:dyDescent="0.25">
      <c r="A5807" s="73">
        <v>46048</v>
      </c>
      <c r="C5807" s="9" t="s">
        <v>5481</v>
      </c>
      <c r="D5807" s="9" t="s">
        <v>5482</v>
      </c>
      <c r="F5807" s="6">
        <v>130</v>
      </c>
      <c r="G5807" s="6">
        <f t="shared" si="288"/>
        <v>130</v>
      </c>
      <c r="H5807" s="6">
        <v>130</v>
      </c>
      <c r="I5807" s="26">
        <f t="shared" si="289"/>
        <v>0</v>
      </c>
      <c r="J5807" s="7" t="str">
        <f t="shared" si="290"/>
        <v>PAGADO</v>
      </c>
    </row>
    <row r="5808" spans="1:13" x14ac:dyDescent="0.25">
      <c r="A5808" s="73">
        <v>46048</v>
      </c>
      <c r="C5808" s="9" t="s">
        <v>4495</v>
      </c>
      <c r="D5808" s="9" t="s">
        <v>5483</v>
      </c>
      <c r="F5808" s="6">
        <v>70</v>
      </c>
      <c r="G5808" s="6">
        <f t="shared" si="288"/>
        <v>70</v>
      </c>
      <c r="H5808" s="6">
        <v>70</v>
      </c>
      <c r="I5808" s="26">
        <f t="shared" si="289"/>
        <v>0</v>
      </c>
      <c r="J5808" s="7" t="str">
        <f t="shared" si="290"/>
        <v>PAGADO</v>
      </c>
    </row>
    <row r="5809" spans="1:13" x14ac:dyDescent="0.25">
      <c r="A5809" s="73">
        <v>46048</v>
      </c>
      <c r="C5809" s="9" t="s">
        <v>5224</v>
      </c>
      <c r="D5809" s="9" t="s">
        <v>5484</v>
      </c>
      <c r="F5809" s="6">
        <v>80</v>
      </c>
      <c r="G5809" s="6">
        <f t="shared" si="288"/>
        <v>80</v>
      </c>
      <c r="H5809" s="6">
        <v>80</v>
      </c>
      <c r="I5809" s="26">
        <f t="shared" si="289"/>
        <v>0</v>
      </c>
      <c r="J5809" s="7" t="str">
        <f t="shared" si="290"/>
        <v>PAGADO</v>
      </c>
    </row>
    <row r="5810" spans="1:13" x14ac:dyDescent="0.25">
      <c r="A5810" s="73">
        <v>46048</v>
      </c>
      <c r="C5810" s="9" t="s">
        <v>5404</v>
      </c>
      <c r="D5810" s="9" t="s">
        <v>5485</v>
      </c>
      <c r="F5810" s="6">
        <v>70</v>
      </c>
      <c r="G5810" s="6">
        <f t="shared" si="288"/>
        <v>70</v>
      </c>
      <c r="H5810" s="6">
        <v>70</v>
      </c>
      <c r="I5810" s="26">
        <f t="shared" si="289"/>
        <v>0</v>
      </c>
      <c r="J5810" s="7" t="str">
        <f t="shared" si="290"/>
        <v>PAGADO</v>
      </c>
    </row>
    <row r="5811" spans="1:13" x14ac:dyDescent="0.25">
      <c r="A5811" s="73">
        <v>46049</v>
      </c>
      <c r="C5811" s="9" t="s">
        <v>3811</v>
      </c>
      <c r="D5811" s="9" t="s">
        <v>5486</v>
      </c>
      <c r="F5811" s="6">
        <v>80</v>
      </c>
      <c r="G5811" s="6">
        <f t="shared" si="288"/>
        <v>80</v>
      </c>
      <c r="H5811" s="6">
        <v>80</v>
      </c>
      <c r="I5811" s="26">
        <f t="shared" si="289"/>
        <v>0</v>
      </c>
      <c r="J5811" s="7" t="str">
        <f t="shared" si="290"/>
        <v>PAGADO</v>
      </c>
    </row>
    <row r="5812" spans="1:13" x14ac:dyDescent="0.25">
      <c r="A5812" s="73">
        <v>46049</v>
      </c>
      <c r="C5812" s="9" t="s">
        <v>4992</v>
      </c>
      <c r="D5812" s="9" t="s">
        <v>5487</v>
      </c>
      <c r="F5812" s="6">
        <v>60</v>
      </c>
      <c r="G5812" s="6">
        <f t="shared" si="288"/>
        <v>60</v>
      </c>
      <c r="H5812" s="6">
        <f>30+30</f>
        <v>60</v>
      </c>
      <c r="I5812" s="26">
        <f t="shared" si="289"/>
        <v>0</v>
      </c>
      <c r="J5812" s="7" t="str">
        <f t="shared" si="290"/>
        <v>PAGADO</v>
      </c>
      <c r="K5812" s="33" t="s">
        <v>3819</v>
      </c>
    </row>
    <row r="5813" spans="1:13" x14ac:dyDescent="0.25">
      <c r="A5813" s="73">
        <v>46049</v>
      </c>
      <c r="C5813" s="9" t="s">
        <v>5488</v>
      </c>
      <c r="D5813" s="9" t="s">
        <v>3653</v>
      </c>
      <c r="F5813" s="6">
        <v>12</v>
      </c>
      <c r="G5813" s="6">
        <f t="shared" si="288"/>
        <v>12</v>
      </c>
      <c r="H5813" s="6">
        <v>12</v>
      </c>
      <c r="I5813" s="26">
        <f t="shared" si="289"/>
        <v>0</v>
      </c>
      <c r="J5813" s="7" t="str">
        <f t="shared" si="290"/>
        <v>PAGADO</v>
      </c>
      <c r="K5813" s="33" t="s">
        <v>3506</v>
      </c>
    </row>
    <row r="5814" spans="1:13" x14ac:dyDescent="0.25">
      <c r="A5814" s="73">
        <v>46049</v>
      </c>
      <c r="C5814" s="9" t="s">
        <v>5489</v>
      </c>
      <c r="D5814" s="9" t="s">
        <v>18</v>
      </c>
      <c r="F5814" s="6">
        <v>60</v>
      </c>
      <c r="G5814" s="6">
        <f t="shared" si="288"/>
        <v>60</v>
      </c>
      <c r="H5814" s="6">
        <v>45</v>
      </c>
      <c r="I5814" s="26">
        <f t="shared" si="289"/>
        <v>15</v>
      </c>
      <c r="J5814" s="7" t="str">
        <f t="shared" si="290"/>
        <v>DEBE</v>
      </c>
    </row>
    <row r="5815" spans="1:13" x14ac:dyDescent="0.25">
      <c r="A5815" s="73">
        <v>46049</v>
      </c>
      <c r="C5815" s="9" t="s">
        <v>5490</v>
      </c>
      <c r="D5815" s="9" t="s">
        <v>18</v>
      </c>
      <c r="F5815" s="6">
        <v>25</v>
      </c>
      <c r="G5815" s="6">
        <f t="shared" si="288"/>
        <v>25</v>
      </c>
      <c r="H5815" s="6">
        <v>0</v>
      </c>
      <c r="I5815" s="26">
        <f t="shared" si="289"/>
        <v>25</v>
      </c>
      <c r="J5815" s="7" t="str">
        <f t="shared" si="290"/>
        <v>DEBE</v>
      </c>
    </row>
    <row r="5816" spans="1:13" x14ac:dyDescent="0.25">
      <c r="A5816" s="73">
        <v>46049</v>
      </c>
      <c r="C5816" s="9" t="s">
        <v>5491</v>
      </c>
      <c r="D5816" s="9" t="s">
        <v>18</v>
      </c>
      <c r="F5816" s="6">
        <v>60</v>
      </c>
      <c r="G5816" s="6">
        <f t="shared" si="288"/>
        <v>60</v>
      </c>
      <c r="H5816" s="6">
        <v>60</v>
      </c>
      <c r="I5816" s="26">
        <f t="shared" si="289"/>
        <v>0</v>
      </c>
      <c r="J5816" s="7" t="str">
        <f t="shared" si="290"/>
        <v>PAGADO</v>
      </c>
    </row>
    <row r="5817" spans="1:13" x14ac:dyDescent="0.25">
      <c r="A5817" s="73">
        <v>46049</v>
      </c>
      <c r="C5817" s="9" t="s">
        <v>5492</v>
      </c>
      <c r="D5817" s="9" t="s">
        <v>3213</v>
      </c>
      <c r="F5817" s="6">
        <v>100</v>
      </c>
      <c r="G5817" s="6">
        <f t="shared" si="288"/>
        <v>100</v>
      </c>
      <c r="H5817" s="6">
        <v>100</v>
      </c>
      <c r="I5817" s="26">
        <f t="shared" si="289"/>
        <v>0</v>
      </c>
      <c r="J5817" s="7" t="str">
        <f t="shared" si="290"/>
        <v>PAGADO</v>
      </c>
      <c r="K5817" s="28" t="s">
        <v>2714</v>
      </c>
    </row>
    <row r="5818" spans="1:13" x14ac:dyDescent="0.25">
      <c r="A5818" s="73">
        <v>46049</v>
      </c>
      <c r="C5818" s="9" t="s">
        <v>1817</v>
      </c>
      <c r="D5818" s="9" t="s">
        <v>5493</v>
      </c>
      <c r="F5818" s="6">
        <v>70</v>
      </c>
      <c r="G5818" s="6">
        <f t="shared" si="288"/>
        <v>70</v>
      </c>
      <c r="H5818" s="6">
        <v>70</v>
      </c>
      <c r="I5818" s="26">
        <f t="shared" si="289"/>
        <v>0</v>
      </c>
      <c r="J5818" s="7" t="str">
        <f t="shared" si="290"/>
        <v>PAGADO</v>
      </c>
      <c r="K5818" s="9" t="s">
        <v>2712</v>
      </c>
    </row>
    <row r="5819" spans="1:13" x14ac:dyDescent="0.25">
      <c r="A5819" s="73">
        <v>46049</v>
      </c>
      <c r="C5819" s="9" t="s">
        <v>2224</v>
      </c>
      <c r="D5819" s="9" t="s">
        <v>5494</v>
      </c>
      <c r="F5819" s="6">
        <v>80</v>
      </c>
      <c r="G5819" s="6">
        <f t="shared" si="288"/>
        <v>80</v>
      </c>
      <c r="H5819" s="6">
        <v>80</v>
      </c>
      <c r="I5819" s="26">
        <f t="shared" si="289"/>
        <v>0</v>
      </c>
      <c r="J5819" s="7" t="str">
        <f t="shared" si="290"/>
        <v>PAGADO</v>
      </c>
    </row>
    <row r="5820" spans="1:13" x14ac:dyDescent="0.25">
      <c r="A5820" s="73">
        <v>46049</v>
      </c>
      <c r="C5820" s="9" t="s">
        <v>5495</v>
      </c>
      <c r="D5820" s="9" t="s">
        <v>5496</v>
      </c>
      <c r="F5820" s="6">
        <v>12</v>
      </c>
      <c r="G5820" s="6">
        <f t="shared" si="288"/>
        <v>12</v>
      </c>
      <c r="H5820" s="6">
        <v>12</v>
      </c>
      <c r="I5820" s="26">
        <f t="shared" si="289"/>
        <v>0</v>
      </c>
      <c r="J5820" s="7" t="str">
        <f t="shared" si="290"/>
        <v>PAGADO</v>
      </c>
      <c r="K5820" t="s">
        <v>2714</v>
      </c>
    </row>
    <row r="5821" spans="1:13" x14ac:dyDescent="0.25">
      <c r="A5821" s="73">
        <v>46050</v>
      </c>
      <c r="C5821" s="9" t="s">
        <v>5437</v>
      </c>
      <c r="D5821" t="s">
        <v>5207</v>
      </c>
      <c r="F5821" s="6">
        <v>90</v>
      </c>
      <c r="G5821" s="6">
        <f t="shared" si="288"/>
        <v>90</v>
      </c>
      <c r="H5821" s="6">
        <v>45</v>
      </c>
      <c r="I5821" s="26">
        <f t="shared" si="289"/>
        <v>45</v>
      </c>
      <c r="J5821" s="7" t="str">
        <f t="shared" si="290"/>
        <v>DEBE</v>
      </c>
      <c r="K5821" s="33" t="s">
        <v>2754</v>
      </c>
      <c r="M5821" s="8" t="s">
        <v>5438</v>
      </c>
    </row>
    <row r="5822" spans="1:13" x14ac:dyDescent="0.25">
      <c r="A5822" s="73">
        <v>46050</v>
      </c>
      <c r="C5822" s="9" t="s">
        <v>5497</v>
      </c>
      <c r="D5822" s="9" t="s">
        <v>3728</v>
      </c>
      <c r="F5822" s="6">
        <v>600</v>
      </c>
      <c r="G5822" s="6">
        <f t="shared" ref="G5822:G5885" si="291">F5822-E5822</f>
        <v>600</v>
      </c>
      <c r="H5822" s="6">
        <f>300+300</f>
        <v>600</v>
      </c>
      <c r="I5822" s="26">
        <f t="shared" si="289"/>
        <v>0</v>
      </c>
      <c r="J5822" s="7" t="str">
        <f t="shared" si="290"/>
        <v>PAGADO</v>
      </c>
    </row>
    <row r="5823" spans="1:13" x14ac:dyDescent="0.25">
      <c r="A5823" s="73">
        <v>46050</v>
      </c>
      <c r="C5823" s="9" t="s">
        <v>5498</v>
      </c>
      <c r="D5823" s="9" t="s">
        <v>5496</v>
      </c>
      <c r="F5823" s="6">
        <f>5*13</f>
        <v>65</v>
      </c>
      <c r="G5823" s="6">
        <f t="shared" si="291"/>
        <v>65</v>
      </c>
      <c r="H5823" s="6">
        <f>15+15+35</f>
        <v>65</v>
      </c>
      <c r="I5823" s="26">
        <f t="shared" si="289"/>
        <v>0</v>
      </c>
      <c r="J5823" s="7" t="str">
        <f t="shared" si="290"/>
        <v>PAGADO</v>
      </c>
      <c r="K5823" s="9" t="s">
        <v>2712</v>
      </c>
    </row>
    <row r="5824" spans="1:13" x14ac:dyDescent="0.25">
      <c r="A5824" s="73">
        <v>46050</v>
      </c>
      <c r="C5824" s="98" t="s">
        <v>5499</v>
      </c>
      <c r="D5824" s="98" t="s">
        <v>1523</v>
      </c>
      <c r="E5824" s="99"/>
      <c r="F5824" s="101">
        <v>210</v>
      </c>
      <c r="G5824" s="101">
        <f t="shared" si="291"/>
        <v>210</v>
      </c>
      <c r="H5824" s="113">
        <v>210</v>
      </c>
      <c r="I5824" s="100">
        <f t="shared" si="289"/>
        <v>0</v>
      </c>
      <c r="J5824" s="7" t="str">
        <f t="shared" si="290"/>
        <v>PAGADO</v>
      </c>
      <c r="K5824" s="34" t="s">
        <v>5500</v>
      </c>
    </row>
    <row r="5825" spans="1:13" x14ac:dyDescent="0.25">
      <c r="A5825" s="73">
        <v>46050</v>
      </c>
      <c r="C5825" s="9" t="s">
        <v>5501</v>
      </c>
      <c r="D5825" s="9" t="s">
        <v>3444</v>
      </c>
      <c r="F5825" s="6">
        <v>80</v>
      </c>
      <c r="G5825" s="6">
        <f t="shared" si="291"/>
        <v>80</v>
      </c>
      <c r="H5825" s="6">
        <v>80</v>
      </c>
      <c r="I5825" s="26">
        <f t="shared" si="289"/>
        <v>0</v>
      </c>
      <c r="J5825" s="7" t="str">
        <f t="shared" si="290"/>
        <v>PAGADO</v>
      </c>
      <c r="K5825" s="33" t="s">
        <v>3819</v>
      </c>
    </row>
    <row r="5826" spans="1:13" x14ac:dyDescent="0.25">
      <c r="A5826" s="73">
        <v>46050</v>
      </c>
      <c r="C5826" s="9" t="s">
        <v>5502</v>
      </c>
      <c r="D5826" s="9" t="s">
        <v>3444</v>
      </c>
      <c r="F5826" s="6">
        <v>180</v>
      </c>
      <c r="G5826" s="6">
        <f t="shared" si="291"/>
        <v>180</v>
      </c>
      <c r="H5826" s="6">
        <v>180</v>
      </c>
      <c r="I5826" s="26">
        <f t="shared" si="289"/>
        <v>0</v>
      </c>
      <c r="J5826" s="7" t="str">
        <f t="shared" si="290"/>
        <v>PAGADO</v>
      </c>
      <c r="K5826" s="33" t="s">
        <v>3819</v>
      </c>
    </row>
    <row r="5827" spans="1:13" x14ac:dyDescent="0.25">
      <c r="A5827" s="73">
        <v>46050</v>
      </c>
      <c r="C5827" s="9" t="s">
        <v>3811</v>
      </c>
      <c r="D5827" s="9" t="s">
        <v>5503</v>
      </c>
      <c r="F5827" s="6">
        <v>80</v>
      </c>
      <c r="G5827" s="6">
        <f t="shared" si="291"/>
        <v>80</v>
      </c>
      <c r="H5827" s="6">
        <v>80</v>
      </c>
      <c r="I5827" s="26">
        <f t="shared" si="289"/>
        <v>0</v>
      </c>
      <c r="J5827" s="7" t="str">
        <f t="shared" si="290"/>
        <v>PAGADO</v>
      </c>
    </row>
    <row r="5828" spans="1:13" x14ac:dyDescent="0.25">
      <c r="A5828" s="73">
        <v>46050</v>
      </c>
      <c r="C5828" s="9" t="s">
        <v>5504</v>
      </c>
      <c r="D5828" s="9" t="s">
        <v>5505</v>
      </c>
      <c r="F5828" s="6">
        <v>65</v>
      </c>
      <c r="G5828" s="6">
        <f t="shared" si="291"/>
        <v>65</v>
      </c>
      <c r="H5828" s="6">
        <f>32.5+32.5</f>
        <v>65</v>
      </c>
      <c r="I5828" s="26">
        <f t="shared" si="289"/>
        <v>0</v>
      </c>
      <c r="J5828" s="7" t="str">
        <f t="shared" si="290"/>
        <v>PAGADO</v>
      </c>
      <c r="K5828" s="9" t="s">
        <v>2712</v>
      </c>
    </row>
    <row r="5829" spans="1:13" x14ac:dyDescent="0.25">
      <c r="A5829" s="73">
        <v>46050</v>
      </c>
      <c r="C5829" s="9" t="s">
        <v>4343</v>
      </c>
      <c r="D5829" s="9" t="s">
        <v>5494</v>
      </c>
      <c r="F5829" s="6">
        <v>100</v>
      </c>
      <c r="G5829" s="6">
        <f t="shared" si="291"/>
        <v>100</v>
      </c>
      <c r="H5829" s="6">
        <f>50+50</f>
        <v>100</v>
      </c>
      <c r="I5829" s="26">
        <f t="shared" si="289"/>
        <v>0</v>
      </c>
      <c r="J5829" s="7" t="str">
        <f t="shared" si="290"/>
        <v>PAGADO</v>
      </c>
    </row>
    <row r="5830" spans="1:13" x14ac:dyDescent="0.25">
      <c r="A5830" s="73">
        <v>46050</v>
      </c>
      <c r="C5830" s="9" t="s">
        <v>5506</v>
      </c>
      <c r="D5830" t="s">
        <v>2058</v>
      </c>
      <c r="F5830" s="6">
        <v>290</v>
      </c>
      <c r="G5830" s="6">
        <f t="shared" si="291"/>
        <v>290</v>
      </c>
      <c r="H5830" s="6">
        <v>290</v>
      </c>
      <c r="I5830" s="26">
        <f t="shared" si="289"/>
        <v>0</v>
      </c>
      <c r="J5830" s="7" t="str">
        <f t="shared" si="290"/>
        <v>PAGADO</v>
      </c>
      <c r="K5830" s="9" t="s">
        <v>3506</v>
      </c>
    </row>
    <row r="5831" spans="1:13" x14ac:dyDescent="0.25">
      <c r="A5831" s="73">
        <v>46050</v>
      </c>
      <c r="C5831" s="9" t="s">
        <v>4992</v>
      </c>
      <c r="D5831" s="9" t="s">
        <v>5483</v>
      </c>
      <c r="F5831" s="6">
        <v>60</v>
      </c>
      <c r="G5831" s="6">
        <f t="shared" si="291"/>
        <v>60</v>
      </c>
      <c r="H5831" s="6">
        <f>30+30</f>
        <v>60</v>
      </c>
      <c r="I5831" s="26">
        <f t="shared" si="289"/>
        <v>0</v>
      </c>
      <c r="J5831" s="7" t="str">
        <f t="shared" si="290"/>
        <v>PAGADO</v>
      </c>
      <c r="K5831" s="33" t="s">
        <v>3819</v>
      </c>
    </row>
    <row r="5832" spans="1:13" x14ac:dyDescent="0.25">
      <c r="A5832" s="73">
        <v>46050</v>
      </c>
      <c r="C5832" s="9" t="s">
        <v>5507</v>
      </c>
      <c r="D5832" s="9" t="s">
        <v>5483</v>
      </c>
      <c r="F5832" s="6">
        <v>80</v>
      </c>
      <c r="G5832" s="6">
        <f t="shared" si="291"/>
        <v>80</v>
      </c>
      <c r="H5832" s="6">
        <f>40+40</f>
        <v>80</v>
      </c>
      <c r="I5832" s="26">
        <f t="shared" si="289"/>
        <v>0</v>
      </c>
      <c r="J5832" s="7" t="str">
        <f t="shared" si="290"/>
        <v>PAGADO</v>
      </c>
      <c r="K5832" s="33" t="s">
        <v>3819</v>
      </c>
    </row>
    <row r="5833" spans="1:13" x14ac:dyDescent="0.25">
      <c r="A5833" s="73">
        <v>46050</v>
      </c>
      <c r="C5833" s="9" t="s">
        <v>4634</v>
      </c>
      <c r="D5833" s="9" t="s">
        <v>3434</v>
      </c>
      <c r="F5833" s="6">
        <v>180</v>
      </c>
      <c r="G5833" s="6">
        <f t="shared" si="291"/>
        <v>180</v>
      </c>
      <c r="H5833" s="6">
        <f>90+90</f>
        <v>180</v>
      </c>
      <c r="I5833" s="26">
        <f t="shared" si="289"/>
        <v>0</v>
      </c>
      <c r="J5833" s="7" t="str">
        <f t="shared" si="290"/>
        <v>PAGADO</v>
      </c>
      <c r="K5833" s="9" t="s">
        <v>3819</v>
      </c>
    </row>
    <row r="5834" spans="1:13" x14ac:dyDescent="0.25">
      <c r="A5834" s="73">
        <v>46050</v>
      </c>
      <c r="C5834" s="9" t="s">
        <v>5508</v>
      </c>
      <c r="D5834" s="9" t="s">
        <v>3434</v>
      </c>
      <c r="F5834" s="6">
        <v>150</v>
      </c>
      <c r="G5834" s="6">
        <f t="shared" si="291"/>
        <v>150</v>
      </c>
      <c r="H5834" s="6">
        <v>75</v>
      </c>
      <c r="I5834" s="26">
        <f t="shared" si="289"/>
        <v>75</v>
      </c>
      <c r="J5834" s="7" t="str">
        <f t="shared" si="290"/>
        <v>DEBE</v>
      </c>
      <c r="K5834" s="33" t="s">
        <v>2754</v>
      </c>
      <c r="M5834" s="8" t="s">
        <v>5296</v>
      </c>
    </row>
    <row r="5835" spans="1:13" x14ac:dyDescent="0.25">
      <c r="A5835" s="73">
        <v>46050</v>
      </c>
      <c r="C5835" s="9" t="s">
        <v>5509</v>
      </c>
      <c r="D5835" s="9" t="s">
        <v>5505</v>
      </c>
      <c r="F5835" s="6">
        <v>55</v>
      </c>
      <c r="G5835" s="6">
        <f t="shared" si="291"/>
        <v>55</v>
      </c>
      <c r="H5835" s="6">
        <f>10+45</f>
        <v>55</v>
      </c>
      <c r="I5835" s="26">
        <f t="shared" ref="I5835:I5898" si="292">F5835-H5835</f>
        <v>0</v>
      </c>
      <c r="J5835" s="7" t="str">
        <f t="shared" si="290"/>
        <v>PAGADO</v>
      </c>
      <c r="K5835" s="9"/>
    </row>
    <row r="5836" spans="1:13" x14ac:dyDescent="0.25">
      <c r="A5836" s="73">
        <v>46050</v>
      </c>
      <c r="C5836" s="9" t="s">
        <v>5510</v>
      </c>
      <c r="D5836" s="9" t="s">
        <v>3434</v>
      </c>
      <c r="F5836" s="6">
        <v>190</v>
      </c>
      <c r="G5836" s="6">
        <f t="shared" si="291"/>
        <v>190</v>
      </c>
      <c r="H5836" s="6">
        <v>95</v>
      </c>
      <c r="I5836" s="26">
        <f t="shared" si="292"/>
        <v>95</v>
      </c>
      <c r="J5836" s="7" t="str">
        <f t="shared" si="290"/>
        <v>DEBE</v>
      </c>
      <c r="K5836" s="9" t="s">
        <v>5511</v>
      </c>
    </row>
    <row r="5837" spans="1:13" x14ac:dyDescent="0.25">
      <c r="A5837" s="73">
        <v>46051</v>
      </c>
      <c r="C5837" s="98" t="s">
        <v>5512</v>
      </c>
      <c r="D5837" s="119" t="s">
        <v>2018</v>
      </c>
      <c r="F5837" s="6">
        <v>60</v>
      </c>
      <c r="G5837" s="6">
        <f t="shared" si="291"/>
        <v>60</v>
      </c>
      <c r="H5837" s="6">
        <v>60</v>
      </c>
      <c r="I5837" s="26">
        <f t="shared" si="292"/>
        <v>0</v>
      </c>
      <c r="J5837" s="7" t="str">
        <f t="shared" si="290"/>
        <v>PAGADO</v>
      </c>
      <c r="K5837" s="34" t="s">
        <v>2714</v>
      </c>
    </row>
    <row r="5838" spans="1:13" x14ac:dyDescent="0.25">
      <c r="A5838" s="73">
        <v>46051</v>
      </c>
      <c r="C5838" t="s">
        <v>5513</v>
      </c>
      <c r="D5838" s="9" t="s">
        <v>5138</v>
      </c>
      <c r="F5838" s="6">
        <v>25</v>
      </c>
      <c r="G5838" s="6">
        <f t="shared" si="291"/>
        <v>25</v>
      </c>
      <c r="H5838" s="6">
        <v>25</v>
      </c>
      <c r="I5838" s="26">
        <f t="shared" si="292"/>
        <v>0</v>
      </c>
      <c r="J5838" s="7" t="str">
        <f t="shared" si="290"/>
        <v>PAGADO</v>
      </c>
      <c r="K5838" t="s">
        <v>5514</v>
      </c>
    </row>
    <row r="5839" spans="1:13" x14ac:dyDescent="0.25">
      <c r="A5839" s="73">
        <v>46051</v>
      </c>
      <c r="C5839" t="s">
        <v>5515</v>
      </c>
      <c r="D5839" s="9" t="s">
        <v>583</v>
      </c>
      <c r="F5839" s="6">
        <v>70</v>
      </c>
      <c r="G5839" s="6">
        <f t="shared" si="291"/>
        <v>70</v>
      </c>
      <c r="H5839" s="6">
        <v>60</v>
      </c>
      <c r="I5839" s="6">
        <f t="shared" si="292"/>
        <v>10</v>
      </c>
      <c r="J5839" s="7" t="str">
        <f t="shared" ref="J5839:J5902" si="293">IF(I5839&gt;0,"DEBE","PAGADO")</f>
        <v>DEBE</v>
      </c>
      <c r="K5839" t="s">
        <v>2754</v>
      </c>
      <c r="M5839" s="8" t="s">
        <v>5277</v>
      </c>
    </row>
    <row r="5840" spans="1:13" x14ac:dyDescent="0.25">
      <c r="A5840" s="73">
        <v>46051</v>
      </c>
      <c r="C5840" t="s">
        <v>5516</v>
      </c>
      <c r="D5840" s="9" t="s">
        <v>583</v>
      </c>
      <c r="F5840" s="6">
        <v>60</v>
      </c>
      <c r="G5840" s="6">
        <f t="shared" si="291"/>
        <v>60</v>
      </c>
      <c r="H5840" s="6">
        <v>30</v>
      </c>
      <c r="I5840" s="6">
        <f t="shared" si="292"/>
        <v>30</v>
      </c>
      <c r="J5840" s="7" t="str">
        <f t="shared" si="293"/>
        <v>DEBE</v>
      </c>
      <c r="K5840" t="s">
        <v>2754</v>
      </c>
      <c r="M5840" s="8" t="s">
        <v>5260</v>
      </c>
    </row>
    <row r="5841" spans="1:13" x14ac:dyDescent="0.25">
      <c r="A5841" s="73">
        <v>46051</v>
      </c>
      <c r="C5841" t="s">
        <v>5517</v>
      </c>
      <c r="D5841" s="9" t="s">
        <v>583</v>
      </c>
      <c r="F5841" s="6">
        <v>60</v>
      </c>
      <c r="G5841" s="6">
        <f t="shared" si="291"/>
        <v>60</v>
      </c>
      <c r="H5841" s="6">
        <v>30</v>
      </c>
      <c r="I5841" s="6">
        <f t="shared" si="292"/>
        <v>30</v>
      </c>
      <c r="J5841" s="7" t="str">
        <f t="shared" si="293"/>
        <v>DEBE</v>
      </c>
      <c r="K5841" t="s">
        <v>2754</v>
      </c>
      <c r="M5841" s="8" t="s">
        <v>5350</v>
      </c>
    </row>
    <row r="5842" spans="1:13" x14ac:dyDescent="0.25">
      <c r="A5842" s="73">
        <v>46051</v>
      </c>
      <c r="C5842" s="9" t="s">
        <v>3545</v>
      </c>
      <c r="D5842" s="9" t="s">
        <v>2105</v>
      </c>
      <c r="F5842" s="6">
        <v>75</v>
      </c>
      <c r="G5842" s="6">
        <f t="shared" si="291"/>
        <v>75</v>
      </c>
      <c r="H5842" s="6">
        <v>40</v>
      </c>
      <c r="I5842" s="26">
        <f t="shared" si="292"/>
        <v>35</v>
      </c>
      <c r="J5842" s="7" t="str">
        <f t="shared" si="293"/>
        <v>DEBE</v>
      </c>
      <c r="K5842" s="33" t="s">
        <v>2754</v>
      </c>
      <c r="M5842" s="8" t="s">
        <v>5518</v>
      </c>
    </row>
    <row r="5843" spans="1:13" x14ac:dyDescent="0.25">
      <c r="A5843" s="73">
        <v>46051</v>
      </c>
      <c r="C5843" t="s">
        <v>5519</v>
      </c>
      <c r="D5843" s="9" t="s">
        <v>4163</v>
      </c>
      <c r="F5843" s="6">
        <v>80</v>
      </c>
      <c r="G5843" s="6">
        <f t="shared" si="291"/>
        <v>80</v>
      </c>
      <c r="H5843" s="6">
        <v>42.5</v>
      </c>
      <c r="I5843" s="26">
        <f t="shared" si="292"/>
        <v>37.5</v>
      </c>
      <c r="J5843" s="7" t="str">
        <f t="shared" si="293"/>
        <v>DEBE</v>
      </c>
      <c r="K5843" s="33" t="s">
        <v>2754</v>
      </c>
      <c r="M5843" s="8" t="s">
        <v>5520</v>
      </c>
    </row>
    <row r="5844" spans="1:13" x14ac:dyDescent="0.25">
      <c r="A5844" s="73">
        <v>46051</v>
      </c>
      <c r="C5844" t="s">
        <v>5521</v>
      </c>
      <c r="D5844" s="9" t="s">
        <v>4163</v>
      </c>
      <c r="F5844" s="6">
        <v>80</v>
      </c>
      <c r="G5844" s="6">
        <f t="shared" si="291"/>
        <v>80</v>
      </c>
      <c r="H5844" s="6">
        <v>42.5</v>
      </c>
      <c r="I5844" s="26">
        <f t="shared" si="292"/>
        <v>37.5</v>
      </c>
      <c r="J5844" s="7" t="str">
        <f t="shared" si="293"/>
        <v>DEBE</v>
      </c>
      <c r="K5844" s="33" t="s">
        <v>2754</v>
      </c>
      <c r="M5844" s="8" t="s">
        <v>5520</v>
      </c>
    </row>
    <row r="5845" spans="1:13" x14ac:dyDescent="0.25">
      <c r="A5845" s="73">
        <v>46051</v>
      </c>
      <c r="C5845" s="98" t="s">
        <v>5012</v>
      </c>
      <c r="D5845" s="98" t="s">
        <v>4881</v>
      </c>
      <c r="E5845" s="99"/>
      <c r="F5845" s="101">
        <v>90</v>
      </c>
      <c r="G5845" s="101">
        <f t="shared" si="291"/>
        <v>90</v>
      </c>
      <c r="H5845" s="101">
        <v>90</v>
      </c>
      <c r="I5845" s="121">
        <f t="shared" si="292"/>
        <v>0</v>
      </c>
      <c r="J5845" s="7" t="str">
        <f t="shared" si="293"/>
        <v>PAGADO</v>
      </c>
      <c r="K5845" s="33" t="s">
        <v>3819</v>
      </c>
    </row>
    <row r="5846" spans="1:13" x14ac:dyDescent="0.25">
      <c r="A5846" s="73">
        <v>46051</v>
      </c>
      <c r="C5846" s="98" t="s">
        <v>5522</v>
      </c>
      <c r="D5846" s="98" t="s">
        <v>4881</v>
      </c>
      <c r="E5846" s="99"/>
      <c r="F5846" s="101">
        <v>90</v>
      </c>
      <c r="G5846" s="101">
        <f t="shared" si="291"/>
        <v>90</v>
      </c>
      <c r="H5846" s="101">
        <v>90</v>
      </c>
      <c r="I5846" s="121">
        <f t="shared" si="292"/>
        <v>0</v>
      </c>
      <c r="J5846" s="7" t="str">
        <f t="shared" si="293"/>
        <v>PAGADO</v>
      </c>
      <c r="K5846" s="33" t="s">
        <v>3819</v>
      </c>
    </row>
    <row r="5847" spans="1:13" x14ac:dyDescent="0.25">
      <c r="A5847" s="73">
        <v>46051</v>
      </c>
      <c r="C5847" s="9" t="s">
        <v>5523</v>
      </c>
      <c r="D5847" s="9" t="s">
        <v>3653</v>
      </c>
      <c r="F5847" s="6">
        <v>150</v>
      </c>
      <c r="G5847" s="6">
        <f t="shared" si="291"/>
        <v>150</v>
      </c>
      <c r="H5847" s="6">
        <v>75</v>
      </c>
      <c r="I5847" s="26">
        <f t="shared" si="292"/>
        <v>75</v>
      </c>
      <c r="J5847" s="7" t="str">
        <f t="shared" si="293"/>
        <v>DEBE</v>
      </c>
      <c r="K5847" s="33" t="s">
        <v>2754</v>
      </c>
      <c r="M5847" s="8" t="s">
        <v>5524</v>
      </c>
    </row>
    <row r="5848" spans="1:13" x14ac:dyDescent="0.25">
      <c r="A5848" s="73">
        <v>46051</v>
      </c>
      <c r="C5848" s="119" t="s">
        <v>5525</v>
      </c>
      <c r="D5848" s="98" t="s">
        <v>5164</v>
      </c>
      <c r="F5848" s="6">
        <v>55</v>
      </c>
      <c r="G5848" s="6">
        <f t="shared" si="291"/>
        <v>55</v>
      </c>
      <c r="H5848" s="6">
        <v>27.5</v>
      </c>
      <c r="I5848" s="26">
        <f t="shared" si="292"/>
        <v>27.5</v>
      </c>
      <c r="J5848" s="7" t="str">
        <f t="shared" si="293"/>
        <v>DEBE</v>
      </c>
      <c r="K5848" s="34" t="s">
        <v>5514</v>
      </c>
    </row>
    <row r="5849" spans="1:13" x14ac:dyDescent="0.25">
      <c r="A5849" s="73">
        <v>46052</v>
      </c>
      <c r="C5849" s="119" t="s">
        <v>5526</v>
      </c>
      <c r="D5849" s="98" t="s">
        <v>5164</v>
      </c>
      <c r="F5849" s="6">
        <v>25</v>
      </c>
      <c r="G5849" s="6">
        <f t="shared" si="291"/>
        <v>25</v>
      </c>
      <c r="H5849" s="6">
        <v>25</v>
      </c>
      <c r="I5849" s="26">
        <f t="shared" si="292"/>
        <v>0</v>
      </c>
      <c r="J5849" s="7" t="str">
        <f t="shared" si="293"/>
        <v>PAGADO</v>
      </c>
      <c r="K5849" s="34" t="s">
        <v>5514</v>
      </c>
    </row>
    <row r="5850" spans="1:13" x14ac:dyDescent="0.25">
      <c r="A5850" s="73">
        <v>46052</v>
      </c>
      <c r="C5850" s="119" t="s">
        <v>4317</v>
      </c>
      <c r="D5850" t="s">
        <v>5527</v>
      </c>
      <c r="F5850" s="6">
        <v>80</v>
      </c>
      <c r="G5850" s="6">
        <f t="shared" si="291"/>
        <v>80</v>
      </c>
      <c r="H5850" s="6">
        <v>80</v>
      </c>
      <c r="I5850" s="26">
        <f t="shared" si="292"/>
        <v>0</v>
      </c>
      <c r="J5850" s="7" t="str">
        <f t="shared" si="293"/>
        <v>PAGADO</v>
      </c>
    </row>
    <row r="5851" spans="1:13" x14ac:dyDescent="0.25">
      <c r="A5851" s="73">
        <v>46052</v>
      </c>
      <c r="C5851" s="119" t="s">
        <v>5528</v>
      </c>
      <c r="D5851" s="119" t="s">
        <v>5529</v>
      </c>
      <c r="F5851" s="6">
        <v>15</v>
      </c>
      <c r="G5851" s="6">
        <f t="shared" si="291"/>
        <v>15</v>
      </c>
      <c r="H5851" s="6">
        <v>15</v>
      </c>
      <c r="I5851" s="26">
        <f t="shared" si="292"/>
        <v>0</v>
      </c>
      <c r="J5851" s="7" t="str">
        <f t="shared" si="293"/>
        <v>PAGADO</v>
      </c>
    </row>
    <row r="5852" spans="1:13" x14ac:dyDescent="0.25">
      <c r="A5852" s="73">
        <v>46052</v>
      </c>
      <c r="C5852" s="119" t="s">
        <v>5530</v>
      </c>
      <c r="D5852" s="9" t="s">
        <v>5434</v>
      </c>
      <c r="F5852" s="6">
        <v>30</v>
      </c>
      <c r="G5852" s="6">
        <f t="shared" si="291"/>
        <v>30</v>
      </c>
      <c r="H5852" s="6">
        <v>30</v>
      </c>
      <c r="I5852" s="26">
        <f t="shared" si="292"/>
        <v>0</v>
      </c>
      <c r="J5852" s="7" t="str">
        <f t="shared" si="293"/>
        <v>PAGADO</v>
      </c>
    </row>
    <row r="5853" spans="1:13" x14ac:dyDescent="0.25">
      <c r="A5853" s="73">
        <v>46052</v>
      </c>
      <c r="C5853" s="119" t="s">
        <v>5531</v>
      </c>
      <c r="D5853" s="9" t="s">
        <v>5434</v>
      </c>
      <c r="F5853" s="6">
        <v>160</v>
      </c>
      <c r="G5853" s="6">
        <f t="shared" si="291"/>
        <v>160</v>
      </c>
      <c r="H5853" s="6">
        <f>80+80</f>
        <v>160</v>
      </c>
      <c r="I5853" s="26">
        <f t="shared" si="292"/>
        <v>0</v>
      </c>
      <c r="J5853" s="7" t="str">
        <f t="shared" si="293"/>
        <v>PAGADO</v>
      </c>
    </row>
    <row r="5854" spans="1:13" x14ac:dyDescent="0.25">
      <c r="A5854" s="73">
        <v>46052</v>
      </c>
      <c r="C5854" s="9" t="s">
        <v>4479</v>
      </c>
      <c r="D5854" s="98" t="s">
        <v>1078</v>
      </c>
      <c r="E5854" s="99"/>
      <c r="F5854" s="101">
        <v>20</v>
      </c>
      <c r="G5854" s="101">
        <f t="shared" si="291"/>
        <v>20</v>
      </c>
      <c r="H5854" s="101">
        <v>0</v>
      </c>
      <c r="I5854" s="100">
        <f t="shared" si="292"/>
        <v>20</v>
      </c>
      <c r="J5854" s="7" t="str">
        <f t="shared" si="293"/>
        <v>DEBE</v>
      </c>
    </row>
    <row r="5855" spans="1:13" x14ac:dyDescent="0.25">
      <c r="A5855" s="73">
        <v>46052</v>
      </c>
      <c r="C5855" s="9" t="s">
        <v>5532</v>
      </c>
      <c r="D5855" s="98" t="s">
        <v>2278</v>
      </c>
      <c r="E5855" s="99"/>
      <c r="F5855" s="101">
        <v>15</v>
      </c>
      <c r="G5855" s="101">
        <f t="shared" si="291"/>
        <v>15</v>
      </c>
      <c r="H5855" s="101">
        <v>15</v>
      </c>
      <c r="I5855" s="100">
        <f t="shared" si="292"/>
        <v>0</v>
      </c>
      <c r="J5855" s="7" t="str">
        <f t="shared" si="293"/>
        <v>PAGADO</v>
      </c>
      <c r="K5855" s="9" t="s">
        <v>5458</v>
      </c>
    </row>
    <row r="5856" spans="1:13" x14ac:dyDescent="0.25">
      <c r="A5856" s="73">
        <v>46053</v>
      </c>
      <c r="C5856" s="98" t="s">
        <v>5533</v>
      </c>
      <c r="D5856" s="98" t="s">
        <v>5465</v>
      </c>
      <c r="F5856" s="6">
        <v>55</v>
      </c>
      <c r="G5856" s="6">
        <f t="shared" si="291"/>
        <v>55</v>
      </c>
      <c r="H5856" s="6">
        <v>55</v>
      </c>
      <c r="I5856" s="26">
        <f t="shared" si="292"/>
        <v>0</v>
      </c>
      <c r="J5856" s="7" t="str">
        <f t="shared" si="293"/>
        <v>PAGADO</v>
      </c>
      <c r="K5856" s="28" t="s">
        <v>2712</v>
      </c>
    </row>
    <row r="5857" spans="1:13" x14ac:dyDescent="0.25">
      <c r="A5857" s="73">
        <v>46053</v>
      </c>
      <c r="C5857" s="9" t="s">
        <v>5534</v>
      </c>
      <c r="D5857" s="9" t="s">
        <v>4454</v>
      </c>
      <c r="F5857" s="6">
        <v>30</v>
      </c>
      <c r="G5857" s="6">
        <f t="shared" si="291"/>
        <v>30</v>
      </c>
      <c r="H5857" s="6">
        <f>15+15</f>
        <v>30</v>
      </c>
      <c r="I5857" s="26">
        <f t="shared" si="292"/>
        <v>0</v>
      </c>
      <c r="J5857" s="7" t="str">
        <f t="shared" si="293"/>
        <v>PAGADO</v>
      </c>
    </row>
    <row r="5858" spans="1:13" x14ac:dyDescent="0.25">
      <c r="A5858" s="73">
        <v>46053</v>
      </c>
      <c r="C5858" s="9" t="s">
        <v>5535</v>
      </c>
      <c r="D5858" s="9" t="s">
        <v>5484</v>
      </c>
      <c r="F5858" s="6">
        <v>130</v>
      </c>
      <c r="G5858" s="6">
        <f t="shared" si="291"/>
        <v>130</v>
      </c>
      <c r="H5858" s="6">
        <v>130</v>
      </c>
      <c r="I5858" s="26">
        <f t="shared" si="292"/>
        <v>0</v>
      </c>
      <c r="J5858" s="7" t="str">
        <f t="shared" si="293"/>
        <v>PAGADO</v>
      </c>
    </row>
    <row r="5859" spans="1:13" x14ac:dyDescent="0.25">
      <c r="A5859" s="73">
        <v>46054</v>
      </c>
      <c r="C5859" s="9" t="s">
        <v>5536</v>
      </c>
      <c r="D5859" s="98" t="s">
        <v>5537</v>
      </c>
      <c r="F5859" s="6">
        <v>280</v>
      </c>
      <c r="G5859" s="6">
        <f t="shared" si="291"/>
        <v>280</v>
      </c>
      <c r="H5859" s="6">
        <v>280</v>
      </c>
      <c r="I5859" s="26">
        <f t="shared" si="292"/>
        <v>0</v>
      </c>
      <c r="J5859" s="7" t="str">
        <f t="shared" si="293"/>
        <v>PAGADO</v>
      </c>
    </row>
    <row r="5860" spans="1:13" x14ac:dyDescent="0.25">
      <c r="A5860" s="73">
        <v>46054</v>
      </c>
      <c r="C5860" s="9" t="s">
        <v>5538</v>
      </c>
      <c r="D5860" t="s">
        <v>5539</v>
      </c>
      <c r="F5860" s="6">
        <v>120</v>
      </c>
      <c r="G5860" s="6">
        <f t="shared" si="291"/>
        <v>120</v>
      </c>
      <c r="H5860" s="6">
        <f>60+60</f>
        <v>120</v>
      </c>
      <c r="I5860" s="16">
        <f t="shared" si="292"/>
        <v>0</v>
      </c>
      <c r="J5860" s="7" t="str">
        <f t="shared" si="293"/>
        <v>PAGADO</v>
      </c>
      <c r="K5860" s="9" t="s">
        <v>3819</v>
      </c>
    </row>
    <row r="5861" spans="1:13" x14ac:dyDescent="0.25">
      <c r="A5861" s="73">
        <v>46054</v>
      </c>
      <c r="C5861" s="9" t="s">
        <v>5012</v>
      </c>
      <c r="D5861" t="s">
        <v>5539</v>
      </c>
      <c r="F5861" s="6">
        <v>90</v>
      </c>
      <c r="G5861" s="6">
        <f t="shared" si="291"/>
        <v>90</v>
      </c>
      <c r="H5861" s="6">
        <f>45+45</f>
        <v>90</v>
      </c>
      <c r="I5861" s="16">
        <f t="shared" si="292"/>
        <v>0</v>
      </c>
      <c r="J5861" s="7" t="str">
        <f t="shared" si="293"/>
        <v>PAGADO</v>
      </c>
      <c r="K5861" s="9" t="s">
        <v>3819</v>
      </c>
    </row>
    <row r="5862" spans="1:13" x14ac:dyDescent="0.25">
      <c r="A5862" s="73">
        <v>46054</v>
      </c>
      <c r="C5862" s="9" t="s">
        <v>5540</v>
      </c>
      <c r="D5862" t="s">
        <v>5539</v>
      </c>
      <c r="F5862" s="6">
        <v>70</v>
      </c>
      <c r="G5862" s="6">
        <f t="shared" si="291"/>
        <v>70</v>
      </c>
      <c r="H5862" s="6">
        <f>35+35</f>
        <v>70</v>
      </c>
      <c r="I5862" s="16">
        <f t="shared" si="292"/>
        <v>0</v>
      </c>
      <c r="J5862" s="7" t="str">
        <f t="shared" si="293"/>
        <v>PAGADO</v>
      </c>
      <c r="K5862" s="9" t="s">
        <v>3819</v>
      </c>
    </row>
    <row r="5863" spans="1:13" x14ac:dyDescent="0.25">
      <c r="A5863" s="73">
        <v>46054</v>
      </c>
      <c r="C5863" s="9" t="s">
        <v>5541</v>
      </c>
      <c r="D5863" t="s">
        <v>5539</v>
      </c>
      <c r="F5863" s="6">
        <v>80</v>
      </c>
      <c r="G5863" s="6">
        <f t="shared" si="291"/>
        <v>80</v>
      </c>
      <c r="H5863" s="6">
        <f>40+40</f>
        <v>80</v>
      </c>
      <c r="I5863" s="16">
        <f t="shared" si="292"/>
        <v>0</v>
      </c>
      <c r="J5863" s="7" t="str">
        <f t="shared" si="293"/>
        <v>PAGADO</v>
      </c>
      <c r="K5863" s="9" t="s">
        <v>3819</v>
      </c>
    </row>
    <row r="5864" spans="1:13" x14ac:dyDescent="0.25">
      <c r="A5864" s="73">
        <v>46054</v>
      </c>
      <c r="C5864" s="9" t="s">
        <v>5542</v>
      </c>
      <c r="D5864" t="s">
        <v>5539</v>
      </c>
      <c r="F5864" s="6">
        <v>80</v>
      </c>
      <c r="G5864" s="6">
        <f t="shared" si="291"/>
        <v>80</v>
      </c>
      <c r="H5864" s="6">
        <v>40</v>
      </c>
      <c r="I5864" s="26">
        <f t="shared" si="292"/>
        <v>40</v>
      </c>
      <c r="J5864" s="7" t="str">
        <f t="shared" si="293"/>
        <v>DEBE</v>
      </c>
      <c r="K5864" s="33" t="s">
        <v>2754</v>
      </c>
      <c r="M5864" s="8" t="s">
        <v>5299</v>
      </c>
    </row>
    <row r="5865" spans="1:13" x14ac:dyDescent="0.25">
      <c r="A5865" s="73">
        <v>46054</v>
      </c>
      <c r="C5865" s="9" t="s">
        <v>5543</v>
      </c>
      <c r="D5865" s="98" t="s">
        <v>5537</v>
      </c>
      <c r="F5865" s="6">
        <v>120</v>
      </c>
      <c r="G5865" s="6">
        <f t="shared" si="291"/>
        <v>120</v>
      </c>
      <c r="H5865" s="6">
        <f>20+100</f>
        <v>120</v>
      </c>
      <c r="I5865" s="26">
        <f t="shared" si="292"/>
        <v>0</v>
      </c>
      <c r="J5865" s="7" t="str">
        <f t="shared" si="293"/>
        <v>PAGADO</v>
      </c>
      <c r="K5865" t="s">
        <v>3506</v>
      </c>
    </row>
    <row r="5866" spans="1:13" x14ac:dyDescent="0.25">
      <c r="A5866" s="73">
        <v>46054</v>
      </c>
      <c r="C5866" s="9" t="s">
        <v>5544</v>
      </c>
      <c r="D5866" s="9" t="s">
        <v>3026</v>
      </c>
      <c r="F5866" s="6">
        <v>80</v>
      </c>
      <c r="G5866" s="6">
        <f t="shared" si="291"/>
        <v>80</v>
      </c>
      <c r="H5866" s="6">
        <v>80</v>
      </c>
      <c r="I5866" s="26">
        <f t="shared" si="292"/>
        <v>0</v>
      </c>
      <c r="J5866" s="7" t="str">
        <f t="shared" si="293"/>
        <v>PAGADO</v>
      </c>
    </row>
    <row r="5867" spans="1:13" x14ac:dyDescent="0.25">
      <c r="A5867" s="73">
        <v>46054</v>
      </c>
      <c r="C5867" s="9" t="s">
        <v>1262</v>
      </c>
      <c r="D5867" s="9" t="s">
        <v>5494</v>
      </c>
      <c r="F5867" s="6">
        <v>90</v>
      </c>
      <c r="G5867" s="6">
        <f t="shared" si="291"/>
        <v>90</v>
      </c>
      <c r="H5867" s="6">
        <f>77+13</f>
        <v>90</v>
      </c>
      <c r="I5867" s="26">
        <f t="shared" si="292"/>
        <v>0</v>
      </c>
      <c r="J5867" s="7" t="str">
        <f t="shared" si="293"/>
        <v>PAGADO</v>
      </c>
    </row>
    <row r="5868" spans="1:13" x14ac:dyDescent="0.25">
      <c r="A5868" s="73">
        <v>46055</v>
      </c>
      <c r="C5868" s="9" t="s">
        <v>5545</v>
      </c>
      <c r="D5868" s="9" t="s">
        <v>5487</v>
      </c>
      <c r="F5868" s="6">
        <v>250</v>
      </c>
      <c r="G5868" s="6">
        <f t="shared" si="291"/>
        <v>250</v>
      </c>
      <c r="H5868" s="6">
        <f>125+125</f>
        <v>250</v>
      </c>
      <c r="I5868" s="26">
        <f t="shared" si="292"/>
        <v>0</v>
      </c>
      <c r="J5868" s="7" t="str">
        <f t="shared" si="293"/>
        <v>PAGADO</v>
      </c>
      <c r="K5868" s="9" t="s">
        <v>2712</v>
      </c>
    </row>
    <row r="5869" spans="1:13" x14ac:dyDescent="0.25">
      <c r="A5869" s="73">
        <v>46055</v>
      </c>
      <c r="C5869" s="9" t="s">
        <v>4709</v>
      </c>
      <c r="D5869" t="s">
        <v>5546</v>
      </c>
      <c r="F5869" s="6">
        <v>80</v>
      </c>
      <c r="G5869" s="6">
        <f t="shared" si="291"/>
        <v>80</v>
      </c>
      <c r="H5869" s="6">
        <f>40+40</f>
        <v>80</v>
      </c>
      <c r="I5869" s="26">
        <f t="shared" si="292"/>
        <v>0</v>
      </c>
      <c r="J5869" s="7" t="str">
        <f t="shared" si="293"/>
        <v>PAGADO</v>
      </c>
      <c r="K5869" s="33" t="s">
        <v>3819</v>
      </c>
    </row>
    <row r="5870" spans="1:13" x14ac:dyDescent="0.25">
      <c r="A5870" s="73">
        <v>46055</v>
      </c>
      <c r="C5870" s="9" t="s">
        <v>5012</v>
      </c>
      <c r="D5870" t="s">
        <v>5546</v>
      </c>
      <c r="F5870" s="6">
        <v>90</v>
      </c>
      <c r="G5870" s="6">
        <f t="shared" si="291"/>
        <v>90</v>
      </c>
      <c r="H5870" s="6">
        <f>45+45</f>
        <v>90</v>
      </c>
      <c r="I5870" s="26">
        <f t="shared" si="292"/>
        <v>0</v>
      </c>
      <c r="J5870" s="7" t="str">
        <f t="shared" si="293"/>
        <v>PAGADO</v>
      </c>
      <c r="K5870" s="33" t="s">
        <v>3819</v>
      </c>
    </row>
    <row r="5871" spans="1:13" x14ac:dyDescent="0.25">
      <c r="A5871" s="73">
        <v>46055</v>
      </c>
      <c r="C5871" s="9" t="s">
        <v>5547</v>
      </c>
      <c r="D5871" s="9" t="s">
        <v>3549</v>
      </c>
      <c r="F5871" s="6">
        <v>50</v>
      </c>
      <c r="G5871" s="6">
        <f t="shared" si="291"/>
        <v>50</v>
      </c>
      <c r="H5871" s="6">
        <v>50</v>
      </c>
      <c r="I5871" s="26">
        <f t="shared" si="292"/>
        <v>0</v>
      </c>
      <c r="J5871" s="7" t="str">
        <f t="shared" si="293"/>
        <v>PAGADO</v>
      </c>
    </row>
    <row r="5872" spans="1:13" x14ac:dyDescent="0.25">
      <c r="A5872" s="73">
        <v>46055</v>
      </c>
      <c r="C5872" s="9" t="s">
        <v>5548</v>
      </c>
      <c r="D5872" t="s">
        <v>5546</v>
      </c>
      <c r="F5872" s="6">
        <v>150</v>
      </c>
      <c r="G5872" s="6">
        <f t="shared" si="291"/>
        <v>150</v>
      </c>
      <c r="H5872" s="6">
        <v>150</v>
      </c>
      <c r="I5872" s="26">
        <f t="shared" si="292"/>
        <v>0</v>
      </c>
      <c r="J5872" s="7" t="str">
        <f t="shared" si="293"/>
        <v>PAGADO</v>
      </c>
      <c r="K5872" s="9" t="s">
        <v>2712</v>
      </c>
    </row>
    <row r="5873" spans="1:11" x14ac:dyDescent="0.25">
      <c r="A5873" s="73">
        <v>46055</v>
      </c>
      <c r="C5873" s="9" t="s">
        <v>5549</v>
      </c>
      <c r="D5873" s="98" t="s">
        <v>488</v>
      </c>
      <c r="E5873" s="99"/>
      <c r="F5873" s="101">
        <v>160</v>
      </c>
      <c r="G5873" s="101">
        <f t="shared" si="291"/>
        <v>160</v>
      </c>
      <c r="H5873" s="101">
        <v>160</v>
      </c>
      <c r="I5873" s="100">
        <f t="shared" si="292"/>
        <v>0</v>
      </c>
      <c r="J5873" s="7" t="str">
        <f t="shared" si="293"/>
        <v>PAGADO</v>
      </c>
    </row>
    <row r="5874" spans="1:11" x14ac:dyDescent="0.25">
      <c r="A5874" s="73">
        <v>46055</v>
      </c>
      <c r="C5874" s="9" t="s">
        <v>3193</v>
      </c>
      <c r="D5874" t="s">
        <v>5084</v>
      </c>
      <c r="F5874" s="6">
        <v>70</v>
      </c>
      <c r="G5874" s="6">
        <f t="shared" si="291"/>
        <v>70</v>
      </c>
      <c r="H5874" s="6">
        <v>70</v>
      </c>
      <c r="I5874" s="26">
        <f t="shared" si="292"/>
        <v>0</v>
      </c>
      <c r="J5874" s="7" t="str">
        <f t="shared" si="293"/>
        <v>PAGADO</v>
      </c>
    </row>
    <row r="5875" spans="1:11" x14ac:dyDescent="0.25">
      <c r="A5875" s="73">
        <v>46055</v>
      </c>
      <c r="C5875" t="s">
        <v>5550</v>
      </c>
      <c r="D5875" s="9" t="s">
        <v>5122</v>
      </c>
      <c r="F5875" s="6">
        <v>100</v>
      </c>
      <c r="G5875" s="6">
        <f t="shared" si="291"/>
        <v>100</v>
      </c>
      <c r="H5875" s="6">
        <v>100</v>
      </c>
      <c r="I5875" s="26">
        <f t="shared" si="292"/>
        <v>0</v>
      </c>
      <c r="J5875" s="7" t="str">
        <f t="shared" si="293"/>
        <v>PAGADO</v>
      </c>
      <c r="K5875" s="33" t="s">
        <v>693</v>
      </c>
    </row>
    <row r="5876" spans="1:11" x14ac:dyDescent="0.25">
      <c r="A5876" s="73">
        <v>46055</v>
      </c>
      <c r="C5876" s="9" t="s">
        <v>4249</v>
      </c>
      <c r="D5876" s="9" t="s">
        <v>4890</v>
      </c>
      <c r="F5876" s="6">
        <v>40</v>
      </c>
      <c r="G5876" s="6">
        <f t="shared" si="291"/>
        <v>40</v>
      </c>
      <c r="H5876" s="6">
        <v>40</v>
      </c>
      <c r="I5876" s="26">
        <f t="shared" si="292"/>
        <v>0</v>
      </c>
      <c r="J5876" s="7" t="str">
        <f t="shared" si="293"/>
        <v>PAGADO</v>
      </c>
    </row>
    <row r="5877" spans="1:11" x14ac:dyDescent="0.25">
      <c r="A5877" s="73">
        <v>46055</v>
      </c>
      <c r="C5877" s="9" t="s">
        <v>5551</v>
      </c>
      <c r="D5877" s="9" t="s">
        <v>3213</v>
      </c>
      <c r="F5877" s="6">
        <v>120</v>
      </c>
      <c r="G5877" s="6">
        <f t="shared" si="291"/>
        <v>120</v>
      </c>
      <c r="H5877" s="6">
        <v>120</v>
      </c>
      <c r="I5877" s="26">
        <f t="shared" si="292"/>
        <v>0</v>
      </c>
      <c r="J5877" s="7" t="str">
        <f t="shared" si="293"/>
        <v>PAGADO</v>
      </c>
    </row>
    <row r="5878" spans="1:11" x14ac:dyDescent="0.25">
      <c r="A5878" s="73">
        <v>46055</v>
      </c>
      <c r="C5878" s="9" t="s">
        <v>5552</v>
      </c>
      <c r="D5878" s="9" t="s">
        <v>3213</v>
      </c>
      <c r="F5878" s="6">
        <v>50</v>
      </c>
      <c r="G5878" s="6">
        <f t="shared" si="291"/>
        <v>50</v>
      </c>
      <c r="H5878" s="6">
        <v>50</v>
      </c>
      <c r="I5878" s="26">
        <f t="shared" si="292"/>
        <v>0</v>
      </c>
      <c r="J5878" s="7" t="str">
        <f t="shared" si="293"/>
        <v>PAGADO</v>
      </c>
    </row>
    <row r="5879" spans="1:11" x14ac:dyDescent="0.25">
      <c r="A5879" s="73">
        <v>46055</v>
      </c>
      <c r="C5879" s="119" t="s">
        <v>5553</v>
      </c>
      <c r="D5879" s="119" t="s">
        <v>3198</v>
      </c>
      <c r="F5879" s="6">
        <v>130</v>
      </c>
      <c r="G5879" s="6">
        <f t="shared" si="291"/>
        <v>130</v>
      </c>
      <c r="H5879" s="6">
        <v>130</v>
      </c>
      <c r="I5879" s="26">
        <f t="shared" si="292"/>
        <v>0</v>
      </c>
      <c r="J5879" s="7" t="str">
        <f t="shared" si="293"/>
        <v>PAGADO</v>
      </c>
      <c r="K5879" s="9" t="s">
        <v>693</v>
      </c>
    </row>
    <row r="5880" spans="1:11" x14ac:dyDescent="0.25">
      <c r="A5880" s="73">
        <v>46055</v>
      </c>
      <c r="C5880" t="s">
        <v>5554</v>
      </c>
      <c r="D5880" s="9" t="s">
        <v>5151</v>
      </c>
      <c r="F5880" s="6">
        <v>150</v>
      </c>
      <c r="G5880" s="6">
        <f t="shared" si="291"/>
        <v>150</v>
      </c>
      <c r="H5880" s="6">
        <v>150</v>
      </c>
      <c r="I5880" s="26">
        <f t="shared" si="292"/>
        <v>0</v>
      </c>
      <c r="J5880" s="7" t="str">
        <f t="shared" si="293"/>
        <v>PAGADO</v>
      </c>
      <c r="K5880" t="s">
        <v>2714</v>
      </c>
    </row>
    <row r="5881" spans="1:11" x14ac:dyDescent="0.25">
      <c r="A5881" s="73">
        <v>46055</v>
      </c>
      <c r="C5881" t="s">
        <v>5555</v>
      </c>
      <c r="D5881" s="9" t="s">
        <v>5151</v>
      </c>
      <c r="F5881" s="6">
        <v>60</v>
      </c>
      <c r="G5881" s="6">
        <f t="shared" si="291"/>
        <v>60</v>
      </c>
      <c r="H5881" s="6">
        <v>60</v>
      </c>
      <c r="I5881" s="26">
        <f t="shared" si="292"/>
        <v>0</v>
      </c>
      <c r="J5881" s="7" t="str">
        <f t="shared" si="293"/>
        <v>PAGADO</v>
      </c>
      <c r="K5881" t="s">
        <v>2714</v>
      </c>
    </row>
    <row r="5882" spans="1:11" x14ac:dyDescent="0.25">
      <c r="A5882" s="73">
        <v>46055</v>
      </c>
      <c r="C5882" s="9" t="s">
        <v>5556</v>
      </c>
      <c r="D5882" s="9" t="s">
        <v>488</v>
      </c>
      <c r="F5882" s="6">
        <v>190</v>
      </c>
      <c r="G5882" s="6">
        <f t="shared" si="291"/>
        <v>190</v>
      </c>
      <c r="H5882" s="6">
        <v>95</v>
      </c>
      <c r="I5882" s="26">
        <f t="shared" si="292"/>
        <v>95</v>
      </c>
      <c r="J5882" s="7" t="str">
        <f t="shared" si="293"/>
        <v>DEBE</v>
      </c>
      <c r="K5882" s="9" t="s">
        <v>5511</v>
      </c>
    </row>
    <row r="5883" spans="1:11" x14ac:dyDescent="0.25">
      <c r="A5883" s="73">
        <v>46055</v>
      </c>
      <c r="C5883" s="9" t="s">
        <v>5557</v>
      </c>
      <c r="D5883" s="9" t="s">
        <v>5558</v>
      </c>
      <c r="F5883" s="6">
        <v>90</v>
      </c>
      <c r="G5883" s="6">
        <f t="shared" si="291"/>
        <v>90</v>
      </c>
      <c r="H5883" s="6">
        <f>45+45</f>
        <v>90</v>
      </c>
      <c r="I5883" s="63">
        <f t="shared" si="292"/>
        <v>0</v>
      </c>
      <c r="J5883" s="7" t="str">
        <f t="shared" si="293"/>
        <v>PAGADO</v>
      </c>
      <c r="K5883" s="33" t="s">
        <v>3819</v>
      </c>
    </row>
    <row r="5884" spans="1:11" x14ac:dyDescent="0.25">
      <c r="A5884" s="73">
        <v>46055</v>
      </c>
      <c r="C5884" s="9" t="s">
        <v>5020</v>
      </c>
      <c r="D5884" s="9" t="s">
        <v>5558</v>
      </c>
      <c r="F5884" s="6">
        <v>150</v>
      </c>
      <c r="G5884" s="6">
        <f t="shared" si="291"/>
        <v>150</v>
      </c>
      <c r="H5884" s="6">
        <f>80+70</f>
        <v>150</v>
      </c>
      <c r="I5884" s="63">
        <f t="shared" si="292"/>
        <v>0</v>
      </c>
      <c r="J5884" s="7" t="str">
        <f t="shared" si="293"/>
        <v>PAGADO</v>
      </c>
      <c r="K5884" s="33" t="s">
        <v>3819</v>
      </c>
    </row>
    <row r="5885" spans="1:11" x14ac:dyDescent="0.25">
      <c r="A5885" s="73">
        <v>46055</v>
      </c>
      <c r="C5885" s="9" t="s">
        <v>4619</v>
      </c>
      <c r="D5885" s="9" t="s">
        <v>5558</v>
      </c>
      <c r="F5885" s="6">
        <v>90</v>
      </c>
      <c r="G5885" s="6">
        <f t="shared" si="291"/>
        <v>90</v>
      </c>
      <c r="H5885" s="6">
        <f>45+45</f>
        <v>90</v>
      </c>
      <c r="I5885" s="26">
        <f t="shared" si="292"/>
        <v>0</v>
      </c>
      <c r="J5885" s="7" t="str">
        <f t="shared" si="293"/>
        <v>PAGADO</v>
      </c>
      <c r="K5885" s="33" t="s">
        <v>2712</v>
      </c>
    </row>
    <row r="5886" spans="1:11" x14ac:dyDescent="0.25">
      <c r="A5886" s="73">
        <v>46055</v>
      </c>
      <c r="C5886" s="9" t="s">
        <v>4916</v>
      </c>
      <c r="D5886" t="s">
        <v>5559</v>
      </c>
      <c r="F5886" s="6">
        <v>70</v>
      </c>
      <c r="G5886" s="6">
        <f t="shared" ref="G5886:G5949" si="294">F5886-E5886</f>
        <v>70</v>
      </c>
      <c r="H5886" s="6">
        <v>70</v>
      </c>
      <c r="I5886" s="26">
        <f t="shared" si="292"/>
        <v>0</v>
      </c>
      <c r="J5886" s="7" t="str">
        <f t="shared" si="293"/>
        <v>PAGADO</v>
      </c>
    </row>
    <row r="5887" spans="1:11" x14ac:dyDescent="0.25">
      <c r="A5887" s="73">
        <v>46055</v>
      </c>
      <c r="C5887" s="9" t="s">
        <v>5560</v>
      </c>
      <c r="D5887" s="9" t="s">
        <v>1504</v>
      </c>
      <c r="F5887" s="6">
        <v>140</v>
      </c>
      <c r="G5887" s="6">
        <f t="shared" si="294"/>
        <v>140</v>
      </c>
      <c r="H5887" s="6">
        <v>140</v>
      </c>
      <c r="I5887" s="26">
        <f t="shared" si="292"/>
        <v>0</v>
      </c>
      <c r="J5887" s="7" t="str">
        <f t="shared" si="293"/>
        <v>PAGADO</v>
      </c>
    </row>
    <row r="5888" spans="1:11" x14ac:dyDescent="0.25">
      <c r="A5888" s="73">
        <v>46055</v>
      </c>
      <c r="C5888" s="9" t="s">
        <v>5561</v>
      </c>
      <c r="D5888" s="9" t="s">
        <v>1504</v>
      </c>
      <c r="F5888" s="6">
        <v>70</v>
      </c>
      <c r="G5888" s="6">
        <f t="shared" si="294"/>
        <v>70</v>
      </c>
      <c r="H5888" s="24">
        <v>70</v>
      </c>
      <c r="I5888" s="26">
        <f t="shared" si="292"/>
        <v>0</v>
      </c>
      <c r="J5888" s="7" t="str">
        <f t="shared" si="293"/>
        <v>PAGADO</v>
      </c>
    </row>
    <row r="5889" spans="1:13" x14ac:dyDescent="0.25">
      <c r="A5889" s="73">
        <v>46055</v>
      </c>
      <c r="C5889" s="9" t="s">
        <v>5188</v>
      </c>
      <c r="D5889" s="9" t="s">
        <v>1504</v>
      </c>
      <c r="F5889" s="6">
        <v>80</v>
      </c>
      <c r="G5889" s="6">
        <f t="shared" si="294"/>
        <v>80</v>
      </c>
      <c r="H5889" s="24">
        <v>80</v>
      </c>
      <c r="I5889" s="26">
        <f t="shared" si="292"/>
        <v>0</v>
      </c>
      <c r="J5889" s="7" t="str">
        <f t="shared" si="293"/>
        <v>PAGADO</v>
      </c>
    </row>
    <row r="5890" spans="1:13" x14ac:dyDescent="0.25">
      <c r="A5890" s="73">
        <v>46055</v>
      </c>
      <c r="C5890" s="9" t="s">
        <v>5562</v>
      </c>
      <c r="D5890" s="9" t="s">
        <v>1504</v>
      </c>
      <c r="F5890" s="6">
        <v>80</v>
      </c>
      <c r="G5890" s="6">
        <f t="shared" si="294"/>
        <v>80</v>
      </c>
      <c r="H5890" s="24">
        <v>80</v>
      </c>
      <c r="I5890" s="26">
        <f t="shared" si="292"/>
        <v>0</v>
      </c>
      <c r="J5890" s="7" t="str">
        <f t="shared" si="293"/>
        <v>PAGADO</v>
      </c>
    </row>
    <row r="5891" spans="1:13" x14ac:dyDescent="0.25">
      <c r="A5891" s="73">
        <v>46055</v>
      </c>
      <c r="C5891" s="9" t="s">
        <v>5563</v>
      </c>
      <c r="D5891" s="9" t="s">
        <v>1504</v>
      </c>
      <c r="F5891" s="6">
        <v>80</v>
      </c>
      <c r="G5891" s="6">
        <f t="shared" si="294"/>
        <v>80</v>
      </c>
      <c r="H5891" s="24">
        <v>80</v>
      </c>
      <c r="I5891" s="26">
        <f t="shared" si="292"/>
        <v>0</v>
      </c>
      <c r="J5891" s="7" t="str">
        <f t="shared" si="293"/>
        <v>PAGADO</v>
      </c>
    </row>
    <row r="5892" spans="1:13" x14ac:dyDescent="0.25">
      <c r="A5892" s="73">
        <v>46055</v>
      </c>
      <c r="C5892" s="9" t="s">
        <v>5564</v>
      </c>
      <c r="D5892" s="9" t="s">
        <v>3549</v>
      </c>
      <c r="F5892" s="6">
        <v>200</v>
      </c>
      <c r="G5892" s="6">
        <f t="shared" si="294"/>
        <v>200</v>
      </c>
      <c r="H5892" s="6">
        <v>100</v>
      </c>
      <c r="I5892" s="26">
        <f t="shared" si="292"/>
        <v>100</v>
      </c>
      <c r="J5892" s="7" t="str">
        <f t="shared" si="293"/>
        <v>DEBE</v>
      </c>
      <c r="K5892" s="9" t="s">
        <v>2754</v>
      </c>
      <c r="M5892" s="8" t="s">
        <v>5565</v>
      </c>
    </row>
    <row r="5893" spans="1:13" x14ac:dyDescent="0.25">
      <c r="A5893" s="73">
        <v>46055</v>
      </c>
      <c r="C5893" s="9" t="s">
        <v>5566</v>
      </c>
      <c r="D5893" s="9" t="s">
        <v>2548</v>
      </c>
      <c r="F5893" s="6">
        <v>70</v>
      </c>
      <c r="G5893" s="6">
        <f t="shared" si="294"/>
        <v>70</v>
      </c>
      <c r="H5893" s="6">
        <v>35</v>
      </c>
      <c r="I5893" s="26">
        <f t="shared" si="292"/>
        <v>35</v>
      </c>
      <c r="J5893" s="7" t="str">
        <f t="shared" si="293"/>
        <v>DEBE</v>
      </c>
      <c r="K5893" s="34" t="s">
        <v>2754</v>
      </c>
      <c r="M5893" s="8" t="s">
        <v>5567</v>
      </c>
    </row>
    <row r="5894" spans="1:13" x14ac:dyDescent="0.25">
      <c r="A5894" s="73">
        <v>46055</v>
      </c>
      <c r="C5894" s="9" t="s">
        <v>5568</v>
      </c>
      <c r="D5894" s="9" t="s">
        <v>2548</v>
      </c>
      <c r="F5894" s="6">
        <v>70</v>
      </c>
      <c r="G5894" s="6">
        <f t="shared" si="294"/>
        <v>70</v>
      </c>
      <c r="H5894" s="6">
        <v>35</v>
      </c>
      <c r="I5894" s="26">
        <f t="shared" si="292"/>
        <v>35</v>
      </c>
      <c r="J5894" s="7" t="str">
        <f t="shared" si="293"/>
        <v>DEBE</v>
      </c>
      <c r="K5894" s="34" t="s">
        <v>2754</v>
      </c>
      <c r="M5894" s="8" t="s">
        <v>5567</v>
      </c>
    </row>
    <row r="5895" spans="1:13" x14ac:dyDescent="0.25">
      <c r="A5895" s="73">
        <v>46055</v>
      </c>
      <c r="C5895" s="9" t="s">
        <v>5569</v>
      </c>
      <c r="D5895" s="9" t="s">
        <v>2548</v>
      </c>
      <c r="F5895" s="6">
        <v>80</v>
      </c>
      <c r="G5895" s="6">
        <f t="shared" si="294"/>
        <v>80</v>
      </c>
      <c r="H5895" s="6">
        <v>40</v>
      </c>
      <c r="I5895" s="26">
        <f t="shared" si="292"/>
        <v>40</v>
      </c>
      <c r="J5895" s="7" t="str">
        <f t="shared" si="293"/>
        <v>DEBE</v>
      </c>
      <c r="K5895" s="34" t="s">
        <v>2754</v>
      </c>
      <c r="M5895" s="8" t="s">
        <v>5570</v>
      </c>
    </row>
    <row r="5896" spans="1:13" x14ac:dyDescent="0.25">
      <c r="A5896" s="73">
        <v>46055</v>
      </c>
      <c r="C5896" s="98" t="s">
        <v>5571</v>
      </c>
      <c r="D5896" s="98" t="s">
        <v>5202</v>
      </c>
      <c r="F5896" s="6">
        <v>50</v>
      </c>
      <c r="G5896" s="6">
        <f t="shared" si="294"/>
        <v>50</v>
      </c>
      <c r="H5896" s="6">
        <v>25</v>
      </c>
      <c r="I5896" s="26">
        <f t="shared" si="292"/>
        <v>25</v>
      </c>
      <c r="J5896" s="7" t="str">
        <f t="shared" si="293"/>
        <v>DEBE</v>
      </c>
      <c r="K5896" s="9" t="s">
        <v>2754</v>
      </c>
      <c r="M5896" s="8" t="s">
        <v>5271</v>
      </c>
    </row>
    <row r="5897" spans="1:13" x14ac:dyDescent="0.25">
      <c r="A5897" s="73">
        <v>46055</v>
      </c>
      <c r="C5897" s="98" t="s">
        <v>5572</v>
      </c>
      <c r="D5897" s="98" t="s">
        <v>5202</v>
      </c>
      <c r="F5897" s="6">
        <v>50</v>
      </c>
      <c r="G5897" s="6">
        <f t="shared" si="294"/>
        <v>50</v>
      </c>
      <c r="H5897" s="6">
        <v>25</v>
      </c>
      <c r="I5897" s="26">
        <f t="shared" si="292"/>
        <v>25</v>
      </c>
      <c r="J5897" s="7" t="str">
        <f t="shared" si="293"/>
        <v>DEBE</v>
      </c>
      <c r="K5897" s="9" t="s">
        <v>2754</v>
      </c>
      <c r="M5897" s="8" t="s">
        <v>5271</v>
      </c>
    </row>
    <row r="5898" spans="1:13" x14ac:dyDescent="0.25">
      <c r="A5898" s="73">
        <v>46055</v>
      </c>
      <c r="C5898" s="98" t="s">
        <v>5573</v>
      </c>
      <c r="D5898" s="98" t="s">
        <v>5202</v>
      </c>
      <c r="F5898" s="6">
        <v>50</v>
      </c>
      <c r="G5898" s="6">
        <f t="shared" si="294"/>
        <v>50</v>
      </c>
      <c r="H5898" s="6">
        <v>25</v>
      </c>
      <c r="I5898" s="26">
        <f t="shared" si="292"/>
        <v>25</v>
      </c>
      <c r="J5898" s="7" t="str">
        <f t="shared" si="293"/>
        <v>DEBE</v>
      </c>
      <c r="K5898" s="9" t="s">
        <v>2754</v>
      </c>
      <c r="M5898" s="8" t="s">
        <v>5271</v>
      </c>
    </row>
    <row r="5899" spans="1:13" x14ac:dyDescent="0.25">
      <c r="A5899" s="73">
        <v>46055</v>
      </c>
      <c r="C5899" s="98" t="s">
        <v>5574</v>
      </c>
      <c r="D5899" s="98" t="s">
        <v>5202</v>
      </c>
      <c r="F5899" s="6">
        <v>50</v>
      </c>
      <c r="G5899" s="6">
        <f t="shared" si="294"/>
        <v>50</v>
      </c>
      <c r="H5899" s="6">
        <v>25</v>
      </c>
      <c r="I5899" s="26">
        <f t="shared" ref="I5899:I5962" si="295">F5899-H5899</f>
        <v>25</v>
      </c>
      <c r="J5899" s="7" t="str">
        <f t="shared" si="293"/>
        <v>DEBE</v>
      </c>
      <c r="K5899" s="9" t="s">
        <v>2754</v>
      </c>
      <c r="M5899" s="8" t="s">
        <v>5271</v>
      </c>
    </row>
    <row r="5900" spans="1:13" x14ac:dyDescent="0.25">
      <c r="A5900" s="73">
        <v>46055</v>
      </c>
      <c r="C5900" s="9" t="s">
        <v>5575</v>
      </c>
      <c r="D5900" s="9" t="s">
        <v>2548</v>
      </c>
      <c r="F5900" s="6">
        <v>80</v>
      </c>
      <c r="G5900" s="6">
        <f t="shared" si="294"/>
        <v>80</v>
      </c>
      <c r="H5900" s="6">
        <v>40</v>
      </c>
      <c r="I5900" s="26">
        <f t="shared" si="295"/>
        <v>40</v>
      </c>
      <c r="J5900" s="7" t="str">
        <f t="shared" si="293"/>
        <v>DEBE</v>
      </c>
      <c r="K5900" s="34" t="s">
        <v>2754</v>
      </c>
      <c r="M5900" s="8" t="s">
        <v>5576</v>
      </c>
    </row>
    <row r="5901" spans="1:13" x14ac:dyDescent="0.25">
      <c r="A5901" s="73">
        <v>46055</v>
      </c>
      <c r="C5901" s="9" t="s">
        <v>5575</v>
      </c>
      <c r="D5901" s="9" t="s">
        <v>5145</v>
      </c>
      <c r="F5901" s="6">
        <v>80</v>
      </c>
      <c r="G5901" s="6">
        <f t="shared" si="294"/>
        <v>80</v>
      </c>
      <c r="H5901" s="6">
        <v>40</v>
      </c>
      <c r="I5901" s="26">
        <f t="shared" si="295"/>
        <v>40</v>
      </c>
      <c r="J5901" s="7" t="str">
        <f t="shared" si="293"/>
        <v>DEBE</v>
      </c>
      <c r="K5901" s="34" t="s">
        <v>2754</v>
      </c>
      <c r="M5901" s="8" t="s">
        <v>5576</v>
      </c>
    </row>
    <row r="5902" spans="1:13" x14ac:dyDescent="0.25">
      <c r="A5902" s="73">
        <v>46055</v>
      </c>
      <c r="C5902" s="9" t="s">
        <v>5577</v>
      </c>
      <c r="D5902" s="9" t="s">
        <v>4266</v>
      </c>
      <c r="F5902" s="6">
        <v>70</v>
      </c>
      <c r="G5902" s="6">
        <f t="shared" si="294"/>
        <v>70</v>
      </c>
      <c r="H5902" s="6">
        <v>35</v>
      </c>
      <c r="I5902" s="26">
        <f t="shared" si="295"/>
        <v>35</v>
      </c>
      <c r="J5902" s="7" t="str">
        <f t="shared" si="293"/>
        <v>DEBE</v>
      </c>
      <c r="K5902" s="9" t="s">
        <v>2754</v>
      </c>
      <c r="M5902" s="8" t="s">
        <v>5576</v>
      </c>
    </row>
    <row r="5903" spans="1:13" x14ac:dyDescent="0.25">
      <c r="A5903" s="73">
        <v>46055</v>
      </c>
      <c r="C5903" s="9" t="s">
        <v>5578</v>
      </c>
      <c r="D5903" s="9" t="s">
        <v>4266</v>
      </c>
      <c r="F5903" s="6">
        <v>80</v>
      </c>
      <c r="G5903" s="6">
        <f t="shared" si="294"/>
        <v>80</v>
      </c>
      <c r="H5903" s="6">
        <v>40</v>
      </c>
      <c r="I5903" s="26">
        <f t="shared" si="295"/>
        <v>40</v>
      </c>
      <c r="J5903" s="7" t="str">
        <f t="shared" ref="J5903:J5966" si="296">IF(I5903&gt;0,"DEBE","PAGADO")</f>
        <v>DEBE</v>
      </c>
      <c r="K5903" s="9" t="s">
        <v>2754</v>
      </c>
      <c r="M5903" s="8" t="s">
        <v>5576</v>
      </c>
    </row>
    <row r="5904" spans="1:13" x14ac:dyDescent="0.25">
      <c r="A5904" s="97">
        <v>46055</v>
      </c>
      <c r="C5904" s="109" t="s">
        <v>5579</v>
      </c>
      <c r="D5904" s="109" t="s">
        <v>4587</v>
      </c>
      <c r="E5904" s="87"/>
      <c r="F5904" s="58">
        <v>75</v>
      </c>
      <c r="G5904" s="58">
        <f t="shared" si="294"/>
        <v>75</v>
      </c>
      <c r="H5904" s="58">
        <v>37.5</v>
      </c>
      <c r="I5904" s="58">
        <f t="shared" si="295"/>
        <v>37.5</v>
      </c>
      <c r="J5904" s="88" t="str">
        <f t="shared" si="296"/>
        <v>DEBE</v>
      </c>
      <c r="K5904" s="112" t="s">
        <v>2754</v>
      </c>
      <c r="L5904" s="41"/>
      <c r="M5904" s="8" t="s">
        <v>5576</v>
      </c>
    </row>
    <row r="5905" spans="1:13" x14ac:dyDescent="0.25">
      <c r="A5905" s="97">
        <v>46055</v>
      </c>
      <c r="C5905" s="109" t="s">
        <v>5580</v>
      </c>
      <c r="D5905" s="109" t="s">
        <v>4587</v>
      </c>
      <c r="E5905" s="87"/>
      <c r="F5905" s="58">
        <v>80</v>
      </c>
      <c r="G5905" s="58">
        <f t="shared" si="294"/>
        <v>80</v>
      </c>
      <c r="H5905" s="58">
        <v>40</v>
      </c>
      <c r="I5905" s="58">
        <f t="shared" si="295"/>
        <v>40</v>
      </c>
      <c r="J5905" s="88" t="str">
        <f t="shared" si="296"/>
        <v>DEBE</v>
      </c>
      <c r="K5905" s="112" t="s">
        <v>2754</v>
      </c>
      <c r="L5905" s="41"/>
      <c r="M5905" s="8" t="s">
        <v>5520</v>
      </c>
    </row>
    <row r="5906" spans="1:13" x14ac:dyDescent="0.25">
      <c r="A5906" s="73">
        <v>46055</v>
      </c>
      <c r="C5906" s="109" t="s">
        <v>5581</v>
      </c>
      <c r="D5906" s="109" t="s">
        <v>4587</v>
      </c>
      <c r="E5906" s="87"/>
      <c r="F5906" s="58">
        <v>210</v>
      </c>
      <c r="G5906" s="58">
        <f t="shared" si="294"/>
        <v>210</v>
      </c>
      <c r="H5906" s="58">
        <v>105</v>
      </c>
      <c r="I5906" s="58">
        <f t="shared" si="295"/>
        <v>105</v>
      </c>
      <c r="J5906" s="88" t="str">
        <f t="shared" si="296"/>
        <v>DEBE</v>
      </c>
      <c r="K5906" s="112" t="s">
        <v>2754</v>
      </c>
      <c r="L5906" s="41"/>
      <c r="M5906" s="8" t="s">
        <v>5582</v>
      </c>
    </row>
    <row r="5907" spans="1:13" x14ac:dyDescent="0.25">
      <c r="A5907" s="73">
        <v>46055</v>
      </c>
      <c r="C5907" s="119" t="s">
        <v>2376</v>
      </c>
      <c r="D5907" s="98" t="s">
        <v>5202</v>
      </c>
      <c r="F5907" s="6">
        <v>120</v>
      </c>
      <c r="G5907" s="6">
        <f t="shared" si="294"/>
        <v>120</v>
      </c>
      <c r="H5907" s="6">
        <v>60</v>
      </c>
      <c r="I5907" s="26">
        <f t="shared" si="295"/>
        <v>60</v>
      </c>
      <c r="J5907" s="7" t="str">
        <f t="shared" si="296"/>
        <v>DEBE</v>
      </c>
      <c r="K5907" s="34" t="s">
        <v>2754</v>
      </c>
      <c r="M5907" s="8" t="s">
        <v>5356</v>
      </c>
    </row>
    <row r="5908" spans="1:13" x14ac:dyDescent="0.25">
      <c r="A5908" s="73">
        <v>46055</v>
      </c>
      <c r="C5908" s="9" t="s">
        <v>5578</v>
      </c>
      <c r="D5908" s="9" t="s">
        <v>4111</v>
      </c>
      <c r="F5908" s="6">
        <v>80</v>
      </c>
      <c r="G5908" s="6">
        <f t="shared" si="294"/>
        <v>80</v>
      </c>
      <c r="H5908" s="6">
        <v>40</v>
      </c>
      <c r="I5908" s="26">
        <f t="shared" si="295"/>
        <v>40</v>
      </c>
      <c r="J5908" s="7" t="str">
        <f t="shared" si="296"/>
        <v>DEBE</v>
      </c>
      <c r="K5908" s="9" t="s">
        <v>2754</v>
      </c>
      <c r="M5908" s="8" t="s">
        <v>5576</v>
      </c>
    </row>
    <row r="5909" spans="1:13" x14ac:dyDescent="0.25">
      <c r="A5909" s="73">
        <v>46055</v>
      </c>
      <c r="C5909" s="119" t="s">
        <v>5583</v>
      </c>
      <c r="D5909" s="98" t="s">
        <v>4890</v>
      </c>
      <c r="F5909" s="6">
        <v>480</v>
      </c>
      <c r="G5909" s="6">
        <f t="shared" si="294"/>
        <v>480</v>
      </c>
      <c r="H5909" s="6">
        <v>480</v>
      </c>
      <c r="I5909" s="26">
        <f t="shared" si="295"/>
        <v>0</v>
      </c>
      <c r="J5909" s="7" t="str">
        <f t="shared" si="296"/>
        <v>PAGADO</v>
      </c>
      <c r="K5909" s="34" t="s">
        <v>5584</v>
      </c>
    </row>
    <row r="5910" spans="1:13" x14ac:dyDescent="0.25">
      <c r="A5910" s="73">
        <v>46055</v>
      </c>
      <c r="C5910" s="9" t="s">
        <v>5585</v>
      </c>
      <c r="D5910" s="9" t="s">
        <v>2360</v>
      </c>
      <c r="F5910" s="6">
        <v>70</v>
      </c>
      <c r="G5910" s="6">
        <f t="shared" si="294"/>
        <v>70</v>
      </c>
      <c r="H5910" s="6">
        <f>5+40+25</f>
        <v>70</v>
      </c>
      <c r="I5910" s="26">
        <f t="shared" si="295"/>
        <v>0</v>
      </c>
      <c r="J5910" s="7" t="str">
        <f t="shared" si="296"/>
        <v>PAGADO</v>
      </c>
      <c r="K5910" s="33" t="s">
        <v>5514</v>
      </c>
    </row>
    <row r="5911" spans="1:13" x14ac:dyDescent="0.25">
      <c r="A5911" s="73">
        <v>46055</v>
      </c>
      <c r="C5911" s="98" t="s">
        <v>5581</v>
      </c>
      <c r="D5911" s="98" t="s">
        <v>4881</v>
      </c>
      <c r="E5911" s="99"/>
      <c r="F5911" s="101">
        <v>210</v>
      </c>
      <c r="G5911" s="101">
        <f t="shared" si="294"/>
        <v>210</v>
      </c>
      <c r="H5911" s="101">
        <v>105</v>
      </c>
      <c r="I5911" s="100">
        <f t="shared" si="295"/>
        <v>105</v>
      </c>
      <c r="J5911" s="7" t="str">
        <f t="shared" si="296"/>
        <v>DEBE</v>
      </c>
      <c r="K5911" s="34" t="s">
        <v>2754</v>
      </c>
      <c r="M5911" s="8" t="s">
        <v>5582</v>
      </c>
    </row>
    <row r="5912" spans="1:13" x14ac:dyDescent="0.25">
      <c r="A5912" s="73">
        <v>46055</v>
      </c>
      <c r="C5912" s="9" t="s">
        <v>5586</v>
      </c>
      <c r="D5912" s="9" t="s">
        <v>3352</v>
      </c>
      <c r="F5912" s="6">
        <v>70</v>
      </c>
      <c r="G5912" s="6">
        <f t="shared" si="294"/>
        <v>70</v>
      </c>
      <c r="H5912" s="6">
        <v>70</v>
      </c>
      <c r="I5912" s="26">
        <f t="shared" si="295"/>
        <v>0</v>
      </c>
      <c r="J5912" s="7" t="str">
        <f t="shared" si="296"/>
        <v>PAGADO</v>
      </c>
    </row>
    <row r="5913" spans="1:13" x14ac:dyDescent="0.25">
      <c r="A5913" s="73">
        <v>46055</v>
      </c>
      <c r="C5913" s="9" t="s">
        <v>5587</v>
      </c>
      <c r="D5913" s="9" t="s">
        <v>3352</v>
      </c>
      <c r="F5913" s="6">
        <v>60</v>
      </c>
      <c r="G5913" s="6">
        <f t="shared" si="294"/>
        <v>60</v>
      </c>
      <c r="H5913" s="6">
        <v>60</v>
      </c>
      <c r="I5913" s="26">
        <f t="shared" si="295"/>
        <v>0</v>
      </c>
      <c r="J5913" s="7" t="str">
        <f t="shared" si="296"/>
        <v>PAGADO</v>
      </c>
    </row>
    <row r="5914" spans="1:13" x14ac:dyDescent="0.25">
      <c r="A5914" s="73">
        <v>46055</v>
      </c>
      <c r="C5914" s="9" t="s">
        <v>5588</v>
      </c>
      <c r="D5914" s="9" t="s">
        <v>3352</v>
      </c>
      <c r="F5914" s="6">
        <v>70</v>
      </c>
      <c r="G5914" s="6">
        <f t="shared" si="294"/>
        <v>70</v>
      </c>
      <c r="H5914" s="6">
        <v>70</v>
      </c>
      <c r="I5914" s="26">
        <f t="shared" si="295"/>
        <v>0</v>
      </c>
      <c r="J5914" s="7" t="str">
        <f t="shared" si="296"/>
        <v>PAGADO</v>
      </c>
    </row>
    <row r="5915" spans="1:13" x14ac:dyDescent="0.25">
      <c r="A5915" s="73">
        <v>46055</v>
      </c>
      <c r="C5915" s="9" t="s">
        <v>5589</v>
      </c>
      <c r="D5915" s="9" t="s">
        <v>3352</v>
      </c>
      <c r="F5915" s="6">
        <v>65</v>
      </c>
      <c r="G5915" s="6">
        <f t="shared" si="294"/>
        <v>65</v>
      </c>
      <c r="H5915" s="6">
        <v>65</v>
      </c>
      <c r="I5915" s="26">
        <f t="shared" si="295"/>
        <v>0</v>
      </c>
      <c r="J5915" s="7" t="str">
        <f t="shared" si="296"/>
        <v>PAGADO</v>
      </c>
    </row>
    <row r="5916" spans="1:13" x14ac:dyDescent="0.25">
      <c r="A5916" s="73">
        <v>46055</v>
      </c>
      <c r="C5916" s="9" t="s">
        <v>5011</v>
      </c>
      <c r="D5916" s="9" t="s">
        <v>3352</v>
      </c>
      <c r="F5916" s="6">
        <v>80</v>
      </c>
      <c r="G5916" s="6">
        <f t="shared" si="294"/>
        <v>80</v>
      </c>
      <c r="H5916" s="6">
        <v>80</v>
      </c>
      <c r="I5916" s="26">
        <f t="shared" si="295"/>
        <v>0</v>
      </c>
      <c r="J5916" s="7" t="str">
        <f t="shared" si="296"/>
        <v>PAGADO</v>
      </c>
    </row>
    <row r="5917" spans="1:13" x14ac:dyDescent="0.25">
      <c r="A5917" s="73">
        <v>46055</v>
      </c>
      <c r="C5917" s="9" t="s">
        <v>5590</v>
      </c>
      <c r="D5917" s="9" t="s">
        <v>4163</v>
      </c>
      <c r="F5917" s="6">
        <v>80</v>
      </c>
      <c r="G5917" s="6">
        <f t="shared" si="294"/>
        <v>80</v>
      </c>
      <c r="H5917" s="6">
        <f>40+40</f>
        <v>80</v>
      </c>
      <c r="I5917" s="26">
        <f t="shared" si="295"/>
        <v>0</v>
      </c>
      <c r="J5917" s="7" t="str">
        <f t="shared" si="296"/>
        <v>PAGADO</v>
      </c>
      <c r="K5917" s="33" t="s">
        <v>2714</v>
      </c>
    </row>
    <row r="5918" spans="1:13" x14ac:dyDescent="0.25">
      <c r="A5918" s="73">
        <v>46055</v>
      </c>
      <c r="C5918" s="9" t="s">
        <v>5011</v>
      </c>
      <c r="D5918" s="9" t="s">
        <v>4163</v>
      </c>
      <c r="F5918" s="6">
        <v>80</v>
      </c>
      <c r="G5918" s="6">
        <f t="shared" si="294"/>
        <v>80</v>
      </c>
      <c r="H5918" s="6">
        <f>40+40</f>
        <v>80</v>
      </c>
      <c r="I5918" s="26">
        <f t="shared" si="295"/>
        <v>0</v>
      </c>
      <c r="J5918" s="7" t="str">
        <f t="shared" si="296"/>
        <v>PAGADO</v>
      </c>
      <c r="K5918" s="33" t="s">
        <v>3819</v>
      </c>
    </row>
    <row r="5919" spans="1:13" x14ac:dyDescent="0.25">
      <c r="A5919" s="73">
        <v>46055</v>
      </c>
      <c r="C5919" s="98" t="s">
        <v>5591</v>
      </c>
      <c r="D5919" s="119" t="s">
        <v>2018</v>
      </c>
      <c r="F5919" s="6">
        <v>130</v>
      </c>
      <c r="G5919" s="6">
        <f t="shared" si="294"/>
        <v>130</v>
      </c>
      <c r="H5919" s="6">
        <v>130</v>
      </c>
      <c r="I5919" s="26">
        <f t="shared" si="295"/>
        <v>0</v>
      </c>
      <c r="J5919" s="7" t="str">
        <f t="shared" si="296"/>
        <v>PAGADO</v>
      </c>
      <c r="K5919" s="34" t="s">
        <v>2714</v>
      </c>
    </row>
    <row r="5920" spans="1:13" x14ac:dyDescent="0.25">
      <c r="A5920" s="122">
        <v>46055</v>
      </c>
      <c r="C5920" s="9" t="s">
        <v>4634</v>
      </c>
      <c r="D5920" s="9" t="s">
        <v>3331</v>
      </c>
      <c r="F5920" s="6">
        <v>180</v>
      </c>
      <c r="G5920" s="6">
        <f t="shared" si="294"/>
        <v>180</v>
      </c>
      <c r="H5920" s="6">
        <f>71+19+20+20+20+20</f>
        <v>170</v>
      </c>
      <c r="I5920" s="26">
        <f t="shared" si="295"/>
        <v>10</v>
      </c>
      <c r="J5920" s="7" t="str">
        <f t="shared" si="296"/>
        <v>DEBE</v>
      </c>
      <c r="K5920" s="9" t="s">
        <v>3819</v>
      </c>
    </row>
    <row r="5921" spans="1:13" x14ac:dyDescent="0.25">
      <c r="A5921" s="73">
        <v>46055</v>
      </c>
      <c r="C5921" t="s">
        <v>2522</v>
      </c>
      <c r="D5921" t="s">
        <v>5527</v>
      </c>
      <c r="F5921" s="6">
        <v>65</v>
      </c>
      <c r="G5921" s="6">
        <f t="shared" si="294"/>
        <v>65</v>
      </c>
      <c r="H5921" s="6">
        <v>65</v>
      </c>
      <c r="I5921" s="26">
        <f t="shared" si="295"/>
        <v>0</v>
      </c>
      <c r="J5921" s="7" t="str">
        <f t="shared" si="296"/>
        <v>PAGADO</v>
      </c>
    </row>
    <row r="5922" spans="1:13" x14ac:dyDescent="0.25">
      <c r="A5922" s="73">
        <v>46056</v>
      </c>
      <c r="C5922" s="9" t="s">
        <v>5557</v>
      </c>
      <c r="D5922" s="9" t="s">
        <v>5592</v>
      </c>
      <c r="F5922" s="6">
        <v>90</v>
      </c>
      <c r="G5922" s="6">
        <f t="shared" si="294"/>
        <v>90</v>
      </c>
      <c r="H5922" s="6">
        <v>45</v>
      </c>
      <c r="I5922" s="26">
        <f t="shared" si="295"/>
        <v>45</v>
      </c>
      <c r="J5922" s="7" t="str">
        <f t="shared" si="296"/>
        <v>DEBE</v>
      </c>
      <c r="K5922" s="33" t="s">
        <v>3819</v>
      </c>
    </row>
    <row r="5923" spans="1:13" x14ac:dyDescent="0.25">
      <c r="A5923" s="73">
        <v>46056</v>
      </c>
      <c r="C5923" s="9" t="s">
        <v>5556</v>
      </c>
      <c r="D5923" s="9" t="s">
        <v>3331</v>
      </c>
      <c r="F5923" s="6">
        <v>190</v>
      </c>
      <c r="G5923" s="6">
        <f t="shared" si="294"/>
        <v>190</v>
      </c>
      <c r="H5923" s="6">
        <f>5+50+20+20</f>
        <v>95</v>
      </c>
      <c r="I5923" s="26">
        <f t="shared" si="295"/>
        <v>95</v>
      </c>
      <c r="J5923" s="7" t="str">
        <f t="shared" si="296"/>
        <v>DEBE</v>
      </c>
      <c r="K5923" s="9" t="s">
        <v>5511</v>
      </c>
    </row>
    <row r="5924" spans="1:13" x14ac:dyDescent="0.25">
      <c r="A5924" s="73">
        <v>46056</v>
      </c>
      <c r="C5924" s="9" t="s">
        <v>4709</v>
      </c>
      <c r="D5924" s="9" t="s">
        <v>5539</v>
      </c>
      <c r="F5924" s="6">
        <v>80</v>
      </c>
      <c r="G5924" s="6">
        <f t="shared" si="294"/>
        <v>80</v>
      </c>
      <c r="H5924" s="6">
        <f>40+40</f>
        <v>80</v>
      </c>
      <c r="I5924" s="16">
        <f t="shared" si="295"/>
        <v>0</v>
      </c>
      <c r="J5924" s="7" t="str">
        <f t="shared" si="296"/>
        <v>PAGADO</v>
      </c>
      <c r="K5924" s="33" t="s">
        <v>3819</v>
      </c>
    </row>
    <row r="5925" spans="1:13" x14ac:dyDescent="0.25">
      <c r="A5925" s="73">
        <v>46056</v>
      </c>
      <c r="C5925" s="119" t="s">
        <v>5593</v>
      </c>
      <c r="D5925" s="98" t="s">
        <v>5202</v>
      </c>
      <c r="F5925" s="6">
        <v>115</v>
      </c>
      <c r="G5925" s="6">
        <f t="shared" si="294"/>
        <v>115</v>
      </c>
      <c r="H5925" s="6">
        <v>115</v>
      </c>
      <c r="I5925" s="26">
        <f t="shared" si="295"/>
        <v>0</v>
      </c>
      <c r="J5925" s="7" t="str">
        <f t="shared" si="296"/>
        <v>PAGADO</v>
      </c>
      <c r="K5925" s="34"/>
    </row>
    <row r="5926" spans="1:13" x14ac:dyDescent="0.25">
      <c r="A5926" s="73">
        <v>46056</v>
      </c>
      <c r="C5926" t="s">
        <v>5594</v>
      </c>
      <c r="D5926" s="9" t="s">
        <v>5122</v>
      </c>
      <c r="F5926" s="6">
        <v>50</v>
      </c>
      <c r="G5926" s="6">
        <f t="shared" si="294"/>
        <v>50</v>
      </c>
      <c r="H5926" s="6">
        <v>50</v>
      </c>
      <c r="I5926" s="27">
        <f t="shared" si="295"/>
        <v>0</v>
      </c>
      <c r="J5926" s="7" t="str">
        <f t="shared" si="296"/>
        <v>PAGADO</v>
      </c>
      <c r="K5926" s="9" t="s">
        <v>2712</v>
      </c>
    </row>
    <row r="5927" spans="1:13" x14ac:dyDescent="0.25">
      <c r="A5927" s="73">
        <v>46056</v>
      </c>
      <c r="C5927" t="s">
        <v>5595</v>
      </c>
      <c r="D5927" s="9" t="s">
        <v>5596</v>
      </c>
      <c r="F5927" s="6">
        <v>180</v>
      </c>
      <c r="G5927" s="6">
        <f t="shared" si="294"/>
        <v>180</v>
      </c>
      <c r="H5927" s="6">
        <v>180</v>
      </c>
      <c r="I5927" s="26">
        <f t="shared" si="295"/>
        <v>0</v>
      </c>
      <c r="J5927" s="7" t="str">
        <f t="shared" si="296"/>
        <v>PAGADO</v>
      </c>
      <c r="K5927" t="s">
        <v>693</v>
      </c>
    </row>
    <row r="5928" spans="1:13" x14ac:dyDescent="0.25">
      <c r="A5928" s="73">
        <v>46056</v>
      </c>
      <c r="C5928" t="s">
        <v>3945</v>
      </c>
      <c r="D5928" s="9" t="s">
        <v>5596</v>
      </c>
      <c r="F5928" s="6">
        <v>80</v>
      </c>
      <c r="G5928" s="6">
        <f t="shared" si="294"/>
        <v>80</v>
      </c>
      <c r="H5928" s="6">
        <v>80</v>
      </c>
      <c r="I5928" s="26">
        <f t="shared" si="295"/>
        <v>0</v>
      </c>
      <c r="J5928" s="7" t="str">
        <f t="shared" si="296"/>
        <v>PAGADO</v>
      </c>
      <c r="K5928" t="s">
        <v>693</v>
      </c>
    </row>
    <row r="5929" spans="1:13" x14ac:dyDescent="0.25">
      <c r="A5929" s="73">
        <v>46056</v>
      </c>
      <c r="C5929" t="s">
        <v>5597</v>
      </c>
      <c r="D5929" s="9" t="s">
        <v>5596</v>
      </c>
      <c r="F5929" s="6">
        <v>130</v>
      </c>
      <c r="G5929" s="6">
        <f t="shared" si="294"/>
        <v>130</v>
      </c>
      <c r="H5929" s="6">
        <v>130</v>
      </c>
      <c r="I5929" s="26">
        <f t="shared" si="295"/>
        <v>0</v>
      </c>
      <c r="J5929" s="7" t="str">
        <f t="shared" si="296"/>
        <v>PAGADO</v>
      </c>
      <c r="K5929" t="s">
        <v>693</v>
      </c>
    </row>
    <row r="5930" spans="1:13" x14ac:dyDescent="0.25">
      <c r="A5930" s="73">
        <v>46056</v>
      </c>
      <c r="C5930" t="s">
        <v>5598</v>
      </c>
      <c r="D5930" s="9" t="s">
        <v>5596</v>
      </c>
      <c r="F5930" s="6">
        <v>120</v>
      </c>
      <c r="G5930" s="6">
        <f t="shared" si="294"/>
        <v>120</v>
      </c>
      <c r="H5930" s="6">
        <v>120</v>
      </c>
      <c r="I5930" s="26">
        <f t="shared" si="295"/>
        <v>0</v>
      </c>
      <c r="J5930" s="7" t="str">
        <f t="shared" si="296"/>
        <v>PAGADO</v>
      </c>
      <c r="K5930" t="s">
        <v>693</v>
      </c>
    </row>
    <row r="5931" spans="1:13" x14ac:dyDescent="0.25">
      <c r="A5931" s="73">
        <v>46056</v>
      </c>
      <c r="C5931" s="119" t="s">
        <v>5599</v>
      </c>
      <c r="D5931" s="98" t="s">
        <v>1510</v>
      </c>
      <c r="F5931" s="6">
        <v>70</v>
      </c>
      <c r="G5931" s="6">
        <f t="shared" si="294"/>
        <v>70</v>
      </c>
      <c r="H5931" s="6">
        <v>70</v>
      </c>
      <c r="I5931" s="26">
        <f t="shared" si="295"/>
        <v>0</v>
      </c>
      <c r="J5931" s="7" t="str">
        <f t="shared" si="296"/>
        <v>PAGADO</v>
      </c>
    </row>
    <row r="5932" spans="1:13" x14ac:dyDescent="0.25">
      <c r="A5932" s="73">
        <v>46056</v>
      </c>
      <c r="C5932" s="119" t="s">
        <v>5581</v>
      </c>
      <c r="D5932" s="98" t="s">
        <v>1510</v>
      </c>
      <c r="F5932" s="6">
        <v>210</v>
      </c>
      <c r="G5932" s="6">
        <f t="shared" si="294"/>
        <v>210</v>
      </c>
      <c r="H5932" s="6">
        <v>105</v>
      </c>
      <c r="I5932" s="43">
        <f t="shared" si="295"/>
        <v>105</v>
      </c>
      <c r="J5932" s="7" t="str">
        <f t="shared" si="296"/>
        <v>DEBE</v>
      </c>
      <c r="K5932" s="34" t="s">
        <v>2754</v>
      </c>
      <c r="M5932" s="8" t="s">
        <v>5582</v>
      </c>
    </row>
    <row r="5933" spans="1:13" x14ac:dyDescent="0.25">
      <c r="A5933" s="73">
        <v>46056</v>
      </c>
      <c r="C5933" s="119" t="s">
        <v>5579</v>
      </c>
      <c r="D5933" s="98" t="s">
        <v>1510</v>
      </c>
      <c r="F5933" s="6">
        <v>75</v>
      </c>
      <c r="G5933" s="6">
        <f t="shared" si="294"/>
        <v>75</v>
      </c>
      <c r="H5933" s="6">
        <v>37.5</v>
      </c>
      <c r="I5933" s="43">
        <f t="shared" si="295"/>
        <v>37.5</v>
      </c>
      <c r="J5933" s="7" t="str">
        <f t="shared" si="296"/>
        <v>DEBE</v>
      </c>
      <c r="K5933" s="34" t="s">
        <v>2754</v>
      </c>
      <c r="M5933" s="8" t="s">
        <v>5576</v>
      </c>
    </row>
    <row r="5934" spans="1:13" x14ac:dyDescent="0.25">
      <c r="A5934" s="73">
        <v>46056</v>
      </c>
      <c r="C5934" s="119" t="s">
        <v>798</v>
      </c>
      <c r="D5934" s="98" t="s">
        <v>1510</v>
      </c>
      <c r="F5934" s="6">
        <v>70</v>
      </c>
      <c r="G5934" s="6">
        <f t="shared" si="294"/>
        <v>70</v>
      </c>
      <c r="H5934" s="6">
        <v>35</v>
      </c>
      <c r="I5934" s="43">
        <f t="shared" si="295"/>
        <v>35</v>
      </c>
      <c r="J5934" s="7" t="str">
        <f t="shared" si="296"/>
        <v>DEBE</v>
      </c>
      <c r="K5934" s="34" t="s">
        <v>2754</v>
      </c>
      <c r="M5934" s="8" t="s">
        <v>5576</v>
      </c>
    </row>
    <row r="5935" spans="1:13" x14ac:dyDescent="0.25">
      <c r="A5935" s="73">
        <v>46056</v>
      </c>
      <c r="C5935" s="119" t="s">
        <v>5600</v>
      </c>
      <c r="D5935" s="98" t="s">
        <v>1510</v>
      </c>
      <c r="F5935" s="6">
        <v>80</v>
      </c>
      <c r="G5935" s="6">
        <f t="shared" si="294"/>
        <v>80</v>
      </c>
      <c r="H5935" s="6">
        <v>40</v>
      </c>
      <c r="I5935" s="43">
        <f t="shared" si="295"/>
        <v>40</v>
      </c>
      <c r="J5935" s="7" t="str">
        <f t="shared" si="296"/>
        <v>DEBE</v>
      </c>
      <c r="K5935" s="34" t="s">
        <v>2754</v>
      </c>
      <c r="M5935" s="8" t="s">
        <v>5576</v>
      </c>
    </row>
    <row r="5936" spans="1:13" x14ac:dyDescent="0.25">
      <c r="A5936" s="73">
        <v>46056</v>
      </c>
      <c r="C5936" s="119" t="s">
        <v>5507</v>
      </c>
      <c r="D5936" s="98" t="s">
        <v>1510</v>
      </c>
      <c r="F5936" s="6">
        <v>80</v>
      </c>
      <c r="G5936" s="6">
        <f t="shared" si="294"/>
        <v>80</v>
      </c>
      <c r="H5936" s="6">
        <v>40</v>
      </c>
      <c r="I5936" s="43">
        <f t="shared" si="295"/>
        <v>40</v>
      </c>
      <c r="J5936" s="7" t="str">
        <f t="shared" si="296"/>
        <v>DEBE</v>
      </c>
      <c r="K5936" s="34" t="s">
        <v>2754</v>
      </c>
      <c r="M5936" s="8" t="s">
        <v>5601</v>
      </c>
    </row>
    <row r="5937" spans="1:13" x14ac:dyDescent="0.25">
      <c r="A5937" s="73">
        <v>46056</v>
      </c>
      <c r="C5937" s="119" t="s">
        <v>5602</v>
      </c>
      <c r="D5937" s="98" t="s">
        <v>5603</v>
      </c>
      <c r="F5937" s="6">
        <v>50</v>
      </c>
      <c r="G5937" s="6">
        <f t="shared" si="294"/>
        <v>50</v>
      </c>
      <c r="H5937" s="6">
        <v>50</v>
      </c>
      <c r="I5937" s="26">
        <f t="shared" si="295"/>
        <v>0</v>
      </c>
      <c r="J5937" s="7" t="str">
        <f t="shared" si="296"/>
        <v>PAGADO</v>
      </c>
    </row>
    <row r="5938" spans="1:13" x14ac:dyDescent="0.25">
      <c r="A5938" s="73">
        <v>46056</v>
      </c>
      <c r="C5938" s="9" t="s">
        <v>5604</v>
      </c>
      <c r="D5938" s="9" t="s">
        <v>5494</v>
      </c>
      <c r="F5938" s="6">
        <v>50</v>
      </c>
      <c r="G5938" s="6">
        <f t="shared" si="294"/>
        <v>50</v>
      </c>
      <c r="H5938" s="6">
        <f>25+25</f>
        <v>50</v>
      </c>
      <c r="I5938" s="26">
        <f t="shared" si="295"/>
        <v>0</v>
      </c>
      <c r="J5938" s="7" t="str">
        <f t="shared" si="296"/>
        <v>PAGADO</v>
      </c>
    </row>
    <row r="5939" spans="1:13" x14ac:dyDescent="0.25">
      <c r="A5939" s="73">
        <v>46056</v>
      </c>
      <c r="C5939" s="9" t="s">
        <v>5605</v>
      </c>
      <c r="D5939" s="9" t="s">
        <v>5494</v>
      </c>
      <c r="F5939" s="6">
        <v>60</v>
      </c>
      <c r="G5939" s="6">
        <f t="shared" si="294"/>
        <v>60</v>
      </c>
      <c r="H5939" s="6">
        <v>60</v>
      </c>
      <c r="I5939" s="26">
        <f t="shared" si="295"/>
        <v>0</v>
      </c>
      <c r="J5939" s="7" t="str">
        <f t="shared" si="296"/>
        <v>PAGADO</v>
      </c>
    </row>
    <row r="5940" spans="1:13" x14ac:dyDescent="0.25">
      <c r="A5940" s="73">
        <v>46056</v>
      </c>
      <c r="C5940" s="9" t="s">
        <v>5606</v>
      </c>
      <c r="D5940" s="9" t="s">
        <v>4273</v>
      </c>
      <c r="F5940" s="6">
        <v>40</v>
      </c>
      <c r="G5940" s="6">
        <f t="shared" si="294"/>
        <v>40</v>
      </c>
      <c r="H5940" s="6">
        <v>40</v>
      </c>
      <c r="I5940" s="26">
        <f t="shared" si="295"/>
        <v>0</v>
      </c>
      <c r="J5940" s="7" t="str">
        <f t="shared" si="296"/>
        <v>PAGADO</v>
      </c>
    </row>
    <row r="5941" spans="1:13" x14ac:dyDescent="0.25">
      <c r="A5941" s="73">
        <v>46056</v>
      </c>
      <c r="C5941" s="9" t="s">
        <v>5607</v>
      </c>
      <c r="D5941" s="9" t="s">
        <v>4273</v>
      </c>
      <c r="F5941" s="6">
        <v>25</v>
      </c>
      <c r="G5941" s="6">
        <f t="shared" si="294"/>
        <v>25</v>
      </c>
      <c r="H5941" s="6">
        <v>25</v>
      </c>
      <c r="I5941" s="26">
        <f t="shared" si="295"/>
        <v>0</v>
      </c>
      <c r="J5941" s="7" t="str">
        <f t="shared" si="296"/>
        <v>PAGADO</v>
      </c>
    </row>
    <row r="5942" spans="1:13" x14ac:dyDescent="0.25">
      <c r="A5942" s="73">
        <v>46056</v>
      </c>
      <c r="C5942" s="9" t="s">
        <v>5608</v>
      </c>
      <c r="D5942" s="9" t="s">
        <v>4273</v>
      </c>
      <c r="F5942" s="6">
        <v>50</v>
      </c>
      <c r="G5942" s="6">
        <f t="shared" si="294"/>
        <v>50</v>
      </c>
      <c r="H5942" s="6">
        <v>50</v>
      </c>
      <c r="I5942" s="26">
        <f t="shared" si="295"/>
        <v>0</v>
      </c>
      <c r="J5942" s="7" t="str">
        <f t="shared" si="296"/>
        <v>PAGADO</v>
      </c>
    </row>
    <row r="5943" spans="1:13" x14ac:dyDescent="0.25">
      <c r="A5943" s="73">
        <v>46056</v>
      </c>
      <c r="C5943" t="s">
        <v>5609</v>
      </c>
      <c r="D5943" s="9" t="s">
        <v>4590</v>
      </c>
      <c r="F5943" s="6">
        <v>65</v>
      </c>
      <c r="G5943" s="6">
        <f t="shared" si="294"/>
        <v>65</v>
      </c>
      <c r="H5943" s="6">
        <f>10+15+20+20</f>
        <v>65</v>
      </c>
      <c r="I5943" s="26">
        <f t="shared" si="295"/>
        <v>0</v>
      </c>
      <c r="J5943" s="7" t="str">
        <f t="shared" si="296"/>
        <v>PAGADO</v>
      </c>
    </row>
    <row r="5944" spans="1:13" x14ac:dyDescent="0.25">
      <c r="A5944" s="73">
        <v>46057</v>
      </c>
      <c r="C5944" s="98" t="s">
        <v>4215</v>
      </c>
      <c r="D5944" s="9" t="s">
        <v>5145</v>
      </c>
      <c r="F5944" s="6">
        <v>60</v>
      </c>
      <c r="G5944" s="6">
        <f t="shared" si="294"/>
        <v>60</v>
      </c>
      <c r="H5944" s="6">
        <v>60</v>
      </c>
      <c r="I5944" s="26">
        <f t="shared" si="295"/>
        <v>0</v>
      </c>
      <c r="J5944" s="7" t="str">
        <f t="shared" si="296"/>
        <v>PAGADO</v>
      </c>
      <c r="K5944" s="28" t="s">
        <v>2714</v>
      </c>
    </row>
    <row r="5945" spans="1:13" x14ac:dyDescent="0.25">
      <c r="A5945" s="73">
        <v>46057</v>
      </c>
      <c r="C5945" s="119" t="s">
        <v>4189</v>
      </c>
      <c r="D5945" s="9" t="s">
        <v>5145</v>
      </c>
      <c r="F5945" s="6">
        <v>90</v>
      </c>
      <c r="G5945" s="6">
        <f t="shared" si="294"/>
        <v>90</v>
      </c>
      <c r="H5945" s="6">
        <f>45+45</f>
        <v>90</v>
      </c>
      <c r="I5945" s="16">
        <f t="shared" si="295"/>
        <v>0</v>
      </c>
      <c r="J5945" s="7" t="str">
        <f t="shared" si="296"/>
        <v>PAGADO</v>
      </c>
      <c r="K5945" s="28" t="s">
        <v>3819</v>
      </c>
    </row>
    <row r="5946" spans="1:13" x14ac:dyDescent="0.25">
      <c r="A5946" s="73">
        <v>46057</v>
      </c>
      <c r="C5946" t="s">
        <v>5610</v>
      </c>
      <c r="D5946" s="9" t="s">
        <v>5596</v>
      </c>
      <c r="F5946" s="6">
        <v>80</v>
      </c>
      <c r="G5946" s="6">
        <f t="shared" si="294"/>
        <v>80</v>
      </c>
      <c r="H5946" s="6">
        <v>40</v>
      </c>
      <c r="I5946" s="26">
        <f t="shared" si="295"/>
        <v>40</v>
      </c>
      <c r="J5946" s="7" t="str">
        <f t="shared" si="296"/>
        <v>DEBE</v>
      </c>
      <c r="K5946" s="34" t="s">
        <v>2754</v>
      </c>
      <c r="M5946" s="8" t="s">
        <v>5249</v>
      </c>
    </row>
    <row r="5947" spans="1:13" x14ac:dyDescent="0.25">
      <c r="A5947" s="73">
        <v>46057</v>
      </c>
      <c r="C5947" t="s">
        <v>5611</v>
      </c>
      <c r="D5947" s="9" t="s">
        <v>5596</v>
      </c>
      <c r="F5947" s="6">
        <v>140</v>
      </c>
      <c r="G5947" s="6">
        <f t="shared" si="294"/>
        <v>140</v>
      </c>
      <c r="H5947" s="6">
        <v>70</v>
      </c>
      <c r="I5947" s="26">
        <f t="shared" si="295"/>
        <v>70</v>
      </c>
      <c r="J5947" s="7" t="str">
        <f t="shared" si="296"/>
        <v>DEBE</v>
      </c>
      <c r="K5947" s="34" t="s">
        <v>2754</v>
      </c>
      <c r="M5947" s="8" t="s">
        <v>5249</v>
      </c>
    </row>
    <row r="5948" spans="1:13" x14ac:dyDescent="0.25">
      <c r="A5948" s="73">
        <v>46057</v>
      </c>
      <c r="C5948" t="s">
        <v>5015</v>
      </c>
      <c r="D5948" s="9" t="s">
        <v>5596</v>
      </c>
      <c r="F5948" s="6">
        <v>90</v>
      </c>
      <c r="G5948" s="6">
        <f t="shared" si="294"/>
        <v>90</v>
      </c>
      <c r="H5948" s="6">
        <v>45</v>
      </c>
      <c r="I5948" s="26">
        <f t="shared" si="295"/>
        <v>45</v>
      </c>
      <c r="J5948" s="7" t="str">
        <f t="shared" si="296"/>
        <v>DEBE</v>
      </c>
      <c r="K5948" s="34" t="s">
        <v>2754</v>
      </c>
      <c r="M5948" s="8" t="s">
        <v>5249</v>
      </c>
    </row>
    <row r="5949" spans="1:13" x14ac:dyDescent="0.25">
      <c r="A5949" s="73">
        <v>46057</v>
      </c>
      <c r="C5949" t="s">
        <v>5466</v>
      </c>
      <c r="D5949" s="9" t="s">
        <v>5596</v>
      </c>
      <c r="F5949" s="6">
        <v>70</v>
      </c>
      <c r="G5949" s="6">
        <f t="shared" si="294"/>
        <v>70</v>
      </c>
      <c r="H5949" s="6">
        <v>35</v>
      </c>
      <c r="I5949" s="26">
        <f t="shared" si="295"/>
        <v>35</v>
      </c>
      <c r="J5949" s="7" t="str">
        <f t="shared" si="296"/>
        <v>DEBE</v>
      </c>
      <c r="K5949" s="34" t="s">
        <v>2754</v>
      </c>
      <c r="M5949" s="8" t="s">
        <v>5314</v>
      </c>
    </row>
    <row r="5950" spans="1:13" x14ac:dyDescent="0.25">
      <c r="A5950" s="73">
        <v>46057</v>
      </c>
      <c r="C5950" t="s">
        <v>4215</v>
      </c>
      <c r="D5950" s="9" t="s">
        <v>5596</v>
      </c>
      <c r="F5950" s="6">
        <v>70</v>
      </c>
      <c r="G5950" s="6">
        <f t="shared" ref="G5950:G6013" si="297">F5950-E5950</f>
        <v>70</v>
      </c>
      <c r="H5950" s="6">
        <v>35</v>
      </c>
      <c r="I5950" s="26">
        <f t="shared" si="295"/>
        <v>35</v>
      </c>
      <c r="J5950" s="7" t="str">
        <f t="shared" si="296"/>
        <v>DEBE</v>
      </c>
      <c r="K5950" s="34" t="s">
        <v>2754</v>
      </c>
      <c r="M5950" s="8" t="s">
        <v>5249</v>
      </c>
    </row>
    <row r="5951" spans="1:13" x14ac:dyDescent="0.25">
      <c r="A5951" s="73">
        <v>46057</v>
      </c>
      <c r="C5951" t="s">
        <v>5437</v>
      </c>
      <c r="D5951" s="9" t="s">
        <v>5596</v>
      </c>
      <c r="F5951" s="6">
        <v>90</v>
      </c>
      <c r="G5951" s="6">
        <f t="shared" si="297"/>
        <v>90</v>
      </c>
      <c r="H5951" s="6">
        <v>45</v>
      </c>
      <c r="I5951" s="26">
        <f t="shared" si="295"/>
        <v>45</v>
      </c>
      <c r="J5951" s="7" t="str">
        <f t="shared" si="296"/>
        <v>DEBE</v>
      </c>
      <c r="K5951" s="34" t="s">
        <v>2754</v>
      </c>
      <c r="M5951" s="8" t="s">
        <v>5438</v>
      </c>
    </row>
    <row r="5952" spans="1:13" x14ac:dyDescent="0.25">
      <c r="A5952" s="73">
        <v>46057</v>
      </c>
      <c r="C5952" t="s">
        <v>5612</v>
      </c>
      <c r="D5952" s="9" t="s">
        <v>4141</v>
      </c>
      <c r="F5952" s="6">
        <v>160</v>
      </c>
      <c r="G5952" s="6">
        <f t="shared" si="297"/>
        <v>160</v>
      </c>
      <c r="H5952" s="6">
        <v>80</v>
      </c>
      <c r="I5952" s="26">
        <f t="shared" si="295"/>
        <v>80</v>
      </c>
      <c r="J5952" s="7" t="str">
        <f t="shared" si="296"/>
        <v>DEBE</v>
      </c>
      <c r="K5952" s="33" t="s">
        <v>2754</v>
      </c>
      <c r="M5952" s="8" t="s">
        <v>5613</v>
      </c>
    </row>
    <row r="5953" spans="1:13" x14ac:dyDescent="0.25">
      <c r="A5953" s="73">
        <v>46057</v>
      </c>
      <c r="C5953" s="9" t="s">
        <v>5614</v>
      </c>
      <c r="D5953" s="9" t="s">
        <v>18</v>
      </c>
      <c r="F5953" s="6">
        <v>50</v>
      </c>
      <c r="G5953" s="6">
        <f t="shared" si="297"/>
        <v>50</v>
      </c>
      <c r="H5953" s="6">
        <v>50</v>
      </c>
      <c r="I5953" s="26">
        <f t="shared" si="295"/>
        <v>0</v>
      </c>
      <c r="J5953" s="7" t="str">
        <f t="shared" si="296"/>
        <v>PAGADO</v>
      </c>
      <c r="K5953" t="s">
        <v>5514</v>
      </c>
    </row>
    <row r="5954" spans="1:13" x14ac:dyDescent="0.25">
      <c r="A5954" s="73">
        <v>46057</v>
      </c>
      <c r="C5954" s="9" t="s">
        <v>5615</v>
      </c>
      <c r="D5954" s="9" t="s">
        <v>18</v>
      </c>
      <c r="F5954" s="6">
        <v>70</v>
      </c>
      <c r="G5954" s="6">
        <f t="shared" si="297"/>
        <v>70</v>
      </c>
      <c r="H5954" s="6">
        <v>70</v>
      </c>
      <c r="I5954" s="26">
        <f t="shared" si="295"/>
        <v>0</v>
      </c>
      <c r="J5954" s="7" t="str">
        <f t="shared" si="296"/>
        <v>PAGADO</v>
      </c>
      <c r="K5954" t="s">
        <v>2754</v>
      </c>
      <c r="M5954" s="8" t="s">
        <v>5616</v>
      </c>
    </row>
    <row r="5955" spans="1:13" x14ac:dyDescent="0.25">
      <c r="A5955" s="73">
        <v>46057</v>
      </c>
      <c r="C5955" s="9" t="s">
        <v>5617</v>
      </c>
      <c r="D5955" s="9" t="s">
        <v>3352</v>
      </c>
      <c r="F5955" s="26">
        <v>60</v>
      </c>
      <c r="G5955" s="26">
        <f t="shared" si="297"/>
        <v>60</v>
      </c>
      <c r="H5955" s="27">
        <v>60</v>
      </c>
      <c r="I5955" s="26">
        <f t="shared" si="295"/>
        <v>0</v>
      </c>
      <c r="J5955" s="7" t="str">
        <f t="shared" si="296"/>
        <v>PAGADO</v>
      </c>
      <c r="K5955" s="33" t="s">
        <v>2712</v>
      </c>
    </row>
    <row r="5956" spans="1:13" x14ac:dyDescent="0.25">
      <c r="A5956" s="73">
        <v>46057</v>
      </c>
      <c r="C5956" s="9" t="s">
        <v>4709</v>
      </c>
      <c r="D5956" s="9" t="s">
        <v>5592</v>
      </c>
      <c r="F5956" s="6">
        <v>80</v>
      </c>
      <c r="G5956" s="6">
        <f t="shared" si="297"/>
        <v>80</v>
      </c>
      <c r="H5956" s="6">
        <v>40</v>
      </c>
      <c r="I5956" s="26">
        <f t="shared" si="295"/>
        <v>40</v>
      </c>
      <c r="J5956" s="7" t="str">
        <f t="shared" si="296"/>
        <v>DEBE</v>
      </c>
      <c r="K5956" s="34" t="s">
        <v>3819</v>
      </c>
    </row>
    <row r="5957" spans="1:13" x14ac:dyDescent="0.25">
      <c r="A5957" s="73">
        <v>46057</v>
      </c>
      <c r="C5957" s="9" t="s">
        <v>535</v>
      </c>
      <c r="D5957" s="9" t="s">
        <v>5592</v>
      </c>
      <c r="F5957" s="6">
        <v>70</v>
      </c>
      <c r="G5957" s="6">
        <f t="shared" si="297"/>
        <v>70</v>
      </c>
      <c r="H5957" s="6">
        <f>35+35</f>
        <v>70</v>
      </c>
      <c r="I5957" s="26">
        <f t="shared" si="295"/>
        <v>0</v>
      </c>
      <c r="J5957" s="7" t="str">
        <f t="shared" si="296"/>
        <v>PAGADO</v>
      </c>
      <c r="K5957" s="9" t="s">
        <v>2712</v>
      </c>
    </row>
    <row r="5958" spans="1:13" x14ac:dyDescent="0.25">
      <c r="A5958" s="73">
        <v>46057</v>
      </c>
      <c r="C5958" s="9" t="s">
        <v>1819</v>
      </c>
      <c r="D5958" s="9" t="s">
        <v>5592</v>
      </c>
      <c r="F5958" s="6">
        <v>70</v>
      </c>
      <c r="G5958" s="6">
        <f t="shared" si="297"/>
        <v>70</v>
      </c>
      <c r="H5958" s="6">
        <f>55+15</f>
        <v>70</v>
      </c>
      <c r="I5958" s="26">
        <f t="shared" si="295"/>
        <v>0</v>
      </c>
      <c r="J5958" s="7" t="str">
        <f t="shared" si="296"/>
        <v>PAGADO</v>
      </c>
      <c r="K5958" s="33" t="s">
        <v>2714</v>
      </c>
    </row>
    <row r="5959" spans="1:13" x14ac:dyDescent="0.25">
      <c r="A5959" s="73">
        <v>46057</v>
      </c>
      <c r="C5959" s="9" t="s">
        <v>5618</v>
      </c>
      <c r="D5959" s="9" t="s">
        <v>18</v>
      </c>
      <c r="F5959" s="6">
        <v>50</v>
      </c>
      <c r="G5959" s="6">
        <f t="shared" si="297"/>
        <v>50</v>
      </c>
      <c r="H5959" s="6">
        <v>50</v>
      </c>
      <c r="I5959" s="26">
        <f t="shared" si="295"/>
        <v>0</v>
      </c>
      <c r="J5959" s="7" t="str">
        <f t="shared" si="296"/>
        <v>PAGADO</v>
      </c>
    </row>
    <row r="5960" spans="1:13" x14ac:dyDescent="0.25">
      <c r="A5960" s="73">
        <v>46057</v>
      </c>
      <c r="C5960" s="9" t="s">
        <v>4317</v>
      </c>
      <c r="D5960" s="9" t="s">
        <v>5619</v>
      </c>
      <c r="F5960" s="6">
        <v>80</v>
      </c>
      <c r="G5960" s="6">
        <f t="shared" si="297"/>
        <v>80</v>
      </c>
      <c r="H5960" s="6">
        <v>80</v>
      </c>
      <c r="I5960" s="26">
        <f t="shared" si="295"/>
        <v>0</v>
      </c>
      <c r="J5960" s="7" t="str">
        <f t="shared" si="296"/>
        <v>PAGADO</v>
      </c>
    </row>
    <row r="5961" spans="1:13" x14ac:dyDescent="0.25">
      <c r="A5961" s="73">
        <v>46057</v>
      </c>
      <c r="C5961" s="9" t="s">
        <v>5620</v>
      </c>
      <c r="D5961" s="9" t="s">
        <v>5619</v>
      </c>
      <c r="F5961" s="6">
        <v>20</v>
      </c>
      <c r="G5961" s="6">
        <f t="shared" si="297"/>
        <v>20</v>
      </c>
      <c r="H5961" s="6">
        <v>20</v>
      </c>
      <c r="I5961" s="26">
        <f t="shared" si="295"/>
        <v>0</v>
      </c>
      <c r="J5961" s="7" t="str">
        <f t="shared" si="296"/>
        <v>PAGADO</v>
      </c>
    </row>
    <row r="5962" spans="1:13" x14ac:dyDescent="0.25">
      <c r="A5962" s="73">
        <v>46057</v>
      </c>
      <c r="C5962" s="9" t="s">
        <v>5621</v>
      </c>
      <c r="D5962" s="9" t="s">
        <v>5622</v>
      </c>
      <c r="F5962" s="6">
        <v>80</v>
      </c>
      <c r="G5962" s="6">
        <f t="shared" si="297"/>
        <v>80</v>
      </c>
      <c r="H5962" s="6">
        <v>80</v>
      </c>
      <c r="I5962" s="26">
        <f t="shared" si="295"/>
        <v>0</v>
      </c>
      <c r="J5962" s="7" t="str">
        <f t="shared" si="296"/>
        <v>PAGADO</v>
      </c>
    </row>
    <row r="5963" spans="1:13" x14ac:dyDescent="0.25">
      <c r="A5963" s="73">
        <v>46057</v>
      </c>
      <c r="C5963" s="9" t="s">
        <v>5623</v>
      </c>
      <c r="D5963" s="9" t="s">
        <v>5434</v>
      </c>
      <c r="F5963" s="6">
        <v>70</v>
      </c>
      <c r="G5963" s="6">
        <f t="shared" si="297"/>
        <v>70</v>
      </c>
      <c r="H5963" s="6">
        <v>70</v>
      </c>
      <c r="I5963" s="26">
        <f t="shared" ref="I5963:I6026" si="298">F5963-H5963</f>
        <v>0</v>
      </c>
      <c r="J5963" s="7" t="str">
        <f t="shared" si="296"/>
        <v>PAGADO</v>
      </c>
    </row>
    <row r="5964" spans="1:13" x14ac:dyDescent="0.25">
      <c r="A5964" s="73">
        <v>46057</v>
      </c>
      <c r="C5964" s="9" t="s">
        <v>5512</v>
      </c>
      <c r="D5964" s="9" t="s">
        <v>5122</v>
      </c>
      <c r="F5964" s="6">
        <v>65</v>
      </c>
      <c r="G5964" s="6">
        <f t="shared" si="297"/>
        <v>65</v>
      </c>
      <c r="H5964" s="6">
        <v>65</v>
      </c>
      <c r="I5964" s="26">
        <f t="shared" si="298"/>
        <v>0</v>
      </c>
      <c r="J5964" s="7" t="str">
        <f t="shared" si="296"/>
        <v>PAGADO</v>
      </c>
      <c r="K5964" s="33" t="s">
        <v>2714</v>
      </c>
    </row>
    <row r="5965" spans="1:13" x14ac:dyDescent="0.25">
      <c r="A5965" s="73">
        <v>46057</v>
      </c>
      <c r="C5965" s="9" t="s">
        <v>5609</v>
      </c>
      <c r="D5965" s="9" t="s">
        <v>5122</v>
      </c>
      <c r="F5965" s="6">
        <v>65</v>
      </c>
      <c r="G5965" s="6">
        <f t="shared" si="297"/>
        <v>65</v>
      </c>
      <c r="H5965" s="6">
        <v>65</v>
      </c>
      <c r="I5965" s="26">
        <f t="shared" si="298"/>
        <v>0</v>
      </c>
      <c r="J5965" s="7" t="str">
        <f t="shared" si="296"/>
        <v>PAGADO</v>
      </c>
      <c r="K5965" s="33" t="s">
        <v>2714</v>
      </c>
    </row>
    <row r="5966" spans="1:13" x14ac:dyDescent="0.25">
      <c r="A5966" s="73">
        <v>46057</v>
      </c>
      <c r="C5966" s="9" t="s">
        <v>5624</v>
      </c>
      <c r="D5966" s="9" t="s">
        <v>5122</v>
      </c>
      <c r="F5966" s="6">
        <v>50</v>
      </c>
      <c r="G5966" s="6">
        <f t="shared" si="297"/>
        <v>50</v>
      </c>
      <c r="H5966" s="6">
        <v>50</v>
      </c>
      <c r="I5966" s="27">
        <f t="shared" si="298"/>
        <v>0</v>
      </c>
      <c r="J5966" s="7" t="str">
        <f t="shared" si="296"/>
        <v>PAGADO</v>
      </c>
      <c r="K5966" s="9" t="s">
        <v>2712</v>
      </c>
    </row>
    <row r="5967" spans="1:13" x14ac:dyDescent="0.25">
      <c r="A5967" s="73">
        <v>46057</v>
      </c>
      <c r="C5967" s="9" t="s">
        <v>5625</v>
      </c>
      <c r="D5967" s="9" t="s">
        <v>5122</v>
      </c>
      <c r="F5967" s="6">
        <v>70</v>
      </c>
      <c r="G5967" s="6">
        <f t="shared" si="297"/>
        <v>70</v>
      </c>
      <c r="H5967" s="6">
        <v>35</v>
      </c>
      <c r="I5967" s="26">
        <f t="shared" si="298"/>
        <v>35</v>
      </c>
      <c r="J5967" s="7" t="str">
        <f t="shared" ref="J5967:J6030" si="299">IF(I5967&gt;0,"DEBE","PAGADO")</f>
        <v>DEBE</v>
      </c>
      <c r="K5967" s="9" t="s">
        <v>2754</v>
      </c>
      <c r="M5967" s="8" t="s">
        <v>5287</v>
      </c>
    </row>
    <row r="5968" spans="1:13" x14ac:dyDescent="0.25">
      <c r="A5968" s="73">
        <v>46058</v>
      </c>
      <c r="C5968" s="9" t="s">
        <v>4021</v>
      </c>
      <c r="D5968" s="9" t="s">
        <v>2548</v>
      </c>
      <c r="F5968" s="6">
        <v>250</v>
      </c>
      <c r="G5968" s="6">
        <f t="shared" si="297"/>
        <v>250</v>
      </c>
      <c r="H5968" s="6">
        <v>250</v>
      </c>
      <c r="I5968" s="26">
        <f t="shared" si="298"/>
        <v>0</v>
      </c>
      <c r="J5968" s="7" t="str">
        <f t="shared" si="299"/>
        <v>PAGADO</v>
      </c>
      <c r="K5968" s="9" t="s">
        <v>2712</v>
      </c>
    </row>
    <row r="5969" spans="1:13" x14ac:dyDescent="0.25">
      <c r="A5969" s="73">
        <v>46058</v>
      </c>
      <c r="C5969" s="119" t="s">
        <v>5626</v>
      </c>
      <c r="D5969" s="98" t="s">
        <v>5202</v>
      </c>
      <c r="F5969" s="6">
        <v>40</v>
      </c>
      <c r="G5969" s="6">
        <f t="shared" si="297"/>
        <v>40</v>
      </c>
      <c r="H5969" s="6">
        <v>20</v>
      </c>
      <c r="I5969" s="26">
        <f t="shared" si="298"/>
        <v>20</v>
      </c>
      <c r="J5969" s="7" t="str">
        <f t="shared" si="299"/>
        <v>DEBE</v>
      </c>
    </row>
    <row r="5970" spans="1:13" x14ac:dyDescent="0.25">
      <c r="A5970" s="73">
        <v>46058</v>
      </c>
      <c r="C5970" s="119" t="s">
        <v>5627</v>
      </c>
      <c r="D5970" s="9" t="s">
        <v>5628</v>
      </c>
      <c r="F5970" s="6">
        <v>80</v>
      </c>
      <c r="G5970" s="6">
        <f t="shared" si="297"/>
        <v>80</v>
      </c>
      <c r="H5970" s="6">
        <v>40</v>
      </c>
      <c r="I5970" s="26">
        <f t="shared" si="298"/>
        <v>40</v>
      </c>
      <c r="J5970" s="7" t="str">
        <f t="shared" si="299"/>
        <v>DEBE</v>
      </c>
      <c r="K5970" t="s">
        <v>2754</v>
      </c>
      <c r="M5970" s="8" t="s">
        <v>5364</v>
      </c>
    </row>
    <row r="5971" spans="1:13" x14ac:dyDescent="0.25">
      <c r="A5971" s="73">
        <v>46058</v>
      </c>
      <c r="C5971" s="119" t="s">
        <v>5629</v>
      </c>
      <c r="D5971" s="9" t="s">
        <v>5630</v>
      </c>
      <c r="F5971" s="6">
        <v>150</v>
      </c>
      <c r="G5971" s="6">
        <f t="shared" si="297"/>
        <v>150</v>
      </c>
      <c r="H5971" s="6">
        <v>75</v>
      </c>
      <c r="I5971" s="26">
        <f t="shared" si="298"/>
        <v>75</v>
      </c>
      <c r="J5971" s="7" t="str">
        <f t="shared" si="299"/>
        <v>DEBE</v>
      </c>
      <c r="K5971" t="s">
        <v>2754</v>
      </c>
      <c r="M5971" s="8" t="s">
        <v>5299</v>
      </c>
    </row>
    <row r="5972" spans="1:13" x14ac:dyDescent="0.25">
      <c r="A5972" s="73">
        <v>46058</v>
      </c>
      <c r="C5972" s="9" t="s">
        <v>5631</v>
      </c>
      <c r="D5972" s="9" t="s">
        <v>18</v>
      </c>
      <c r="F5972" s="6">
        <v>100</v>
      </c>
      <c r="G5972" s="6">
        <f t="shared" si="297"/>
        <v>100</v>
      </c>
      <c r="H5972" s="6">
        <v>100</v>
      </c>
      <c r="I5972" s="26">
        <f t="shared" si="298"/>
        <v>0</v>
      </c>
      <c r="J5972" s="7" t="str">
        <f t="shared" si="299"/>
        <v>PAGADO</v>
      </c>
    </row>
    <row r="5973" spans="1:13" x14ac:dyDescent="0.25">
      <c r="A5973" s="73">
        <v>46058</v>
      </c>
      <c r="C5973" t="s">
        <v>5632</v>
      </c>
      <c r="D5973" s="9" t="s">
        <v>3838</v>
      </c>
      <c r="F5973" s="6">
        <v>80</v>
      </c>
      <c r="G5973" s="6">
        <f t="shared" si="297"/>
        <v>80</v>
      </c>
      <c r="H5973" s="6">
        <v>80</v>
      </c>
      <c r="I5973" s="26">
        <f t="shared" si="298"/>
        <v>0</v>
      </c>
      <c r="J5973" s="7" t="str">
        <f t="shared" si="299"/>
        <v>PAGADO</v>
      </c>
    </row>
    <row r="5974" spans="1:13" x14ac:dyDescent="0.25">
      <c r="A5974" s="73">
        <v>46058</v>
      </c>
      <c r="C5974" t="s">
        <v>5633</v>
      </c>
      <c r="D5974" s="9" t="s">
        <v>3838</v>
      </c>
      <c r="F5974" s="6">
        <v>60</v>
      </c>
      <c r="G5974" s="6">
        <f t="shared" si="297"/>
        <v>60</v>
      </c>
      <c r="H5974" s="6">
        <v>60</v>
      </c>
      <c r="I5974" s="26">
        <f t="shared" si="298"/>
        <v>0</v>
      </c>
      <c r="J5974" s="7" t="str">
        <f t="shared" si="299"/>
        <v>PAGADO</v>
      </c>
    </row>
    <row r="5975" spans="1:13" x14ac:dyDescent="0.25">
      <c r="A5975" s="73">
        <v>46059</v>
      </c>
      <c r="C5975" s="9" t="s">
        <v>5627</v>
      </c>
      <c r="D5975" s="9" t="s">
        <v>5558</v>
      </c>
      <c r="F5975" s="6">
        <v>80</v>
      </c>
      <c r="G5975" s="6">
        <f t="shared" si="297"/>
        <v>80</v>
      </c>
      <c r="H5975" s="6">
        <v>40</v>
      </c>
      <c r="I5975" s="26">
        <f t="shared" si="298"/>
        <v>40</v>
      </c>
      <c r="J5975" s="7" t="str">
        <f t="shared" si="299"/>
        <v>DEBE</v>
      </c>
      <c r="K5975" s="9" t="s">
        <v>2754</v>
      </c>
      <c r="M5975" s="8" t="s">
        <v>5364</v>
      </c>
    </row>
    <row r="5976" spans="1:13" x14ac:dyDescent="0.25">
      <c r="A5976" s="73">
        <v>46059</v>
      </c>
      <c r="C5976" s="9" t="s">
        <v>5634</v>
      </c>
      <c r="D5976" s="9" t="s">
        <v>5635</v>
      </c>
      <c r="F5976" s="6">
        <v>130</v>
      </c>
      <c r="G5976" s="6">
        <f t="shared" si="297"/>
        <v>130</v>
      </c>
      <c r="H5976" s="6">
        <v>130</v>
      </c>
      <c r="I5976" s="26">
        <f t="shared" si="298"/>
        <v>0</v>
      </c>
      <c r="J5976" s="7" t="str">
        <f t="shared" si="299"/>
        <v>PAGADO</v>
      </c>
    </row>
    <row r="5977" spans="1:13" x14ac:dyDescent="0.25">
      <c r="A5977" s="73">
        <v>46059</v>
      </c>
      <c r="C5977" s="9" t="s">
        <v>2311</v>
      </c>
      <c r="D5977" s="9" t="s">
        <v>5636</v>
      </c>
      <c r="F5977" s="6">
        <v>210</v>
      </c>
      <c r="G5977" s="6">
        <f t="shared" si="297"/>
        <v>210</v>
      </c>
      <c r="H5977" s="6">
        <v>210</v>
      </c>
      <c r="I5977" s="26">
        <f t="shared" si="298"/>
        <v>0</v>
      </c>
      <c r="J5977" s="7" t="str">
        <f t="shared" si="299"/>
        <v>PAGADO</v>
      </c>
    </row>
    <row r="5978" spans="1:13" x14ac:dyDescent="0.25">
      <c r="A5978" s="73">
        <v>46059</v>
      </c>
      <c r="C5978" s="9" t="s">
        <v>5637</v>
      </c>
      <c r="D5978" s="9" t="s">
        <v>18</v>
      </c>
      <c r="F5978" s="6">
        <v>450</v>
      </c>
      <c r="G5978" s="6">
        <f t="shared" si="297"/>
        <v>450</v>
      </c>
      <c r="H5978" s="6">
        <f>100+50+100+100+100</f>
        <v>450</v>
      </c>
      <c r="I5978" s="26">
        <f t="shared" si="298"/>
        <v>0</v>
      </c>
      <c r="J5978" s="7" t="str">
        <f t="shared" si="299"/>
        <v>PAGADO</v>
      </c>
      <c r="K5978" t="s">
        <v>5638</v>
      </c>
    </row>
    <row r="5979" spans="1:13" x14ac:dyDescent="0.25">
      <c r="A5979" s="73">
        <v>46059</v>
      </c>
      <c r="C5979" s="9" t="s">
        <v>5639</v>
      </c>
      <c r="D5979" s="9" t="s">
        <v>3012</v>
      </c>
      <c r="F5979" s="6">
        <v>240</v>
      </c>
      <c r="G5979" s="6">
        <f t="shared" si="297"/>
        <v>240</v>
      </c>
      <c r="H5979" s="6">
        <f>120+120</f>
        <v>240</v>
      </c>
      <c r="I5979" s="26">
        <f t="shared" si="298"/>
        <v>0</v>
      </c>
      <c r="J5979" s="7" t="str">
        <f t="shared" si="299"/>
        <v>PAGADO</v>
      </c>
      <c r="K5979" s="9" t="s">
        <v>2712</v>
      </c>
    </row>
    <row r="5980" spans="1:13" x14ac:dyDescent="0.25">
      <c r="A5980" s="73">
        <v>46059</v>
      </c>
      <c r="C5980" s="9" t="s">
        <v>5640</v>
      </c>
      <c r="D5980" s="9" t="s">
        <v>5641</v>
      </c>
      <c r="F5980" s="6">
        <v>230</v>
      </c>
      <c r="G5980" s="6">
        <f t="shared" si="297"/>
        <v>230</v>
      </c>
      <c r="H5980" s="6">
        <f>220+10</f>
        <v>230</v>
      </c>
      <c r="I5980" s="26">
        <f t="shared" si="298"/>
        <v>0</v>
      </c>
      <c r="J5980" s="7" t="str">
        <f t="shared" si="299"/>
        <v>PAGADO</v>
      </c>
    </row>
    <row r="5981" spans="1:13" x14ac:dyDescent="0.25">
      <c r="A5981" s="73">
        <v>46059</v>
      </c>
      <c r="C5981" s="9" t="s">
        <v>5642</v>
      </c>
      <c r="D5981" s="9" t="s">
        <v>5643</v>
      </c>
      <c r="F5981" s="6">
        <v>230</v>
      </c>
      <c r="G5981" s="6">
        <f t="shared" si="297"/>
        <v>230</v>
      </c>
      <c r="H5981" s="6">
        <f>50+180</f>
        <v>230</v>
      </c>
      <c r="I5981" s="26">
        <f t="shared" si="298"/>
        <v>0</v>
      </c>
      <c r="J5981" s="7" t="str">
        <f t="shared" si="299"/>
        <v>PAGADO</v>
      </c>
    </row>
    <row r="5982" spans="1:13" x14ac:dyDescent="0.25">
      <c r="A5982" s="73">
        <v>46059</v>
      </c>
      <c r="C5982" s="9" t="s">
        <v>5627</v>
      </c>
      <c r="D5982" s="9" t="s">
        <v>5643</v>
      </c>
      <c r="F5982" s="6">
        <v>80</v>
      </c>
      <c r="G5982" s="6">
        <f t="shared" si="297"/>
        <v>80</v>
      </c>
      <c r="H5982" s="6">
        <v>40</v>
      </c>
      <c r="I5982" s="26">
        <f t="shared" si="298"/>
        <v>40</v>
      </c>
      <c r="J5982" s="7" t="str">
        <f t="shared" si="299"/>
        <v>DEBE</v>
      </c>
      <c r="K5982" t="s">
        <v>2754</v>
      </c>
      <c r="M5982" s="8" t="s">
        <v>5364</v>
      </c>
    </row>
    <row r="5983" spans="1:13" x14ac:dyDescent="0.25">
      <c r="A5983" s="73">
        <v>46060</v>
      </c>
      <c r="C5983" s="9" t="s">
        <v>5644</v>
      </c>
      <c r="D5983" s="9" t="s">
        <v>3434</v>
      </c>
      <c r="F5983" s="6">
        <v>1000</v>
      </c>
      <c r="G5983" s="6">
        <f t="shared" si="297"/>
        <v>1000</v>
      </c>
      <c r="H5983" s="6">
        <v>1000</v>
      </c>
      <c r="I5983" s="26">
        <f t="shared" si="298"/>
        <v>0</v>
      </c>
      <c r="J5983" s="7" t="str">
        <f t="shared" si="299"/>
        <v>PAGADO</v>
      </c>
      <c r="K5983" s="33" t="s">
        <v>2754</v>
      </c>
      <c r="M5983" s="8" t="s">
        <v>5645</v>
      </c>
    </row>
    <row r="5984" spans="1:13" x14ac:dyDescent="0.25">
      <c r="A5984" s="73">
        <v>46060</v>
      </c>
      <c r="C5984" s="9" t="s">
        <v>5646</v>
      </c>
      <c r="D5984" s="9" t="s">
        <v>5647</v>
      </c>
      <c r="F5984" s="6">
        <v>80</v>
      </c>
      <c r="G5984" s="6">
        <f t="shared" si="297"/>
        <v>80</v>
      </c>
      <c r="H5984" s="6">
        <v>80</v>
      </c>
      <c r="I5984" s="26">
        <f t="shared" si="298"/>
        <v>0</v>
      </c>
      <c r="J5984" s="7" t="str">
        <f t="shared" si="299"/>
        <v>PAGADO</v>
      </c>
    </row>
    <row r="5985" spans="1:11" x14ac:dyDescent="0.25">
      <c r="A5985" s="73">
        <v>46060</v>
      </c>
      <c r="C5985" s="9" t="s">
        <v>5648</v>
      </c>
      <c r="D5985" s="9" t="s">
        <v>5649</v>
      </c>
      <c r="F5985" s="6">
        <v>70</v>
      </c>
      <c r="G5985" s="6">
        <f t="shared" si="297"/>
        <v>70</v>
      </c>
      <c r="H5985" s="6">
        <v>70</v>
      </c>
      <c r="I5985" s="26">
        <f t="shared" si="298"/>
        <v>0</v>
      </c>
      <c r="J5985" s="7" t="str">
        <f t="shared" si="299"/>
        <v>PAGADO</v>
      </c>
    </row>
    <row r="5986" spans="1:11" x14ac:dyDescent="0.25">
      <c r="A5986" s="73">
        <v>46060</v>
      </c>
      <c r="C5986" s="9" t="s">
        <v>5650</v>
      </c>
      <c r="D5986" s="9" t="s">
        <v>5649</v>
      </c>
      <c r="F5986" s="6">
        <v>50</v>
      </c>
      <c r="G5986" s="6">
        <f t="shared" si="297"/>
        <v>50</v>
      </c>
      <c r="H5986" s="6">
        <v>50</v>
      </c>
      <c r="I5986" s="26">
        <f t="shared" si="298"/>
        <v>0</v>
      </c>
      <c r="J5986" s="7" t="str">
        <f t="shared" si="299"/>
        <v>PAGADO</v>
      </c>
    </row>
    <row r="5987" spans="1:11" x14ac:dyDescent="0.25">
      <c r="A5987" s="73">
        <v>46057</v>
      </c>
      <c r="C5987" s="9" t="s">
        <v>5651</v>
      </c>
      <c r="D5987" s="9" t="s">
        <v>3352</v>
      </c>
      <c r="F5987" s="6">
        <v>44</v>
      </c>
      <c r="G5987" s="6">
        <f t="shared" si="297"/>
        <v>44</v>
      </c>
      <c r="H5987" s="6">
        <v>44</v>
      </c>
      <c r="I5987" s="26">
        <f t="shared" si="298"/>
        <v>0</v>
      </c>
      <c r="J5987" s="7" t="str">
        <f t="shared" si="299"/>
        <v>PAGADO</v>
      </c>
    </row>
    <row r="5988" spans="1:11" x14ac:dyDescent="0.25">
      <c r="A5988" s="73">
        <v>46060</v>
      </c>
      <c r="C5988" s="9" t="s">
        <v>5652</v>
      </c>
      <c r="D5988" s="9" t="s">
        <v>3352</v>
      </c>
      <c r="F5988" s="6">
        <v>60</v>
      </c>
      <c r="G5988" s="6">
        <f t="shared" si="297"/>
        <v>60</v>
      </c>
      <c r="H5988" s="6">
        <v>60</v>
      </c>
      <c r="I5988" s="26">
        <f t="shared" si="298"/>
        <v>0</v>
      </c>
      <c r="J5988" s="7" t="str">
        <f t="shared" si="299"/>
        <v>PAGADO</v>
      </c>
      <c r="K5988" t="s">
        <v>2714</v>
      </c>
    </row>
    <row r="5989" spans="1:11" x14ac:dyDescent="0.25">
      <c r="A5989" s="73">
        <v>46060</v>
      </c>
      <c r="C5989" s="9" t="s">
        <v>5653</v>
      </c>
      <c r="D5989" s="9" t="s">
        <v>3352</v>
      </c>
      <c r="F5989" s="6">
        <v>25</v>
      </c>
      <c r="G5989" s="6">
        <f t="shared" si="297"/>
        <v>25</v>
      </c>
      <c r="H5989" s="6">
        <v>25</v>
      </c>
      <c r="I5989" s="26">
        <f t="shared" si="298"/>
        <v>0</v>
      </c>
      <c r="J5989" s="7" t="str">
        <f t="shared" si="299"/>
        <v>PAGADO</v>
      </c>
      <c r="K5989" t="s">
        <v>2714</v>
      </c>
    </row>
    <row r="5990" spans="1:11" x14ac:dyDescent="0.25">
      <c r="A5990" s="73">
        <v>46060</v>
      </c>
      <c r="C5990" s="9" t="s">
        <v>5654</v>
      </c>
      <c r="D5990" s="9" t="s">
        <v>3352</v>
      </c>
      <c r="F5990" s="26">
        <v>60</v>
      </c>
      <c r="G5990" s="26">
        <f t="shared" si="297"/>
        <v>60</v>
      </c>
      <c r="H5990" s="27">
        <v>60</v>
      </c>
      <c r="I5990" s="26">
        <f t="shared" si="298"/>
        <v>0</v>
      </c>
      <c r="J5990" s="7" t="str">
        <f t="shared" si="299"/>
        <v>PAGADO</v>
      </c>
      <c r="K5990" s="33" t="s">
        <v>2712</v>
      </c>
    </row>
    <row r="5991" spans="1:11" x14ac:dyDescent="0.25">
      <c r="A5991" s="73">
        <v>46060</v>
      </c>
      <c r="C5991" s="9" t="s">
        <v>5655</v>
      </c>
      <c r="D5991" s="9" t="s">
        <v>3352</v>
      </c>
      <c r="F5991" s="26">
        <v>60</v>
      </c>
      <c r="G5991" s="26">
        <f t="shared" si="297"/>
        <v>60</v>
      </c>
      <c r="H5991" s="27">
        <v>60</v>
      </c>
      <c r="I5991" s="26">
        <f t="shared" si="298"/>
        <v>0</v>
      </c>
      <c r="J5991" s="7" t="str">
        <f t="shared" si="299"/>
        <v>PAGADO</v>
      </c>
      <c r="K5991" s="33" t="s">
        <v>2712</v>
      </c>
    </row>
    <row r="5992" spans="1:11" x14ac:dyDescent="0.25">
      <c r="A5992" s="73">
        <v>46060</v>
      </c>
      <c r="C5992" s="9" t="s">
        <v>745</v>
      </c>
      <c r="D5992" s="9" t="s">
        <v>3352</v>
      </c>
      <c r="F5992" s="26">
        <v>70</v>
      </c>
      <c r="G5992" s="26">
        <f t="shared" si="297"/>
        <v>70</v>
      </c>
      <c r="H5992" s="27">
        <v>70</v>
      </c>
      <c r="I5992" s="26">
        <f t="shared" si="298"/>
        <v>0</v>
      </c>
      <c r="J5992" s="7" t="str">
        <f t="shared" si="299"/>
        <v>PAGADO</v>
      </c>
      <c r="K5992" s="33" t="s">
        <v>2712</v>
      </c>
    </row>
    <row r="5993" spans="1:11" x14ac:dyDescent="0.25">
      <c r="A5993" s="73">
        <v>46060</v>
      </c>
      <c r="C5993" s="9" t="s">
        <v>4658</v>
      </c>
      <c r="D5993" s="9" t="s">
        <v>3352</v>
      </c>
      <c r="F5993" s="26">
        <v>60</v>
      </c>
      <c r="G5993" s="26">
        <f t="shared" si="297"/>
        <v>60</v>
      </c>
      <c r="H5993" s="27">
        <v>60</v>
      </c>
      <c r="I5993" s="26">
        <f t="shared" si="298"/>
        <v>0</v>
      </c>
      <c r="J5993" s="7" t="str">
        <f t="shared" si="299"/>
        <v>PAGADO</v>
      </c>
      <c r="K5993" s="33" t="s">
        <v>2712</v>
      </c>
    </row>
    <row r="5994" spans="1:11" x14ac:dyDescent="0.25">
      <c r="A5994" s="73">
        <v>46060</v>
      </c>
      <c r="C5994" s="9" t="s">
        <v>3159</v>
      </c>
      <c r="D5994" s="9" t="s">
        <v>3352</v>
      </c>
      <c r="F5994" s="26">
        <v>80</v>
      </c>
      <c r="G5994" s="26">
        <f t="shared" si="297"/>
        <v>80</v>
      </c>
      <c r="H5994" s="27">
        <v>80</v>
      </c>
      <c r="I5994" s="26">
        <f t="shared" si="298"/>
        <v>0</v>
      </c>
      <c r="J5994" s="7" t="str">
        <f t="shared" si="299"/>
        <v>PAGADO</v>
      </c>
      <c r="K5994" s="33" t="s">
        <v>2712</v>
      </c>
    </row>
    <row r="5995" spans="1:11" x14ac:dyDescent="0.25">
      <c r="A5995" s="73">
        <v>46060</v>
      </c>
      <c r="C5995" s="9" t="s">
        <v>5656</v>
      </c>
      <c r="D5995" s="9" t="s">
        <v>3352</v>
      </c>
      <c r="F5995" s="26">
        <v>65</v>
      </c>
      <c r="G5995" s="26">
        <f t="shared" si="297"/>
        <v>65</v>
      </c>
      <c r="H5995" s="27">
        <v>65</v>
      </c>
      <c r="I5995" s="26">
        <f t="shared" si="298"/>
        <v>0</v>
      </c>
      <c r="J5995" s="7" t="str">
        <f t="shared" si="299"/>
        <v>PAGADO</v>
      </c>
      <c r="K5995" s="33" t="s">
        <v>2712</v>
      </c>
    </row>
    <row r="5996" spans="1:11" x14ac:dyDescent="0.25">
      <c r="A5996" s="73">
        <v>46060</v>
      </c>
      <c r="C5996" s="9" t="s">
        <v>4214</v>
      </c>
      <c r="D5996" s="9" t="s">
        <v>3352</v>
      </c>
      <c r="F5996" s="26">
        <v>60</v>
      </c>
      <c r="G5996" s="26">
        <f t="shared" si="297"/>
        <v>60</v>
      </c>
      <c r="H5996" s="27">
        <v>60</v>
      </c>
      <c r="I5996" s="26">
        <f t="shared" si="298"/>
        <v>0</v>
      </c>
      <c r="J5996" s="7" t="str">
        <f t="shared" si="299"/>
        <v>PAGADO</v>
      </c>
      <c r="K5996" s="33" t="s">
        <v>2712</v>
      </c>
    </row>
    <row r="5997" spans="1:11" x14ac:dyDescent="0.25">
      <c r="A5997" s="73">
        <v>46060</v>
      </c>
      <c r="C5997" s="9" t="s">
        <v>4854</v>
      </c>
      <c r="D5997" s="9" t="s">
        <v>3352</v>
      </c>
      <c r="F5997" s="26">
        <v>90</v>
      </c>
      <c r="G5997" s="26">
        <f t="shared" si="297"/>
        <v>90</v>
      </c>
      <c r="H5997" s="27">
        <v>90</v>
      </c>
      <c r="I5997" s="26">
        <f t="shared" si="298"/>
        <v>0</v>
      </c>
      <c r="J5997" s="7" t="str">
        <f t="shared" si="299"/>
        <v>PAGADO</v>
      </c>
      <c r="K5997" s="33" t="s">
        <v>2712</v>
      </c>
    </row>
    <row r="5998" spans="1:11" x14ac:dyDescent="0.25">
      <c r="A5998" s="73">
        <v>46060</v>
      </c>
      <c r="C5998" s="9" t="s">
        <v>5657</v>
      </c>
      <c r="D5998" s="9" t="s">
        <v>3352</v>
      </c>
      <c r="F5998" s="26">
        <v>60</v>
      </c>
      <c r="G5998" s="26">
        <f t="shared" si="297"/>
        <v>60</v>
      </c>
      <c r="H5998" s="27">
        <v>60</v>
      </c>
      <c r="I5998" s="26">
        <f t="shared" si="298"/>
        <v>0</v>
      </c>
      <c r="J5998" s="7" t="str">
        <f t="shared" si="299"/>
        <v>PAGADO</v>
      </c>
      <c r="K5998" s="33" t="s">
        <v>2712</v>
      </c>
    </row>
    <row r="5999" spans="1:11" x14ac:dyDescent="0.25">
      <c r="A5999" s="73">
        <v>46060</v>
      </c>
      <c r="C5999" s="9" t="s">
        <v>5658</v>
      </c>
      <c r="D5999" s="9" t="s">
        <v>3352</v>
      </c>
      <c r="F5999" s="6">
        <v>70</v>
      </c>
      <c r="G5999" s="6">
        <f t="shared" si="297"/>
        <v>70</v>
      </c>
      <c r="H5999" s="24">
        <f>35+35</f>
        <v>70</v>
      </c>
      <c r="I5999" s="26">
        <f t="shared" si="298"/>
        <v>0</v>
      </c>
      <c r="J5999" s="7" t="str">
        <f t="shared" si="299"/>
        <v>PAGADO</v>
      </c>
      <c r="K5999" s="33" t="s">
        <v>3819</v>
      </c>
    </row>
    <row r="6000" spans="1:11" x14ac:dyDescent="0.25">
      <c r="A6000" s="73">
        <v>46060</v>
      </c>
      <c r="C6000" s="9" t="s">
        <v>5659</v>
      </c>
      <c r="D6000" s="9" t="s">
        <v>1370</v>
      </c>
      <c r="F6000" s="6">
        <v>270</v>
      </c>
      <c r="G6000" s="6">
        <f t="shared" si="297"/>
        <v>270</v>
      </c>
      <c r="H6000" s="6">
        <f>100+170</f>
        <v>270</v>
      </c>
      <c r="I6000" s="26">
        <f t="shared" si="298"/>
        <v>0</v>
      </c>
      <c r="J6000" s="7" t="str">
        <f t="shared" si="299"/>
        <v>PAGADO</v>
      </c>
      <c r="K6000" t="s">
        <v>2714</v>
      </c>
    </row>
    <row r="6001" spans="1:13" x14ac:dyDescent="0.25">
      <c r="A6001" s="73">
        <v>46060</v>
      </c>
      <c r="C6001" s="9" t="s">
        <v>5660</v>
      </c>
      <c r="D6001" s="9" t="s">
        <v>5661</v>
      </c>
      <c r="F6001" s="6">
        <v>130</v>
      </c>
      <c r="G6001" s="6">
        <f t="shared" si="297"/>
        <v>130</v>
      </c>
      <c r="H6001" s="6">
        <v>130</v>
      </c>
      <c r="I6001" s="26">
        <f t="shared" si="298"/>
        <v>0</v>
      </c>
      <c r="J6001" s="7" t="str">
        <f t="shared" si="299"/>
        <v>PAGADO</v>
      </c>
    </row>
    <row r="6002" spans="1:13" x14ac:dyDescent="0.25">
      <c r="A6002" s="73">
        <v>46060</v>
      </c>
      <c r="C6002" s="9" t="s">
        <v>5662</v>
      </c>
      <c r="D6002" s="9" t="s">
        <v>5663</v>
      </c>
      <c r="F6002" s="6">
        <v>60</v>
      </c>
      <c r="G6002" s="6">
        <f t="shared" si="297"/>
        <v>60</v>
      </c>
      <c r="H6002" s="6">
        <f>30+30</f>
        <v>60</v>
      </c>
      <c r="I6002" s="26">
        <f t="shared" si="298"/>
        <v>0</v>
      </c>
      <c r="J6002" s="7" t="str">
        <f t="shared" si="299"/>
        <v>PAGADO</v>
      </c>
      <c r="K6002" s="33" t="s">
        <v>3819</v>
      </c>
    </row>
    <row r="6003" spans="1:13" x14ac:dyDescent="0.25">
      <c r="A6003" s="73">
        <v>46060</v>
      </c>
      <c r="C6003" s="9" t="s">
        <v>5011</v>
      </c>
      <c r="D6003" s="9" t="s">
        <v>5622</v>
      </c>
      <c r="F6003" s="6">
        <v>80</v>
      </c>
      <c r="G6003" s="6">
        <f t="shared" si="297"/>
        <v>80</v>
      </c>
      <c r="H6003" s="6">
        <v>40</v>
      </c>
      <c r="I6003" s="26">
        <f t="shared" si="298"/>
        <v>40</v>
      </c>
      <c r="J6003" s="7" t="str">
        <f t="shared" si="299"/>
        <v>DEBE</v>
      </c>
      <c r="K6003" t="s">
        <v>2754</v>
      </c>
      <c r="M6003" s="8" t="s">
        <v>5664</v>
      </c>
    </row>
    <row r="6004" spans="1:13" x14ac:dyDescent="0.25">
      <c r="A6004" s="73">
        <v>46061</v>
      </c>
      <c r="C6004" t="s">
        <v>5665</v>
      </c>
      <c r="D6004" t="s">
        <v>5666</v>
      </c>
      <c r="F6004" s="6">
        <v>80</v>
      </c>
      <c r="G6004" s="6">
        <f t="shared" si="297"/>
        <v>80</v>
      </c>
      <c r="H6004" s="6">
        <v>80</v>
      </c>
      <c r="I6004" s="26">
        <f t="shared" si="298"/>
        <v>0</v>
      </c>
      <c r="J6004" s="7" t="str">
        <f t="shared" si="299"/>
        <v>PAGADO</v>
      </c>
    </row>
    <row r="6005" spans="1:13" x14ac:dyDescent="0.25">
      <c r="A6005" s="73">
        <v>46061</v>
      </c>
      <c r="C6005" s="9" t="s">
        <v>5659</v>
      </c>
      <c r="D6005" s="9" t="s">
        <v>597</v>
      </c>
      <c r="F6005" s="6">
        <v>300</v>
      </c>
      <c r="G6005" s="6">
        <f t="shared" si="297"/>
        <v>300</v>
      </c>
      <c r="H6005" s="6">
        <f>200+100</f>
        <v>300</v>
      </c>
      <c r="I6005" s="26">
        <f t="shared" si="298"/>
        <v>0</v>
      </c>
      <c r="J6005" s="7" t="str">
        <f t="shared" si="299"/>
        <v>PAGADO</v>
      </c>
      <c r="K6005" t="s">
        <v>2714</v>
      </c>
    </row>
    <row r="6006" spans="1:13" x14ac:dyDescent="0.25">
      <c r="A6006" s="73">
        <v>46061</v>
      </c>
      <c r="C6006" s="9" t="s">
        <v>5659</v>
      </c>
      <c r="D6006" t="s">
        <v>1640</v>
      </c>
      <c r="F6006" s="6">
        <v>270</v>
      </c>
      <c r="G6006" s="6">
        <f t="shared" si="297"/>
        <v>270</v>
      </c>
      <c r="H6006" s="6">
        <v>270</v>
      </c>
      <c r="I6006" s="26">
        <f t="shared" si="298"/>
        <v>0</v>
      </c>
      <c r="J6006" s="7" t="str">
        <f t="shared" si="299"/>
        <v>PAGADO</v>
      </c>
    </row>
    <row r="6007" spans="1:13" x14ac:dyDescent="0.25">
      <c r="A6007" s="73">
        <v>46061</v>
      </c>
      <c r="C6007" s="9" t="s">
        <v>5667</v>
      </c>
      <c r="D6007" t="s">
        <v>5546</v>
      </c>
      <c r="F6007" s="6">
        <v>80</v>
      </c>
      <c r="G6007" s="6">
        <f t="shared" si="297"/>
        <v>80</v>
      </c>
      <c r="H6007" s="6">
        <v>80</v>
      </c>
      <c r="I6007" s="26">
        <f t="shared" si="298"/>
        <v>0</v>
      </c>
      <c r="J6007" s="7" t="str">
        <f t="shared" si="299"/>
        <v>PAGADO</v>
      </c>
      <c r="K6007" t="s">
        <v>2754</v>
      </c>
      <c r="M6007" s="8" t="s">
        <v>5668</v>
      </c>
    </row>
    <row r="6008" spans="1:13" x14ac:dyDescent="0.25">
      <c r="A6008" s="73">
        <v>46061</v>
      </c>
      <c r="C6008" s="9" t="s">
        <v>5669</v>
      </c>
      <c r="D6008" t="s">
        <v>5546</v>
      </c>
      <c r="F6008" s="6">
        <v>70</v>
      </c>
      <c r="G6008" s="6">
        <f t="shared" si="297"/>
        <v>70</v>
      </c>
      <c r="H6008" s="6">
        <v>70</v>
      </c>
      <c r="I6008" s="26">
        <f t="shared" si="298"/>
        <v>0</v>
      </c>
      <c r="J6008" s="7" t="str">
        <f t="shared" si="299"/>
        <v>PAGADO</v>
      </c>
      <c r="K6008" t="s">
        <v>2754</v>
      </c>
      <c r="M6008" s="8" t="s">
        <v>5668</v>
      </c>
    </row>
    <row r="6009" spans="1:13" x14ac:dyDescent="0.25">
      <c r="A6009" s="73">
        <v>46061</v>
      </c>
      <c r="C6009" s="9" t="s">
        <v>5670</v>
      </c>
      <c r="D6009" s="9" t="s">
        <v>3434</v>
      </c>
      <c r="F6009" s="6">
        <v>60</v>
      </c>
      <c r="G6009" s="6">
        <f t="shared" si="297"/>
        <v>60</v>
      </c>
      <c r="H6009" s="6">
        <v>30</v>
      </c>
      <c r="I6009" s="26">
        <f t="shared" si="298"/>
        <v>30</v>
      </c>
      <c r="J6009" s="7" t="str">
        <f t="shared" si="299"/>
        <v>DEBE</v>
      </c>
      <c r="K6009" s="33" t="s">
        <v>2754</v>
      </c>
      <c r="M6009" s="8" t="s">
        <v>5671</v>
      </c>
    </row>
    <row r="6010" spans="1:13" x14ac:dyDescent="0.25">
      <c r="A6010" s="73">
        <v>46061</v>
      </c>
      <c r="C6010" s="9" t="s">
        <v>5672</v>
      </c>
      <c r="D6010" s="9" t="s">
        <v>3434</v>
      </c>
      <c r="F6010" s="6">
        <v>65</v>
      </c>
      <c r="G6010" s="6">
        <f t="shared" si="297"/>
        <v>65</v>
      </c>
      <c r="H6010" s="6">
        <v>35</v>
      </c>
      <c r="I6010" s="26">
        <f t="shared" si="298"/>
        <v>30</v>
      </c>
      <c r="J6010" s="7" t="str">
        <f t="shared" si="299"/>
        <v>DEBE</v>
      </c>
      <c r="K6010" s="33" t="s">
        <v>2754</v>
      </c>
      <c r="M6010" s="8" t="s">
        <v>5671</v>
      </c>
    </row>
    <row r="6011" spans="1:13" x14ac:dyDescent="0.25">
      <c r="A6011" s="73">
        <v>46062</v>
      </c>
      <c r="C6011" s="9" t="s">
        <v>5027</v>
      </c>
      <c r="D6011" s="9" t="s">
        <v>3463</v>
      </c>
      <c r="F6011" s="6">
        <v>85</v>
      </c>
      <c r="G6011" s="6">
        <f t="shared" si="297"/>
        <v>85</v>
      </c>
      <c r="H6011" s="6">
        <f>36+49</f>
        <v>85</v>
      </c>
      <c r="I6011" s="26">
        <f t="shared" si="298"/>
        <v>0</v>
      </c>
      <c r="J6011" s="7" t="str">
        <f t="shared" si="299"/>
        <v>PAGADO</v>
      </c>
      <c r="K6011" s="33" t="s">
        <v>3819</v>
      </c>
    </row>
    <row r="6012" spans="1:13" x14ac:dyDescent="0.25">
      <c r="A6012" s="73">
        <v>46062</v>
      </c>
      <c r="C6012" s="9" t="s">
        <v>909</v>
      </c>
      <c r="D6012" t="s">
        <v>5559</v>
      </c>
      <c r="F6012" s="6">
        <v>80</v>
      </c>
      <c r="G6012" s="6">
        <f t="shared" si="297"/>
        <v>80</v>
      </c>
      <c r="H6012" s="6">
        <v>40</v>
      </c>
      <c r="I6012" s="26">
        <f t="shared" si="298"/>
        <v>40</v>
      </c>
      <c r="J6012" s="7" t="str">
        <f t="shared" si="299"/>
        <v>DEBE</v>
      </c>
      <c r="K6012" t="s">
        <v>2754</v>
      </c>
      <c r="M6012" s="8" t="s">
        <v>5364</v>
      </c>
    </row>
    <row r="6013" spans="1:13" x14ac:dyDescent="0.25">
      <c r="A6013" s="73">
        <v>46062</v>
      </c>
      <c r="C6013" s="9" t="s">
        <v>5673</v>
      </c>
      <c r="D6013" s="9" t="s">
        <v>2278</v>
      </c>
      <c r="F6013" s="6">
        <v>50</v>
      </c>
      <c r="G6013" s="6">
        <f t="shared" si="297"/>
        <v>50</v>
      </c>
      <c r="H6013" s="24">
        <v>25</v>
      </c>
      <c r="I6013" s="26">
        <f t="shared" si="298"/>
        <v>25</v>
      </c>
      <c r="J6013" s="7" t="str">
        <f t="shared" si="299"/>
        <v>DEBE</v>
      </c>
      <c r="K6013" t="s">
        <v>2754</v>
      </c>
      <c r="M6013" s="8" t="s">
        <v>5674</v>
      </c>
    </row>
    <row r="6014" spans="1:13" x14ac:dyDescent="0.25">
      <c r="A6014" s="73">
        <v>46062</v>
      </c>
      <c r="C6014" s="9" t="s">
        <v>5675</v>
      </c>
      <c r="D6014" s="9" t="s">
        <v>2278</v>
      </c>
      <c r="F6014" s="6">
        <v>10</v>
      </c>
      <c r="G6014" s="6">
        <f t="shared" ref="G6014:G6077" si="300">F6014-E6014</f>
        <v>10</v>
      </c>
      <c r="H6014" s="24">
        <v>5</v>
      </c>
      <c r="I6014" s="26">
        <f t="shared" si="298"/>
        <v>5</v>
      </c>
      <c r="J6014" s="7" t="str">
        <f t="shared" si="299"/>
        <v>DEBE</v>
      </c>
      <c r="K6014" t="s">
        <v>2754</v>
      </c>
      <c r="M6014" s="8" t="s">
        <v>5674</v>
      </c>
    </row>
    <row r="6015" spans="1:13" x14ac:dyDescent="0.25">
      <c r="A6015" s="73">
        <v>46062</v>
      </c>
      <c r="C6015" s="9" t="s">
        <v>5676</v>
      </c>
      <c r="D6015" s="9" t="s">
        <v>2278</v>
      </c>
      <c r="F6015" s="6">
        <v>270</v>
      </c>
      <c r="G6015" s="6">
        <f t="shared" si="300"/>
        <v>270</v>
      </c>
      <c r="H6015" s="24">
        <v>135</v>
      </c>
      <c r="I6015" s="26">
        <f t="shared" si="298"/>
        <v>135</v>
      </c>
      <c r="J6015" s="7" t="str">
        <f t="shared" si="299"/>
        <v>DEBE</v>
      </c>
      <c r="K6015" t="s">
        <v>2754</v>
      </c>
      <c r="M6015" s="8" t="s">
        <v>5674</v>
      </c>
    </row>
    <row r="6016" spans="1:13" x14ac:dyDescent="0.25">
      <c r="A6016" s="73">
        <v>46062</v>
      </c>
      <c r="C6016" t="s">
        <v>5677</v>
      </c>
      <c r="D6016" s="9" t="s">
        <v>4974</v>
      </c>
      <c r="F6016" s="6">
        <v>70</v>
      </c>
      <c r="G6016" s="6">
        <f t="shared" si="300"/>
        <v>70</v>
      </c>
      <c r="H6016" s="6">
        <v>30</v>
      </c>
      <c r="I6016" s="26">
        <f t="shared" si="298"/>
        <v>40</v>
      </c>
      <c r="J6016" s="7" t="str">
        <f t="shared" si="299"/>
        <v>DEBE</v>
      </c>
      <c r="K6016" t="s">
        <v>2754</v>
      </c>
      <c r="M6016" s="8" t="s">
        <v>5293</v>
      </c>
    </row>
    <row r="6017" spans="1:13" x14ac:dyDescent="0.25">
      <c r="A6017" s="73">
        <v>46062</v>
      </c>
      <c r="C6017" s="98" t="s">
        <v>5678</v>
      </c>
      <c r="D6017" s="98" t="s">
        <v>1523</v>
      </c>
      <c r="E6017" s="99"/>
      <c r="F6017" s="101">
        <v>30</v>
      </c>
      <c r="G6017" s="101">
        <f t="shared" si="300"/>
        <v>30</v>
      </c>
      <c r="H6017" s="113">
        <v>30</v>
      </c>
      <c r="I6017" s="100">
        <f t="shared" si="298"/>
        <v>0</v>
      </c>
      <c r="J6017" s="7" t="str">
        <f t="shared" si="299"/>
        <v>PAGADO</v>
      </c>
      <c r="K6017" s="34" t="s">
        <v>2754</v>
      </c>
      <c r="M6017" s="8" t="s">
        <v>5679</v>
      </c>
    </row>
    <row r="6018" spans="1:13" x14ac:dyDescent="0.25">
      <c r="A6018" s="73">
        <v>46062</v>
      </c>
      <c r="C6018" s="98" t="s">
        <v>5680</v>
      </c>
      <c r="D6018" s="98" t="s">
        <v>18</v>
      </c>
      <c r="F6018" s="6">
        <v>100</v>
      </c>
      <c r="G6018" s="6">
        <f t="shared" si="300"/>
        <v>100</v>
      </c>
      <c r="H6018" s="6">
        <v>100</v>
      </c>
      <c r="I6018" s="26">
        <f t="shared" si="298"/>
        <v>0</v>
      </c>
      <c r="J6018" s="7" t="str">
        <f t="shared" si="299"/>
        <v>PAGADO</v>
      </c>
      <c r="K6018" s="34" t="s">
        <v>2754</v>
      </c>
      <c r="M6018" s="8" t="s">
        <v>5679</v>
      </c>
    </row>
    <row r="6019" spans="1:13" x14ac:dyDescent="0.25">
      <c r="A6019" s="73">
        <v>46062</v>
      </c>
      <c r="C6019" s="9" t="s">
        <v>5681</v>
      </c>
      <c r="D6019" s="9" t="s">
        <v>1309</v>
      </c>
      <c r="F6019" s="6">
        <f>35+25</f>
        <v>60</v>
      </c>
      <c r="G6019" s="6">
        <f t="shared" si="300"/>
        <v>60</v>
      </c>
      <c r="H6019" s="6">
        <f>25+35</f>
        <v>60</v>
      </c>
      <c r="I6019" s="26">
        <f t="shared" si="298"/>
        <v>0</v>
      </c>
      <c r="J6019" s="7" t="str">
        <f t="shared" si="299"/>
        <v>PAGADO</v>
      </c>
      <c r="K6019" s="34" t="s">
        <v>2754</v>
      </c>
      <c r="M6019" s="8" t="s">
        <v>5682</v>
      </c>
    </row>
    <row r="6020" spans="1:13" x14ac:dyDescent="0.25">
      <c r="A6020" s="73">
        <v>46062</v>
      </c>
      <c r="C6020" s="41" t="s">
        <v>5667</v>
      </c>
      <c r="D6020" s="41" t="s">
        <v>4587</v>
      </c>
      <c r="E6020" s="87"/>
      <c r="F6020" s="58">
        <v>80</v>
      </c>
      <c r="G6020" s="58">
        <f t="shared" si="300"/>
        <v>80</v>
      </c>
      <c r="H6020" s="58">
        <v>40</v>
      </c>
      <c r="I6020" s="58">
        <f t="shared" si="298"/>
        <v>40</v>
      </c>
      <c r="J6020" s="88" t="str">
        <f t="shared" si="299"/>
        <v>DEBE</v>
      </c>
      <c r="K6020" s="112" t="s">
        <v>2754</v>
      </c>
      <c r="L6020" s="41"/>
      <c r="M6020" s="8" t="s">
        <v>5668</v>
      </c>
    </row>
    <row r="6021" spans="1:13" x14ac:dyDescent="0.25">
      <c r="A6021" s="73">
        <v>46062</v>
      </c>
      <c r="C6021" s="41" t="s">
        <v>5669</v>
      </c>
      <c r="D6021" s="41" t="s">
        <v>4587</v>
      </c>
      <c r="E6021" s="87"/>
      <c r="F6021" s="58">
        <v>70</v>
      </c>
      <c r="G6021" s="58">
        <f t="shared" si="300"/>
        <v>70</v>
      </c>
      <c r="H6021" s="58">
        <v>35</v>
      </c>
      <c r="I6021" s="58">
        <f t="shared" si="298"/>
        <v>35</v>
      </c>
      <c r="J6021" s="88" t="str">
        <f t="shared" si="299"/>
        <v>DEBE</v>
      </c>
      <c r="K6021" s="112" t="s">
        <v>2754</v>
      </c>
      <c r="L6021" s="41"/>
      <c r="M6021" s="8" t="s">
        <v>5668</v>
      </c>
    </row>
    <row r="6022" spans="1:13" x14ac:dyDescent="0.25">
      <c r="A6022" s="73">
        <v>46062</v>
      </c>
      <c r="C6022" s="9" t="s">
        <v>5683</v>
      </c>
      <c r="D6022" t="s">
        <v>3456</v>
      </c>
      <c r="F6022" s="6">
        <v>20</v>
      </c>
      <c r="G6022" s="6">
        <f t="shared" si="300"/>
        <v>20</v>
      </c>
      <c r="H6022" s="6">
        <v>10</v>
      </c>
      <c r="I6022" s="26">
        <f t="shared" si="298"/>
        <v>10</v>
      </c>
      <c r="J6022" s="7" t="str">
        <f t="shared" si="299"/>
        <v>DEBE</v>
      </c>
      <c r="K6022" s="34" t="s">
        <v>2754</v>
      </c>
      <c r="M6022" s="8" t="s">
        <v>5682</v>
      </c>
    </row>
    <row r="6023" spans="1:13" x14ac:dyDescent="0.25">
      <c r="A6023" s="73">
        <v>46062</v>
      </c>
      <c r="C6023" s="9" t="s">
        <v>5684</v>
      </c>
      <c r="D6023" t="s">
        <v>3456</v>
      </c>
      <c r="F6023" s="6">
        <v>300</v>
      </c>
      <c r="G6023" s="6">
        <f t="shared" si="300"/>
        <v>300</v>
      </c>
      <c r="H6023" s="6">
        <v>150</v>
      </c>
      <c r="I6023" s="26">
        <f t="shared" si="298"/>
        <v>150</v>
      </c>
      <c r="J6023" s="7" t="str">
        <f t="shared" si="299"/>
        <v>DEBE</v>
      </c>
      <c r="K6023" s="34" t="s">
        <v>2754</v>
      </c>
      <c r="M6023" s="8" t="s">
        <v>5685</v>
      </c>
    </row>
    <row r="6024" spans="1:13" x14ac:dyDescent="0.25">
      <c r="A6024" s="73">
        <v>46062</v>
      </c>
      <c r="C6024" s="9" t="s">
        <v>5684</v>
      </c>
      <c r="D6024" s="98" t="s">
        <v>2906</v>
      </c>
      <c r="F6024" s="6">
        <v>300</v>
      </c>
      <c r="G6024" s="6">
        <f t="shared" si="300"/>
        <v>300</v>
      </c>
      <c r="H6024" s="6">
        <v>150</v>
      </c>
      <c r="I6024" s="26">
        <f t="shared" si="298"/>
        <v>150</v>
      </c>
      <c r="J6024" s="7" t="str">
        <f t="shared" si="299"/>
        <v>DEBE</v>
      </c>
      <c r="K6024" s="34" t="s">
        <v>2754</v>
      </c>
      <c r="M6024" s="8" t="s">
        <v>5686</v>
      </c>
    </row>
    <row r="6025" spans="1:13" x14ac:dyDescent="0.25">
      <c r="A6025" s="73">
        <v>46062</v>
      </c>
      <c r="C6025" s="9" t="s">
        <v>5687</v>
      </c>
      <c r="D6025" t="s">
        <v>1510</v>
      </c>
      <c r="F6025" s="6">
        <v>180</v>
      </c>
      <c r="G6025" s="6">
        <f t="shared" si="300"/>
        <v>180</v>
      </c>
      <c r="H6025" s="6">
        <v>90</v>
      </c>
      <c r="I6025" s="26">
        <f t="shared" si="298"/>
        <v>90</v>
      </c>
      <c r="J6025" s="7" t="str">
        <f t="shared" si="299"/>
        <v>DEBE</v>
      </c>
      <c r="K6025" s="34" t="s">
        <v>2754</v>
      </c>
      <c r="M6025" s="8" t="s">
        <v>5671</v>
      </c>
    </row>
    <row r="6026" spans="1:13" x14ac:dyDescent="0.25">
      <c r="A6026" s="73">
        <v>46062</v>
      </c>
      <c r="C6026" s="9" t="s">
        <v>5688</v>
      </c>
      <c r="D6026" s="9" t="s">
        <v>4577</v>
      </c>
      <c r="F6026" s="6">
        <v>65</v>
      </c>
      <c r="G6026" s="6">
        <f t="shared" si="300"/>
        <v>65</v>
      </c>
      <c r="H6026" s="6">
        <v>65</v>
      </c>
      <c r="I6026" s="26">
        <f t="shared" si="298"/>
        <v>0</v>
      </c>
      <c r="J6026" s="7" t="str">
        <f t="shared" si="299"/>
        <v>PAGADO</v>
      </c>
      <c r="K6026" t="s">
        <v>2754</v>
      </c>
      <c r="M6026" s="8" t="s">
        <v>5671</v>
      </c>
    </row>
    <row r="6027" spans="1:13" x14ac:dyDescent="0.25">
      <c r="A6027" s="73">
        <v>46063</v>
      </c>
      <c r="C6027" s="9" t="s">
        <v>5689</v>
      </c>
      <c r="D6027" s="9" t="s">
        <v>3434</v>
      </c>
      <c r="F6027" s="6">
        <v>300</v>
      </c>
      <c r="G6027" s="6">
        <f t="shared" si="300"/>
        <v>300</v>
      </c>
      <c r="H6027" s="6">
        <v>150</v>
      </c>
      <c r="I6027" s="26">
        <f t="shared" ref="I6027:I6090" si="301">F6027-H6027</f>
        <v>150</v>
      </c>
      <c r="J6027" s="7" t="str">
        <f t="shared" si="299"/>
        <v>DEBE</v>
      </c>
      <c r="K6027" s="33" t="s">
        <v>2754</v>
      </c>
      <c r="M6027" s="8" t="s">
        <v>5690</v>
      </c>
    </row>
    <row r="6028" spans="1:13" x14ac:dyDescent="0.25">
      <c r="A6028" s="73">
        <v>46063</v>
      </c>
      <c r="C6028" t="s">
        <v>996</v>
      </c>
      <c r="D6028" s="98" t="s">
        <v>4551</v>
      </c>
      <c r="E6028" s="99"/>
      <c r="F6028" s="101">
        <v>80</v>
      </c>
      <c r="G6028" s="101">
        <f t="shared" si="300"/>
        <v>80</v>
      </c>
      <c r="H6028" s="101">
        <v>20</v>
      </c>
      <c r="I6028" s="100">
        <f t="shared" si="301"/>
        <v>60</v>
      </c>
      <c r="J6028" s="7" t="str">
        <f t="shared" si="299"/>
        <v>DEBE</v>
      </c>
      <c r="K6028" s="34" t="s">
        <v>2754</v>
      </c>
      <c r="M6028" s="8" t="s">
        <v>5613</v>
      </c>
    </row>
    <row r="6029" spans="1:13" x14ac:dyDescent="0.25">
      <c r="A6029" s="73">
        <v>46063</v>
      </c>
      <c r="C6029" t="s">
        <v>5577</v>
      </c>
      <c r="D6029" s="9" t="s">
        <v>4270</v>
      </c>
      <c r="F6029" s="6">
        <v>70</v>
      </c>
      <c r="G6029" s="6">
        <f t="shared" si="300"/>
        <v>70</v>
      </c>
      <c r="H6029" s="6">
        <v>70</v>
      </c>
      <c r="I6029" s="26">
        <f t="shared" si="301"/>
        <v>0</v>
      </c>
      <c r="J6029" s="7" t="str">
        <f t="shared" si="299"/>
        <v>PAGADO</v>
      </c>
    </row>
    <row r="6030" spans="1:13" x14ac:dyDescent="0.25">
      <c r="A6030" s="73">
        <v>46063</v>
      </c>
      <c r="C6030" t="s">
        <v>5691</v>
      </c>
      <c r="D6030" s="9" t="s">
        <v>4270</v>
      </c>
      <c r="F6030" s="6">
        <v>65</v>
      </c>
      <c r="G6030" s="6">
        <f t="shared" si="300"/>
        <v>65</v>
      </c>
      <c r="H6030" s="6">
        <v>65</v>
      </c>
      <c r="I6030" s="26">
        <f t="shared" si="301"/>
        <v>0</v>
      </c>
      <c r="J6030" s="7" t="str">
        <f t="shared" si="299"/>
        <v>PAGADO</v>
      </c>
    </row>
    <row r="6031" spans="1:13" x14ac:dyDescent="0.25">
      <c r="A6031" s="73">
        <v>46063</v>
      </c>
      <c r="C6031" s="9" t="s">
        <v>5692</v>
      </c>
      <c r="D6031" s="9" t="s">
        <v>3434</v>
      </c>
      <c r="F6031" s="6">
        <v>190</v>
      </c>
      <c r="G6031" s="6">
        <f t="shared" si="300"/>
        <v>190</v>
      </c>
      <c r="H6031" s="6">
        <f>95+95</f>
        <v>190</v>
      </c>
      <c r="I6031" s="26">
        <f t="shared" si="301"/>
        <v>0</v>
      </c>
      <c r="J6031" s="7" t="str">
        <f t="shared" ref="J6031:J6094" si="302">IF(I6031&gt;0,"DEBE","PAGADO")</f>
        <v>PAGADO</v>
      </c>
    </row>
    <row r="6032" spans="1:13" x14ac:dyDescent="0.25">
      <c r="A6032" s="73">
        <v>46063</v>
      </c>
      <c r="C6032" s="9" t="s">
        <v>5693</v>
      </c>
      <c r="D6032" s="9" t="s">
        <v>3653</v>
      </c>
      <c r="F6032" s="6">
        <v>120</v>
      </c>
      <c r="G6032" s="6">
        <f t="shared" si="300"/>
        <v>120</v>
      </c>
      <c r="H6032" s="6">
        <v>60</v>
      </c>
      <c r="I6032" s="26">
        <f t="shared" si="301"/>
        <v>60</v>
      </c>
      <c r="J6032" s="7" t="str">
        <f t="shared" si="302"/>
        <v>DEBE</v>
      </c>
      <c r="K6032" s="33" t="s">
        <v>2754</v>
      </c>
      <c r="M6032" s="8" t="s">
        <v>5694</v>
      </c>
    </row>
    <row r="6033" spans="1:13" x14ac:dyDescent="0.25">
      <c r="A6033" s="73">
        <v>46063</v>
      </c>
      <c r="C6033" t="s">
        <v>2819</v>
      </c>
      <c r="D6033" t="s">
        <v>5471</v>
      </c>
      <c r="F6033" s="6">
        <v>120</v>
      </c>
      <c r="G6033" s="6">
        <f t="shared" si="300"/>
        <v>120</v>
      </c>
      <c r="H6033" s="6">
        <v>120</v>
      </c>
      <c r="I6033" s="26">
        <f t="shared" si="301"/>
        <v>0</v>
      </c>
      <c r="J6033" s="7" t="str">
        <f t="shared" si="302"/>
        <v>PAGADO</v>
      </c>
    </row>
    <row r="6034" spans="1:13" x14ac:dyDescent="0.25">
      <c r="A6034" s="73">
        <v>46063</v>
      </c>
      <c r="C6034" s="9" t="s">
        <v>5695</v>
      </c>
      <c r="D6034" t="s">
        <v>2058</v>
      </c>
      <c r="F6034" s="6">
        <v>670</v>
      </c>
      <c r="G6034" s="6">
        <f t="shared" si="300"/>
        <v>670</v>
      </c>
      <c r="H6034" s="6">
        <v>670</v>
      </c>
      <c r="I6034" s="26">
        <f t="shared" si="301"/>
        <v>0</v>
      </c>
      <c r="J6034" s="7" t="str">
        <f t="shared" si="302"/>
        <v>PAGADO</v>
      </c>
    </row>
    <row r="6035" spans="1:13" x14ac:dyDescent="0.25">
      <c r="A6035" s="73">
        <v>46064</v>
      </c>
      <c r="C6035" t="s">
        <v>4495</v>
      </c>
      <c r="D6035" t="s">
        <v>5084</v>
      </c>
      <c r="F6035" s="6">
        <v>70</v>
      </c>
      <c r="G6035" s="6">
        <f t="shared" si="300"/>
        <v>70</v>
      </c>
      <c r="H6035" s="6">
        <v>70</v>
      </c>
      <c r="I6035" s="26">
        <f t="shared" si="301"/>
        <v>0</v>
      </c>
      <c r="J6035" s="7" t="str">
        <f t="shared" si="302"/>
        <v>PAGADO</v>
      </c>
    </row>
    <row r="6036" spans="1:13" x14ac:dyDescent="0.25">
      <c r="A6036" s="73">
        <v>46064</v>
      </c>
      <c r="C6036" t="s">
        <v>5096</v>
      </c>
      <c r="D6036" t="s">
        <v>5696</v>
      </c>
      <c r="F6036" s="6">
        <v>90</v>
      </c>
      <c r="G6036" s="6">
        <f t="shared" si="300"/>
        <v>90</v>
      </c>
      <c r="H6036" s="6">
        <v>90</v>
      </c>
      <c r="I6036" s="26">
        <f t="shared" si="301"/>
        <v>0</v>
      </c>
      <c r="J6036" s="7" t="str">
        <f t="shared" si="302"/>
        <v>PAGADO</v>
      </c>
    </row>
    <row r="6037" spans="1:13" x14ac:dyDescent="0.25">
      <c r="A6037" s="73">
        <v>46064</v>
      </c>
      <c r="C6037" t="s">
        <v>2182</v>
      </c>
      <c r="D6037" t="s">
        <v>5696</v>
      </c>
      <c r="F6037" s="6">
        <v>80</v>
      </c>
      <c r="G6037" s="6">
        <f t="shared" si="300"/>
        <v>80</v>
      </c>
      <c r="H6037" s="6">
        <v>80</v>
      </c>
      <c r="I6037" s="26">
        <f t="shared" si="301"/>
        <v>0</v>
      </c>
      <c r="J6037" s="7" t="str">
        <f t="shared" si="302"/>
        <v>PAGADO</v>
      </c>
    </row>
    <row r="6038" spans="1:13" x14ac:dyDescent="0.25">
      <c r="A6038" s="73">
        <v>46064</v>
      </c>
      <c r="C6038" t="s">
        <v>4317</v>
      </c>
      <c r="D6038" t="s">
        <v>5696</v>
      </c>
      <c r="F6038" s="6">
        <v>80</v>
      </c>
      <c r="G6038" s="6">
        <f t="shared" si="300"/>
        <v>80</v>
      </c>
      <c r="H6038" s="6">
        <v>80</v>
      </c>
      <c r="I6038" s="26">
        <f t="shared" si="301"/>
        <v>0</v>
      </c>
      <c r="J6038" s="7" t="str">
        <f t="shared" si="302"/>
        <v>PAGADO</v>
      </c>
    </row>
    <row r="6039" spans="1:13" x14ac:dyDescent="0.25">
      <c r="A6039" s="73">
        <v>46064</v>
      </c>
      <c r="C6039" t="s">
        <v>499</v>
      </c>
      <c r="D6039" t="s">
        <v>5696</v>
      </c>
      <c r="F6039" s="6">
        <v>70</v>
      </c>
      <c r="G6039" s="6">
        <f t="shared" si="300"/>
        <v>70</v>
      </c>
      <c r="H6039" s="6">
        <v>70</v>
      </c>
      <c r="I6039" s="26">
        <f t="shared" si="301"/>
        <v>0</v>
      </c>
      <c r="J6039" s="7" t="str">
        <f t="shared" si="302"/>
        <v>PAGADO</v>
      </c>
    </row>
    <row r="6040" spans="1:13" x14ac:dyDescent="0.25">
      <c r="A6040" s="73">
        <v>46064</v>
      </c>
      <c r="C6040" t="s">
        <v>5697</v>
      </c>
      <c r="D6040" s="9" t="s">
        <v>5183</v>
      </c>
      <c r="F6040" s="6">
        <v>60</v>
      </c>
      <c r="G6040" s="6">
        <f t="shared" si="300"/>
        <v>60</v>
      </c>
      <c r="H6040" s="6">
        <v>60</v>
      </c>
      <c r="I6040" s="26">
        <f t="shared" si="301"/>
        <v>0</v>
      </c>
      <c r="J6040" s="7" t="str">
        <f t="shared" si="302"/>
        <v>PAGADO</v>
      </c>
    </row>
    <row r="6041" spans="1:13" x14ac:dyDescent="0.25">
      <c r="A6041" s="73">
        <v>46064</v>
      </c>
      <c r="C6041" t="s">
        <v>5698</v>
      </c>
      <c r="D6041" s="98" t="s">
        <v>4551</v>
      </c>
      <c r="F6041" s="6">
        <v>65</v>
      </c>
      <c r="G6041" s="6">
        <f t="shared" si="300"/>
        <v>65</v>
      </c>
      <c r="H6041" s="6">
        <f>35+30</f>
        <v>65</v>
      </c>
      <c r="I6041" s="26">
        <f t="shared" si="301"/>
        <v>0</v>
      </c>
      <c r="J6041" s="7" t="str">
        <f t="shared" si="302"/>
        <v>PAGADO</v>
      </c>
      <c r="K6041" s="33" t="s">
        <v>3819</v>
      </c>
    </row>
    <row r="6042" spans="1:13" x14ac:dyDescent="0.25">
      <c r="A6042" s="73">
        <v>46064</v>
      </c>
      <c r="C6042" s="9" t="s">
        <v>4354</v>
      </c>
      <c r="D6042" s="9" t="s">
        <v>4414</v>
      </c>
      <c r="F6042" s="6">
        <v>80</v>
      </c>
      <c r="G6042" s="6">
        <f t="shared" si="300"/>
        <v>80</v>
      </c>
      <c r="H6042" s="6">
        <v>80</v>
      </c>
      <c r="I6042" s="26">
        <f t="shared" si="301"/>
        <v>0</v>
      </c>
      <c r="J6042" s="7" t="str">
        <f t="shared" si="302"/>
        <v>PAGADO</v>
      </c>
    </row>
    <row r="6043" spans="1:13" x14ac:dyDescent="0.25">
      <c r="A6043" s="73">
        <v>46064</v>
      </c>
      <c r="C6043" s="9" t="s">
        <v>5699</v>
      </c>
      <c r="D6043" s="9" t="s">
        <v>2548</v>
      </c>
      <c r="F6043" s="6">
        <v>75</v>
      </c>
      <c r="G6043" s="6">
        <f t="shared" si="300"/>
        <v>75</v>
      </c>
      <c r="H6043" s="6">
        <v>37.5</v>
      </c>
      <c r="I6043" s="26">
        <f t="shared" si="301"/>
        <v>37.5</v>
      </c>
      <c r="J6043" s="7" t="str">
        <f t="shared" si="302"/>
        <v>DEBE</v>
      </c>
      <c r="K6043" s="33" t="s">
        <v>2754</v>
      </c>
      <c r="M6043" s="8" t="s">
        <v>5700</v>
      </c>
    </row>
    <row r="6044" spans="1:13" x14ac:dyDescent="0.25">
      <c r="A6044" s="97">
        <v>46064</v>
      </c>
      <c r="B6044" s="7"/>
      <c r="C6044" s="98" t="s">
        <v>5701</v>
      </c>
      <c r="D6044" t="s">
        <v>1390</v>
      </c>
      <c r="E6044" s="99"/>
      <c r="F6044" s="101">
        <v>130</v>
      </c>
      <c r="G6044" s="101">
        <f t="shared" si="300"/>
        <v>130</v>
      </c>
      <c r="H6044" s="101">
        <f>65+65</f>
        <v>130</v>
      </c>
      <c r="I6044" s="100">
        <f t="shared" si="301"/>
        <v>0</v>
      </c>
      <c r="J6044" s="7" t="str">
        <f t="shared" si="302"/>
        <v>PAGADO</v>
      </c>
      <c r="K6044" s="9" t="s">
        <v>2712</v>
      </c>
    </row>
    <row r="6045" spans="1:13" x14ac:dyDescent="0.25">
      <c r="A6045" s="73">
        <v>46064</v>
      </c>
      <c r="C6045" s="9" t="s">
        <v>5702</v>
      </c>
      <c r="D6045" t="s">
        <v>5703</v>
      </c>
      <c r="F6045" s="6">
        <v>80</v>
      </c>
      <c r="G6045" s="6">
        <f t="shared" si="300"/>
        <v>80</v>
      </c>
      <c r="H6045" s="6">
        <v>40</v>
      </c>
      <c r="I6045" s="26">
        <f t="shared" si="301"/>
        <v>40</v>
      </c>
      <c r="J6045" s="7" t="str">
        <f t="shared" si="302"/>
        <v>DEBE</v>
      </c>
      <c r="K6045" s="34" t="s">
        <v>2754</v>
      </c>
      <c r="M6045" s="8" t="s">
        <v>5293</v>
      </c>
    </row>
    <row r="6046" spans="1:13" x14ac:dyDescent="0.25">
      <c r="A6046" s="73">
        <v>46064</v>
      </c>
      <c r="C6046" s="9" t="s">
        <v>5704</v>
      </c>
      <c r="D6046" t="s">
        <v>5705</v>
      </c>
      <c r="F6046" s="6">
        <v>40</v>
      </c>
      <c r="G6046" s="6">
        <f t="shared" si="300"/>
        <v>40</v>
      </c>
      <c r="H6046" s="6">
        <f>20+20</f>
        <v>40</v>
      </c>
      <c r="I6046" s="26">
        <f t="shared" si="301"/>
        <v>0</v>
      </c>
      <c r="J6046" s="7" t="str">
        <f t="shared" si="302"/>
        <v>PAGADO</v>
      </c>
    </row>
    <row r="6047" spans="1:13" x14ac:dyDescent="0.25">
      <c r="A6047" s="73">
        <v>46064</v>
      </c>
      <c r="C6047" t="s">
        <v>5706</v>
      </c>
      <c r="D6047" s="9" t="s">
        <v>5434</v>
      </c>
      <c r="F6047" s="6">
        <v>250</v>
      </c>
      <c r="G6047" s="6">
        <f t="shared" si="300"/>
        <v>250</v>
      </c>
      <c r="H6047" s="6">
        <f>125+125</f>
        <v>250</v>
      </c>
      <c r="I6047" s="26">
        <f t="shared" si="301"/>
        <v>0</v>
      </c>
      <c r="J6047" s="7" t="str">
        <f t="shared" si="302"/>
        <v>PAGADO</v>
      </c>
    </row>
    <row r="6048" spans="1:13" x14ac:dyDescent="0.25">
      <c r="A6048" s="73">
        <v>46064</v>
      </c>
      <c r="C6048" t="s">
        <v>5707</v>
      </c>
      <c r="D6048" s="9" t="s">
        <v>5708</v>
      </c>
      <c r="F6048" s="6">
        <v>70</v>
      </c>
      <c r="G6048" s="6">
        <f t="shared" si="300"/>
        <v>70</v>
      </c>
      <c r="H6048" s="6">
        <v>70</v>
      </c>
      <c r="I6048" s="26">
        <f t="shared" si="301"/>
        <v>0</v>
      </c>
      <c r="J6048" s="7" t="str">
        <f t="shared" si="302"/>
        <v>PAGADO</v>
      </c>
    </row>
    <row r="6049" spans="1:13" x14ac:dyDescent="0.25">
      <c r="A6049" s="73">
        <v>46065</v>
      </c>
      <c r="C6049" t="s">
        <v>5709</v>
      </c>
      <c r="D6049" t="s">
        <v>5471</v>
      </c>
      <c r="F6049" s="6">
        <v>70</v>
      </c>
      <c r="G6049" s="6">
        <f t="shared" si="300"/>
        <v>70</v>
      </c>
      <c r="H6049" s="6">
        <v>70</v>
      </c>
      <c r="I6049" s="26">
        <f t="shared" si="301"/>
        <v>0</v>
      </c>
      <c r="J6049" s="7" t="str">
        <f t="shared" si="302"/>
        <v>PAGADO</v>
      </c>
    </row>
    <row r="6050" spans="1:13" x14ac:dyDescent="0.25">
      <c r="A6050" s="73">
        <v>46065</v>
      </c>
      <c r="C6050" t="s">
        <v>2854</v>
      </c>
      <c r="D6050" t="s">
        <v>5471</v>
      </c>
      <c r="F6050" s="6">
        <v>60</v>
      </c>
      <c r="G6050" s="6">
        <f t="shared" si="300"/>
        <v>60</v>
      </c>
      <c r="H6050" s="6">
        <v>60</v>
      </c>
      <c r="I6050" s="26">
        <f t="shared" si="301"/>
        <v>0</v>
      </c>
      <c r="J6050" s="7" t="str">
        <f t="shared" si="302"/>
        <v>PAGADO</v>
      </c>
    </row>
    <row r="6051" spans="1:13" x14ac:dyDescent="0.25">
      <c r="A6051" s="73">
        <v>46065</v>
      </c>
      <c r="C6051" s="9" t="s">
        <v>5067</v>
      </c>
      <c r="D6051" t="s">
        <v>5703</v>
      </c>
      <c r="F6051" s="6">
        <v>60</v>
      </c>
      <c r="G6051" s="6">
        <f t="shared" si="300"/>
        <v>60</v>
      </c>
      <c r="H6051" s="6">
        <f>30+30</f>
        <v>60</v>
      </c>
      <c r="I6051" s="26">
        <f t="shared" si="301"/>
        <v>0</v>
      </c>
      <c r="J6051" s="7" t="str">
        <f t="shared" si="302"/>
        <v>PAGADO</v>
      </c>
      <c r="K6051" s="34" t="s">
        <v>3819</v>
      </c>
    </row>
    <row r="6052" spans="1:13" x14ac:dyDescent="0.25">
      <c r="A6052" s="97">
        <v>46065</v>
      </c>
      <c r="C6052" s="9" t="s">
        <v>5710</v>
      </c>
      <c r="D6052" t="s">
        <v>1390</v>
      </c>
      <c r="E6052" s="99"/>
      <c r="F6052" s="101">
        <v>10</v>
      </c>
      <c r="G6052" s="101">
        <f t="shared" si="300"/>
        <v>10</v>
      </c>
      <c r="H6052" s="101">
        <v>5</v>
      </c>
      <c r="I6052" s="100">
        <f t="shared" si="301"/>
        <v>5</v>
      </c>
      <c r="J6052" s="7" t="str">
        <f t="shared" si="302"/>
        <v>DEBE</v>
      </c>
      <c r="K6052" s="34" t="s">
        <v>2754</v>
      </c>
      <c r="M6052" s="8" t="s">
        <v>5711</v>
      </c>
    </row>
    <row r="6053" spans="1:13" x14ac:dyDescent="0.25">
      <c r="A6053" s="73">
        <v>46065</v>
      </c>
      <c r="C6053" t="s">
        <v>5712</v>
      </c>
      <c r="D6053" s="98" t="s">
        <v>4551</v>
      </c>
      <c r="F6053" s="6">
        <v>60</v>
      </c>
      <c r="G6053" s="6">
        <f t="shared" si="300"/>
        <v>60</v>
      </c>
      <c r="H6053" s="6">
        <f>30+30</f>
        <v>60</v>
      </c>
      <c r="I6053" s="26">
        <f t="shared" si="301"/>
        <v>0</v>
      </c>
      <c r="J6053" s="7" t="str">
        <f t="shared" si="302"/>
        <v>PAGADO</v>
      </c>
    </row>
    <row r="6054" spans="1:13" x14ac:dyDescent="0.25">
      <c r="A6054" s="73">
        <v>46065</v>
      </c>
      <c r="C6054" s="9" t="s">
        <v>5713</v>
      </c>
      <c r="D6054" s="9" t="s">
        <v>2548</v>
      </c>
      <c r="F6054" s="6">
        <v>60</v>
      </c>
      <c r="G6054" s="101">
        <f t="shared" si="300"/>
        <v>60</v>
      </c>
      <c r="H6054" s="6">
        <v>30</v>
      </c>
      <c r="I6054" s="26">
        <f t="shared" si="301"/>
        <v>30</v>
      </c>
      <c r="J6054" s="7" t="str">
        <f t="shared" si="302"/>
        <v>DEBE</v>
      </c>
      <c r="K6054" s="34" t="s">
        <v>2754</v>
      </c>
      <c r="M6054" s="7" t="s">
        <v>5679</v>
      </c>
    </row>
    <row r="6055" spans="1:13" x14ac:dyDescent="0.25">
      <c r="A6055" s="73">
        <v>46065</v>
      </c>
      <c r="C6055" s="9" t="s">
        <v>5714</v>
      </c>
      <c r="D6055" s="9" t="s">
        <v>2548</v>
      </c>
      <c r="F6055" s="6">
        <v>100</v>
      </c>
      <c r="G6055" s="101">
        <f t="shared" si="300"/>
        <v>100</v>
      </c>
      <c r="H6055" s="6">
        <v>50</v>
      </c>
      <c r="I6055" s="26">
        <f t="shared" si="301"/>
        <v>50</v>
      </c>
      <c r="J6055" s="7" t="str">
        <f t="shared" si="302"/>
        <v>DEBE</v>
      </c>
      <c r="K6055" s="34" t="s">
        <v>2754</v>
      </c>
      <c r="M6055" s="7" t="s">
        <v>5679</v>
      </c>
    </row>
    <row r="6056" spans="1:13" x14ac:dyDescent="0.25">
      <c r="A6056" s="73">
        <v>46065</v>
      </c>
      <c r="C6056" s="9" t="s">
        <v>5715</v>
      </c>
      <c r="D6056" s="9" t="s">
        <v>18</v>
      </c>
      <c r="F6056" s="6">
        <v>80</v>
      </c>
      <c r="G6056" s="101">
        <f t="shared" si="300"/>
        <v>80</v>
      </c>
      <c r="H6056" s="6">
        <v>80</v>
      </c>
      <c r="I6056" s="26">
        <f t="shared" si="301"/>
        <v>0</v>
      </c>
      <c r="J6056" s="7" t="str">
        <f t="shared" si="302"/>
        <v>PAGADO</v>
      </c>
      <c r="K6056" s="34" t="s">
        <v>2754</v>
      </c>
      <c r="M6056" s="7" t="s">
        <v>5601</v>
      </c>
    </row>
    <row r="6057" spans="1:13" x14ac:dyDescent="0.25">
      <c r="A6057" s="73">
        <v>46065</v>
      </c>
      <c r="C6057" s="9" t="s">
        <v>5716</v>
      </c>
      <c r="D6057" s="98" t="s">
        <v>5202</v>
      </c>
      <c r="F6057" s="6">
        <v>140</v>
      </c>
      <c r="G6057" s="101">
        <f t="shared" si="300"/>
        <v>140</v>
      </c>
      <c r="H6057" s="6">
        <f>70+70</f>
        <v>140</v>
      </c>
      <c r="I6057" s="26">
        <f t="shared" si="301"/>
        <v>0</v>
      </c>
      <c r="J6057" s="7" t="str">
        <f t="shared" si="302"/>
        <v>PAGADO</v>
      </c>
      <c r="K6057" s="34" t="s">
        <v>2712</v>
      </c>
    </row>
    <row r="6058" spans="1:13" x14ac:dyDescent="0.25">
      <c r="A6058" s="73">
        <v>46065</v>
      </c>
      <c r="C6058" s="9" t="s">
        <v>4060</v>
      </c>
      <c r="D6058" s="98" t="s">
        <v>5202</v>
      </c>
      <c r="F6058" s="6">
        <v>70</v>
      </c>
      <c r="G6058" s="101">
        <f t="shared" si="300"/>
        <v>70</v>
      </c>
      <c r="H6058" s="6">
        <f>35+35</f>
        <v>70</v>
      </c>
      <c r="I6058" s="26">
        <f t="shared" si="301"/>
        <v>0</v>
      </c>
      <c r="J6058" s="7" t="str">
        <f t="shared" si="302"/>
        <v>PAGADO</v>
      </c>
      <c r="K6058" s="34" t="s">
        <v>3819</v>
      </c>
    </row>
    <row r="6059" spans="1:13" x14ac:dyDescent="0.25">
      <c r="A6059" s="73">
        <v>46066</v>
      </c>
      <c r="C6059" t="s">
        <v>5717</v>
      </c>
      <c r="D6059" t="s">
        <v>5559</v>
      </c>
      <c r="F6059" s="6">
        <v>80</v>
      </c>
      <c r="G6059" s="6">
        <f t="shared" si="300"/>
        <v>80</v>
      </c>
      <c r="H6059" s="6">
        <f>40+40</f>
        <v>80</v>
      </c>
      <c r="I6059" s="26">
        <f t="shared" si="301"/>
        <v>0</v>
      </c>
      <c r="J6059" s="7" t="str">
        <f t="shared" si="302"/>
        <v>PAGADO</v>
      </c>
      <c r="K6059" t="s">
        <v>2714</v>
      </c>
    </row>
    <row r="6060" spans="1:13" x14ac:dyDescent="0.25">
      <c r="A6060" s="73">
        <v>46066</v>
      </c>
      <c r="C6060" t="s">
        <v>5718</v>
      </c>
      <c r="D6060" t="s">
        <v>5719</v>
      </c>
      <c r="F6060" s="6">
        <v>120</v>
      </c>
      <c r="G6060" s="6">
        <f t="shared" si="300"/>
        <v>120</v>
      </c>
      <c r="H6060" s="6">
        <v>120</v>
      </c>
      <c r="I6060" s="26">
        <f t="shared" si="301"/>
        <v>0</v>
      </c>
      <c r="J6060" s="7" t="str">
        <f t="shared" si="302"/>
        <v>PAGADO</v>
      </c>
    </row>
    <row r="6061" spans="1:13" x14ac:dyDescent="0.25">
      <c r="A6061" s="73">
        <v>46066</v>
      </c>
      <c r="C6061" s="9" t="s">
        <v>5566</v>
      </c>
      <c r="D6061" s="9" t="s">
        <v>5720</v>
      </c>
      <c r="F6061" s="6">
        <v>70</v>
      </c>
      <c r="G6061" s="6">
        <f t="shared" si="300"/>
        <v>70</v>
      </c>
      <c r="H6061" s="6">
        <v>70</v>
      </c>
      <c r="I6061" s="26">
        <f t="shared" si="301"/>
        <v>0</v>
      </c>
      <c r="J6061" s="7" t="str">
        <f t="shared" si="302"/>
        <v>PAGADO</v>
      </c>
      <c r="K6061" s="9" t="s">
        <v>2754</v>
      </c>
      <c r="M6061" s="8" t="s">
        <v>5567</v>
      </c>
    </row>
    <row r="6062" spans="1:13" x14ac:dyDescent="0.25">
      <c r="A6062" s="73">
        <v>46066</v>
      </c>
      <c r="C6062" s="9" t="s">
        <v>5568</v>
      </c>
      <c r="D6062" s="9" t="s">
        <v>5720</v>
      </c>
      <c r="F6062" s="6">
        <v>70</v>
      </c>
      <c r="G6062" s="6">
        <f t="shared" si="300"/>
        <v>70</v>
      </c>
      <c r="H6062" s="6">
        <v>70</v>
      </c>
      <c r="I6062" s="26">
        <f t="shared" si="301"/>
        <v>0</v>
      </c>
      <c r="J6062" s="7" t="str">
        <f t="shared" si="302"/>
        <v>PAGADO</v>
      </c>
      <c r="K6062" s="9" t="s">
        <v>2754</v>
      </c>
      <c r="M6062" s="8" t="s">
        <v>5567</v>
      </c>
    </row>
    <row r="6063" spans="1:13" x14ac:dyDescent="0.25">
      <c r="A6063" s="73">
        <v>46067</v>
      </c>
      <c r="C6063" t="s">
        <v>695</v>
      </c>
      <c r="D6063" s="9" t="s">
        <v>5138</v>
      </c>
      <c r="F6063" s="6">
        <v>40</v>
      </c>
      <c r="G6063" s="6">
        <f t="shared" si="300"/>
        <v>40</v>
      </c>
      <c r="H6063" s="6">
        <v>40</v>
      </c>
      <c r="I6063" s="26">
        <f t="shared" si="301"/>
        <v>0</v>
      </c>
      <c r="J6063" s="7" t="str">
        <f t="shared" si="302"/>
        <v>PAGADO</v>
      </c>
      <c r="K6063" s="9" t="s">
        <v>2712</v>
      </c>
    </row>
    <row r="6064" spans="1:13" x14ac:dyDescent="0.25">
      <c r="A6064" s="73">
        <v>46067</v>
      </c>
      <c r="C6064" t="s">
        <v>5721</v>
      </c>
      <c r="D6064" s="9" t="s">
        <v>5138</v>
      </c>
      <c r="F6064" s="6">
        <v>35</v>
      </c>
      <c r="G6064" s="6">
        <f t="shared" si="300"/>
        <v>35</v>
      </c>
      <c r="H6064" s="6">
        <v>35</v>
      </c>
      <c r="I6064" s="26">
        <f t="shared" si="301"/>
        <v>0</v>
      </c>
      <c r="J6064" s="7" t="str">
        <f t="shared" si="302"/>
        <v>PAGADO</v>
      </c>
      <c r="K6064" s="9" t="s">
        <v>2712</v>
      </c>
    </row>
    <row r="6065" spans="1:13" x14ac:dyDescent="0.25">
      <c r="A6065" s="73">
        <v>46073</v>
      </c>
      <c r="C6065" s="9" t="s">
        <v>5722</v>
      </c>
      <c r="D6065" t="s">
        <v>3142</v>
      </c>
      <c r="F6065" s="6">
        <v>100</v>
      </c>
      <c r="G6065" s="6">
        <f t="shared" si="300"/>
        <v>100</v>
      </c>
      <c r="H6065" s="6">
        <v>100</v>
      </c>
      <c r="I6065" s="26">
        <f t="shared" si="301"/>
        <v>0</v>
      </c>
      <c r="J6065" s="7" t="str">
        <f t="shared" si="302"/>
        <v>PAGADO</v>
      </c>
      <c r="K6065" s="9" t="s">
        <v>2714</v>
      </c>
    </row>
    <row r="6066" spans="1:13" x14ac:dyDescent="0.25">
      <c r="A6066" s="73">
        <v>46073</v>
      </c>
      <c r="C6066" t="s">
        <v>5723</v>
      </c>
      <c r="D6066" s="9" t="s">
        <v>5434</v>
      </c>
      <c r="F6066" s="6">
        <v>150</v>
      </c>
      <c r="G6066" s="6">
        <f t="shared" si="300"/>
        <v>150</v>
      </c>
      <c r="H6066" s="6">
        <f>75+75</f>
        <v>150</v>
      </c>
      <c r="I6066" s="26">
        <f t="shared" si="301"/>
        <v>0</v>
      </c>
      <c r="J6066" s="7" t="str">
        <f t="shared" si="302"/>
        <v>PAGADO</v>
      </c>
    </row>
    <row r="6067" spans="1:13" x14ac:dyDescent="0.25">
      <c r="A6067" s="73">
        <v>46073</v>
      </c>
      <c r="C6067" s="9" t="s">
        <v>5724</v>
      </c>
      <c r="D6067" s="9" t="s">
        <v>18</v>
      </c>
      <c r="F6067" s="6">
        <v>350</v>
      </c>
      <c r="G6067" s="101">
        <f t="shared" si="300"/>
        <v>350</v>
      </c>
      <c r="H6067" s="6">
        <v>350</v>
      </c>
      <c r="I6067" s="26">
        <f t="shared" si="301"/>
        <v>0</v>
      </c>
      <c r="J6067" s="7" t="str">
        <f t="shared" si="302"/>
        <v>PAGADO</v>
      </c>
      <c r="K6067" t="s">
        <v>5638</v>
      </c>
    </row>
    <row r="6068" spans="1:13" x14ac:dyDescent="0.25">
      <c r="A6068" s="73">
        <v>46073</v>
      </c>
      <c r="C6068" s="9" t="s">
        <v>5725</v>
      </c>
      <c r="D6068" s="9" t="s">
        <v>5726</v>
      </c>
      <c r="F6068" s="6">
        <v>180</v>
      </c>
      <c r="G6068" s="6">
        <f t="shared" si="300"/>
        <v>180</v>
      </c>
      <c r="H6068" s="6">
        <f>90+90</f>
        <v>180</v>
      </c>
      <c r="I6068" s="26">
        <f t="shared" si="301"/>
        <v>0</v>
      </c>
      <c r="J6068" s="7" t="str">
        <f t="shared" si="302"/>
        <v>PAGADO</v>
      </c>
      <c r="K6068" s="9" t="s">
        <v>2712</v>
      </c>
    </row>
    <row r="6069" spans="1:13" x14ac:dyDescent="0.25">
      <c r="A6069" s="73">
        <v>46073</v>
      </c>
      <c r="C6069" s="9" t="s">
        <v>5727</v>
      </c>
      <c r="D6069" s="9" t="s">
        <v>2278</v>
      </c>
      <c r="F6069" s="6">
        <v>100</v>
      </c>
      <c r="G6069" s="6">
        <f t="shared" si="300"/>
        <v>100</v>
      </c>
      <c r="H6069" s="24">
        <v>100</v>
      </c>
      <c r="I6069" s="26">
        <f t="shared" si="301"/>
        <v>0</v>
      </c>
      <c r="J6069" s="7" t="str">
        <f t="shared" si="302"/>
        <v>PAGADO</v>
      </c>
      <c r="K6069" t="s">
        <v>5458</v>
      </c>
    </row>
    <row r="6070" spans="1:13" x14ac:dyDescent="0.25">
      <c r="A6070" s="73">
        <v>46073</v>
      </c>
      <c r="C6070" s="119" t="s">
        <v>909</v>
      </c>
      <c r="D6070" s="9" t="s">
        <v>5145</v>
      </c>
      <c r="F6070" s="6">
        <v>75</v>
      </c>
      <c r="G6070" s="6">
        <f t="shared" si="300"/>
        <v>75</v>
      </c>
      <c r="H6070" s="6">
        <v>75</v>
      </c>
      <c r="I6070" s="26">
        <f t="shared" si="301"/>
        <v>0</v>
      </c>
      <c r="J6070" s="7" t="str">
        <f t="shared" si="302"/>
        <v>PAGADO</v>
      </c>
      <c r="K6070" s="28" t="s">
        <v>2714</v>
      </c>
    </row>
    <row r="6071" spans="1:13" x14ac:dyDescent="0.25">
      <c r="A6071" s="73">
        <v>46073</v>
      </c>
      <c r="C6071" s="9" t="s">
        <v>5728</v>
      </c>
      <c r="D6071" s="9" t="s">
        <v>488</v>
      </c>
      <c r="F6071" s="6">
        <v>900</v>
      </c>
      <c r="G6071" s="6">
        <f t="shared" si="300"/>
        <v>900</v>
      </c>
      <c r="H6071" s="6">
        <f>450+450</f>
        <v>900</v>
      </c>
      <c r="I6071" s="26">
        <f t="shared" si="301"/>
        <v>0</v>
      </c>
      <c r="J6071" s="7" t="str">
        <f t="shared" si="302"/>
        <v>PAGADO</v>
      </c>
      <c r="K6071" t="s">
        <v>5729</v>
      </c>
    </row>
    <row r="6072" spans="1:13" x14ac:dyDescent="0.25">
      <c r="A6072" s="73">
        <v>46073</v>
      </c>
      <c r="C6072" s="9" t="s">
        <v>5730</v>
      </c>
      <c r="D6072" s="9" t="s">
        <v>5731</v>
      </c>
      <c r="F6072" s="6">
        <v>1400</v>
      </c>
      <c r="G6072" s="6">
        <f t="shared" si="300"/>
        <v>1400</v>
      </c>
      <c r="H6072" s="6">
        <v>1400</v>
      </c>
      <c r="I6072" s="26">
        <f t="shared" si="301"/>
        <v>0</v>
      </c>
      <c r="J6072" s="7" t="str">
        <f t="shared" si="302"/>
        <v>PAGADO</v>
      </c>
    </row>
    <row r="6073" spans="1:13" x14ac:dyDescent="0.25">
      <c r="A6073" s="73">
        <v>46073</v>
      </c>
      <c r="C6073" s="98" t="s">
        <v>5732</v>
      </c>
      <c r="D6073" s="119" t="s">
        <v>2018</v>
      </c>
      <c r="F6073" s="6">
        <v>55</v>
      </c>
      <c r="G6073" s="6">
        <f t="shared" si="300"/>
        <v>55</v>
      </c>
      <c r="H6073" s="6">
        <v>55</v>
      </c>
      <c r="I6073" s="26">
        <f t="shared" si="301"/>
        <v>0</v>
      </c>
      <c r="J6073" s="7" t="str">
        <f t="shared" si="302"/>
        <v>PAGADO</v>
      </c>
      <c r="K6073" s="33" t="s">
        <v>2712</v>
      </c>
    </row>
    <row r="6074" spans="1:13" x14ac:dyDescent="0.25">
      <c r="A6074" s="73">
        <v>46073</v>
      </c>
      <c r="C6074" t="s">
        <v>5733</v>
      </c>
      <c r="D6074" t="s">
        <v>5705</v>
      </c>
      <c r="F6074" s="6">
        <v>40</v>
      </c>
      <c r="G6074" s="6">
        <f t="shared" si="300"/>
        <v>40</v>
      </c>
      <c r="H6074" s="6">
        <f>20+20</f>
        <v>40</v>
      </c>
      <c r="I6074" s="26">
        <f t="shared" si="301"/>
        <v>0</v>
      </c>
      <c r="J6074" s="7" t="str">
        <f t="shared" si="302"/>
        <v>PAGADO</v>
      </c>
      <c r="K6074" s="9" t="s">
        <v>2712</v>
      </c>
    </row>
    <row r="6075" spans="1:13" x14ac:dyDescent="0.25">
      <c r="A6075" s="73">
        <v>46073</v>
      </c>
      <c r="C6075" t="s">
        <v>5734</v>
      </c>
      <c r="D6075" t="s">
        <v>5726</v>
      </c>
      <c r="F6075" s="6">
        <v>80</v>
      </c>
      <c r="G6075" s="6">
        <f t="shared" si="300"/>
        <v>80</v>
      </c>
      <c r="H6075" s="6">
        <v>40</v>
      </c>
      <c r="I6075" s="26">
        <f t="shared" si="301"/>
        <v>40</v>
      </c>
      <c r="J6075" s="7" t="str">
        <f t="shared" si="302"/>
        <v>DEBE</v>
      </c>
      <c r="K6075" s="33" t="s">
        <v>3819</v>
      </c>
      <c r="L6075" t="s">
        <v>5735</v>
      </c>
    </row>
    <row r="6076" spans="1:13" x14ac:dyDescent="0.25">
      <c r="A6076" s="73">
        <v>46073</v>
      </c>
      <c r="C6076" t="s">
        <v>5736</v>
      </c>
      <c r="D6076" s="9" t="s">
        <v>2001</v>
      </c>
      <c r="F6076" s="6">
        <v>90</v>
      </c>
      <c r="G6076" s="6">
        <f t="shared" si="300"/>
        <v>90</v>
      </c>
      <c r="H6076" s="6">
        <f>10+80</f>
        <v>90</v>
      </c>
      <c r="I6076" s="6">
        <f t="shared" si="301"/>
        <v>0</v>
      </c>
      <c r="J6076" s="7" t="str">
        <f t="shared" si="302"/>
        <v>PAGADO</v>
      </c>
    </row>
    <row r="6077" spans="1:13" x14ac:dyDescent="0.25">
      <c r="A6077" s="73">
        <v>46073</v>
      </c>
      <c r="C6077" s="9" t="s">
        <v>5737</v>
      </c>
      <c r="D6077" t="s">
        <v>1849</v>
      </c>
      <c r="F6077" s="6">
        <f>100+50</f>
        <v>150</v>
      </c>
      <c r="G6077" s="6">
        <f t="shared" si="300"/>
        <v>150</v>
      </c>
      <c r="H6077" s="6">
        <f>20+130</f>
        <v>150</v>
      </c>
      <c r="I6077" s="26">
        <f t="shared" si="301"/>
        <v>0</v>
      </c>
      <c r="J6077" s="7" t="str">
        <f t="shared" si="302"/>
        <v>PAGADO</v>
      </c>
    </row>
    <row r="6078" spans="1:13" x14ac:dyDescent="0.25">
      <c r="A6078" s="73">
        <v>46073</v>
      </c>
      <c r="C6078" s="9" t="s">
        <v>5738</v>
      </c>
      <c r="D6078" t="s">
        <v>5739</v>
      </c>
      <c r="F6078" s="6">
        <v>60</v>
      </c>
      <c r="G6078" s="6">
        <f t="shared" ref="G6078:G6141" si="303">F6078-E6078</f>
        <v>60</v>
      </c>
      <c r="H6078" s="6">
        <f>10+50</f>
        <v>60</v>
      </c>
      <c r="I6078" s="26">
        <f t="shared" si="301"/>
        <v>0</v>
      </c>
      <c r="J6078" s="7" t="str">
        <f t="shared" si="302"/>
        <v>PAGADO</v>
      </c>
    </row>
    <row r="6079" spans="1:13" x14ac:dyDescent="0.25">
      <c r="A6079" s="73">
        <v>46073</v>
      </c>
      <c r="C6079" s="9" t="s">
        <v>2719</v>
      </c>
      <c r="D6079" t="s">
        <v>5708</v>
      </c>
      <c r="F6079" s="6">
        <v>140</v>
      </c>
      <c r="G6079" s="6">
        <f t="shared" si="303"/>
        <v>140</v>
      </c>
      <c r="H6079" s="6">
        <v>100</v>
      </c>
      <c r="I6079" s="26">
        <f t="shared" si="301"/>
        <v>40</v>
      </c>
      <c r="J6079" s="7" t="str">
        <f t="shared" si="302"/>
        <v>DEBE</v>
      </c>
      <c r="K6079" t="s">
        <v>2754</v>
      </c>
      <c r="M6079" s="8" t="s">
        <v>5740</v>
      </c>
    </row>
    <row r="6080" spans="1:13" x14ac:dyDescent="0.25">
      <c r="A6080" s="73">
        <v>46073</v>
      </c>
      <c r="C6080" s="9" t="s">
        <v>5741</v>
      </c>
      <c r="D6080" t="s">
        <v>5742</v>
      </c>
      <c r="F6080" s="6">
        <v>65</v>
      </c>
      <c r="G6080" s="6">
        <f t="shared" si="303"/>
        <v>65</v>
      </c>
      <c r="H6080" s="6">
        <v>65</v>
      </c>
      <c r="I6080" s="26">
        <f t="shared" si="301"/>
        <v>0</v>
      </c>
      <c r="J6080" s="7" t="str">
        <f t="shared" si="302"/>
        <v>PAGADO</v>
      </c>
    </row>
    <row r="6081" spans="1:11" x14ac:dyDescent="0.25">
      <c r="A6081" s="73">
        <v>46074</v>
      </c>
      <c r="C6081" s="9" t="s">
        <v>5743</v>
      </c>
      <c r="D6081" s="9" t="s">
        <v>5494</v>
      </c>
      <c r="F6081" s="6">
        <v>100</v>
      </c>
      <c r="G6081" s="6">
        <f t="shared" si="303"/>
        <v>100</v>
      </c>
      <c r="H6081" s="6">
        <v>100</v>
      </c>
      <c r="I6081" s="26">
        <f t="shared" si="301"/>
        <v>0</v>
      </c>
      <c r="J6081" s="7" t="str">
        <f t="shared" si="302"/>
        <v>PAGADO</v>
      </c>
    </row>
    <row r="6082" spans="1:11" x14ac:dyDescent="0.25">
      <c r="A6082" s="73">
        <v>46074</v>
      </c>
      <c r="C6082" s="9" t="s">
        <v>4852</v>
      </c>
      <c r="D6082" s="9" t="s">
        <v>2062</v>
      </c>
      <c r="F6082" s="6">
        <v>75</v>
      </c>
      <c r="G6082" s="6">
        <f t="shared" si="303"/>
        <v>75</v>
      </c>
      <c r="H6082" s="6">
        <v>75</v>
      </c>
      <c r="I6082" s="26">
        <f t="shared" si="301"/>
        <v>0</v>
      </c>
      <c r="J6082" s="7" t="str">
        <f t="shared" si="302"/>
        <v>PAGADO</v>
      </c>
    </row>
    <row r="6083" spans="1:11" x14ac:dyDescent="0.25">
      <c r="A6083" s="73">
        <v>46074</v>
      </c>
      <c r="C6083" s="9" t="s">
        <v>76</v>
      </c>
      <c r="D6083" s="9" t="s">
        <v>2062</v>
      </c>
      <c r="F6083" s="6">
        <v>50</v>
      </c>
      <c r="G6083" s="6">
        <f t="shared" si="303"/>
        <v>50</v>
      </c>
      <c r="H6083" s="6">
        <v>50</v>
      </c>
      <c r="I6083" s="26">
        <f t="shared" si="301"/>
        <v>0</v>
      </c>
      <c r="J6083" s="7" t="str">
        <f t="shared" si="302"/>
        <v>PAGADO</v>
      </c>
    </row>
    <row r="6084" spans="1:11" x14ac:dyDescent="0.25">
      <c r="A6084" s="73">
        <v>46075</v>
      </c>
      <c r="C6084" s="9" t="s">
        <v>3459</v>
      </c>
      <c r="D6084" s="9" t="s">
        <v>5485</v>
      </c>
      <c r="F6084" s="6">
        <v>70</v>
      </c>
      <c r="G6084" s="6">
        <f t="shared" si="303"/>
        <v>70</v>
      </c>
      <c r="H6084" s="6">
        <v>70</v>
      </c>
      <c r="I6084" s="26">
        <f t="shared" si="301"/>
        <v>0</v>
      </c>
      <c r="J6084" s="7" t="str">
        <f t="shared" si="302"/>
        <v>PAGADO</v>
      </c>
    </row>
    <row r="6085" spans="1:11" x14ac:dyDescent="0.25">
      <c r="A6085" s="73">
        <v>46075</v>
      </c>
      <c r="C6085" s="9" t="s">
        <v>4373</v>
      </c>
      <c r="D6085" s="9" t="s">
        <v>3006</v>
      </c>
      <c r="F6085" s="6">
        <v>200</v>
      </c>
      <c r="G6085" s="6">
        <f t="shared" si="303"/>
        <v>200</v>
      </c>
      <c r="H6085" s="6">
        <v>200</v>
      </c>
      <c r="I6085" s="26">
        <f t="shared" si="301"/>
        <v>0</v>
      </c>
      <c r="J6085" s="7" t="str">
        <f t="shared" si="302"/>
        <v>PAGADO</v>
      </c>
    </row>
    <row r="6086" spans="1:11" x14ac:dyDescent="0.25">
      <c r="A6086" s="73">
        <v>46075</v>
      </c>
      <c r="C6086" s="9" t="s">
        <v>5744</v>
      </c>
      <c r="D6086" s="9" t="s">
        <v>3006</v>
      </c>
      <c r="F6086" s="6">
        <v>200</v>
      </c>
      <c r="G6086" s="6">
        <f t="shared" si="303"/>
        <v>200</v>
      </c>
      <c r="H6086" s="6">
        <v>200</v>
      </c>
      <c r="I6086" s="26">
        <f t="shared" si="301"/>
        <v>0</v>
      </c>
      <c r="J6086" s="7" t="str">
        <f t="shared" si="302"/>
        <v>PAGADO</v>
      </c>
    </row>
    <row r="6087" spans="1:11" x14ac:dyDescent="0.25">
      <c r="A6087" s="73">
        <v>46075</v>
      </c>
      <c r="C6087" s="9" t="s">
        <v>4876</v>
      </c>
      <c r="D6087" s="9" t="s">
        <v>3006</v>
      </c>
      <c r="F6087" s="6">
        <v>170</v>
      </c>
      <c r="G6087" s="6">
        <f t="shared" si="303"/>
        <v>170</v>
      </c>
      <c r="H6087" s="6">
        <v>170</v>
      </c>
      <c r="I6087" s="26">
        <f t="shared" si="301"/>
        <v>0</v>
      </c>
      <c r="J6087" s="7" t="str">
        <f t="shared" si="302"/>
        <v>PAGADO</v>
      </c>
    </row>
    <row r="6088" spans="1:11" x14ac:dyDescent="0.25">
      <c r="A6088" s="73">
        <v>46075</v>
      </c>
      <c r="C6088" s="9" t="s">
        <v>5745</v>
      </c>
      <c r="D6088" s="9" t="s">
        <v>3006</v>
      </c>
      <c r="F6088" s="6">
        <v>400</v>
      </c>
      <c r="G6088" s="6">
        <f t="shared" si="303"/>
        <v>400</v>
      </c>
      <c r="H6088" s="6">
        <v>400</v>
      </c>
      <c r="I6088" s="26">
        <f t="shared" si="301"/>
        <v>0</v>
      </c>
      <c r="J6088" s="7" t="str">
        <f t="shared" si="302"/>
        <v>PAGADO</v>
      </c>
    </row>
    <row r="6089" spans="1:11" x14ac:dyDescent="0.25">
      <c r="A6089" s="73">
        <v>46075</v>
      </c>
      <c r="C6089" s="9" t="s">
        <v>5746</v>
      </c>
      <c r="D6089" s="9" t="s">
        <v>3006</v>
      </c>
      <c r="F6089" s="6">
        <v>70</v>
      </c>
      <c r="G6089" s="6">
        <f t="shared" si="303"/>
        <v>70</v>
      </c>
      <c r="H6089" s="6">
        <v>70</v>
      </c>
      <c r="I6089" s="26">
        <f t="shared" si="301"/>
        <v>0</v>
      </c>
      <c r="J6089" s="7" t="str">
        <f t="shared" si="302"/>
        <v>PAGADO</v>
      </c>
    </row>
    <row r="6090" spans="1:11" x14ac:dyDescent="0.25">
      <c r="A6090" s="73">
        <v>46075</v>
      </c>
      <c r="C6090" s="9" t="s">
        <v>5747</v>
      </c>
      <c r="D6090" s="9" t="s">
        <v>5748</v>
      </c>
      <c r="F6090" s="6">
        <v>60</v>
      </c>
      <c r="G6090" s="6">
        <f t="shared" si="303"/>
        <v>60</v>
      </c>
      <c r="H6090" s="6">
        <f>40+20</f>
        <v>60</v>
      </c>
      <c r="I6090" s="26">
        <f t="shared" si="301"/>
        <v>0</v>
      </c>
      <c r="J6090" s="7" t="str">
        <f t="shared" si="302"/>
        <v>PAGADO</v>
      </c>
    </row>
    <row r="6091" spans="1:11" x14ac:dyDescent="0.25">
      <c r="A6091" s="73">
        <v>46075</v>
      </c>
      <c r="C6091" s="9" t="s">
        <v>5749</v>
      </c>
      <c r="D6091" s="9" t="s">
        <v>5748</v>
      </c>
      <c r="F6091" s="6">
        <v>80</v>
      </c>
      <c r="G6091" s="6">
        <f t="shared" si="303"/>
        <v>80</v>
      </c>
      <c r="H6091" s="6">
        <f>45+20+15</f>
        <v>80</v>
      </c>
      <c r="I6091" s="26">
        <f t="shared" ref="I6091:I6154" si="304">F6091-H6091</f>
        <v>0</v>
      </c>
      <c r="J6091" s="7" t="str">
        <f t="shared" si="302"/>
        <v>PAGADO</v>
      </c>
    </row>
    <row r="6092" spans="1:11" x14ac:dyDescent="0.25">
      <c r="A6092" s="73">
        <v>46075</v>
      </c>
      <c r="C6092" s="9" t="s">
        <v>5750</v>
      </c>
      <c r="D6092" s="9" t="s">
        <v>5751</v>
      </c>
      <c r="F6092" s="6">
        <v>270</v>
      </c>
      <c r="G6092" s="6">
        <f t="shared" si="303"/>
        <v>270</v>
      </c>
      <c r="H6092" s="6">
        <v>270</v>
      </c>
      <c r="I6092" s="26">
        <f t="shared" si="304"/>
        <v>0</v>
      </c>
      <c r="J6092" s="7" t="str">
        <f t="shared" si="302"/>
        <v>PAGADO</v>
      </c>
    </row>
    <row r="6093" spans="1:11" x14ac:dyDescent="0.25">
      <c r="A6093" s="73">
        <v>46075</v>
      </c>
      <c r="C6093" s="9" t="s">
        <v>5752</v>
      </c>
      <c r="D6093" s="9" t="s">
        <v>5753</v>
      </c>
      <c r="F6093" s="6">
        <v>80</v>
      </c>
      <c r="G6093" s="6">
        <f t="shared" si="303"/>
        <v>80</v>
      </c>
      <c r="H6093" s="6">
        <v>80</v>
      </c>
      <c r="I6093" s="26">
        <f t="shared" si="304"/>
        <v>0</v>
      </c>
      <c r="J6093" s="7" t="str">
        <f t="shared" si="302"/>
        <v>PAGADO</v>
      </c>
    </row>
    <row r="6094" spans="1:11" x14ac:dyDescent="0.25">
      <c r="A6094" s="73">
        <v>46075</v>
      </c>
      <c r="C6094" s="9" t="s">
        <v>2182</v>
      </c>
      <c r="D6094" s="9" t="s">
        <v>5753</v>
      </c>
      <c r="F6094" s="6">
        <v>80</v>
      </c>
      <c r="G6094" s="6">
        <f t="shared" si="303"/>
        <v>80</v>
      </c>
      <c r="H6094" s="6">
        <v>80</v>
      </c>
      <c r="I6094" s="26">
        <f t="shared" si="304"/>
        <v>0</v>
      </c>
      <c r="J6094" s="7" t="str">
        <f t="shared" si="302"/>
        <v>PAGADO</v>
      </c>
    </row>
    <row r="6095" spans="1:11" x14ac:dyDescent="0.25">
      <c r="A6095" s="73">
        <v>46075</v>
      </c>
      <c r="C6095" s="9" t="s">
        <v>5754</v>
      </c>
      <c r="D6095" t="s">
        <v>5755</v>
      </c>
      <c r="F6095" s="6">
        <v>130</v>
      </c>
      <c r="G6095" s="6">
        <f t="shared" si="303"/>
        <v>130</v>
      </c>
      <c r="H6095" s="6">
        <f>65+65</f>
        <v>130</v>
      </c>
      <c r="I6095" s="26">
        <f t="shared" si="304"/>
        <v>0</v>
      </c>
      <c r="J6095" s="7" t="str">
        <f t="shared" ref="J6095:J6158" si="305">IF(I6095&gt;0,"DEBE","PAGADO")</f>
        <v>PAGADO</v>
      </c>
      <c r="K6095" s="9" t="s">
        <v>5756</v>
      </c>
    </row>
    <row r="6096" spans="1:11" x14ac:dyDescent="0.25">
      <c r="A6096" s="73">
        <v>46075</v>
      </c>
      <c r="C6096" t="s">
        <v>5757</v>
      </c>
      <c r="D6096" s="9" t="s">
        <v>5138</v>
      </c>
      <c r="F6096" s="6">
        <v>70</v>
      </c>
      <c r="G6096" s="6">
        <f t="shared" si="303"/>
        <v>70</v>
      </c>
      <c r="H6096" s="6">
        <f>35+35</f>
        <v>70</v>
      </c>
      <c r="I6096" s="26">
        <f t="shared" si="304"/>
        <v>0</v>
      </c>
      <c r="J6096" s="7" t="str">
        <f t="shared" si="305"/>
        <v>PAGADO</v>
      </c>
      <c r="K6096" s="33" t="s">
        <v>3819</v>
      </c>
    </row>
    <row r="6097" spans="1:13" x14ac:dyDescent="0.25">
      <c r="A6097" s="73">
        <v>46075</v>
      </c>
      <c r="C6097" t="s">
        <v>5758</v>
      </c>
      <c r="D6097" s="98" t="s">
        <v>4551</v>
      </c>
      <c r="F6097" s="6">
        <v>90</v>
      </c>
      <c r="G6097" s="6">
        <f t="shared" si="303"/>
        <v>90</v>
      </c>
      <c r="H6097" s="6">
        <v>45</v>
      </c>
      <c r="I6097" s="26">
        <f t="shared" si="304"/>
        <v>45</v>
      </c>
      <c r="J6097" s="7" t="str">
        <f t="shared" si="305"/>
        <v>DEBE</v>
      </c>
      <c r="K6097" s="9" t="s">
        <v>2754</v>
      </c>
    </row>
    <row r="6098" spans="1:13" x14ac:dyDescent="0.25">
      <c r="A6098" s="73">
        <v>46075</v>
      </c>
      <c r="C6098" t="s">
        <v>5759</v>
      </c>
      <c r="D6098" s="9" t="s">
        <v>5760</v>
      </c>
      <c r="F6098" s="6">
        <v>170</v>
      </c>
      <c r="G6098" s="6">
        <f t="shared" si="303"/>
        <v>170</v>
      </c>
      <c r="H6098" s="6">
        <f>85+85</f>
        <v>170</v>
      </c>
      <c r="I6098" s="26">
        <f t="shared" si="304"/>
        <v>0</v>
      </c>
      <c r="J6098" s="7" t="str">
        <f t="shared" si="305"/>
        <v>PAGADO</v>
      </c>
    </row>
    <row r="6099" spans="1:13" x14ac:dyDescent="0.25">
      <c r="A6099" s="73">
        <v>46075</v>
      </c>
      <c r="C6099" t="s">
        <v>5761</v>
      </c>
      <c r="D6099" s="9" t="s">
        <v>5496</v>
      </c>
      <c r="F6099" s="6">
        <v>10</v>
      </c>
      <c r="G6099" s="6">
        <f t="shared" si="303"/>
        <v>10</v>
      </c>
      <c r="H6099" s="6">
        <v>10</v>
      </c>
      <c r="I6099" s="26">
        <f t="shared" si="304"/>
        <v>0</v>
      </c>
      <c r="J6099" s="7" t="str">
        <f t="shared" si="305"/>
        <v>PAGADO</v>
      </c>
      <c r="K6099" s="9" t="s">
        <v>2712</v>
      </c>
    </row>
    <row r="6100" spans="1:13" x14ac:dyDescent="0.25">
      <c r="A6100" s="73">
        <v>46075</v>
      </c>
      <c r="C6100" t="s">
        <v>5762</v>
      </c>
      <c r="D6100" s="9" t="s">
        <v>5496</v>
      </c>
      <c r="F6100" s="6">
        <v>35</v>
      </c>
      <c r="G6100" s="6">
        <f t="shared" si="303"/>
        <v>35</v>
      </c>
      <c r="H6100" s="6">
        <v>35</v>
      </c>
      <c r="I6100" s="26">
        <f t="shared" si="304"/>
        <v>0</v>
      </c>
      <c r="J6100" s="7" t="str">
        <f t="shared" si="305"/>
        <v>PAGADO</v>
      </c>
      <c r="K6100" s="33" t="s">
        <v>3819</v>
      </c>
    </row>
    <row r="6101" spans="1:13" x14ac:dyDescent="0.25">
      <c r="A6101" s="73">
        <v>46076</v>
      </c>
      <c r="C6101" s="9" t="s">
        <v>5009</v>
      </c>
      <c r="D6101" s="9" t="s">
        <v>5636</v>
      </c>
      <c r="F6101" s="6">
        <v>150</v>
      </c>
      <c r="G6101" s="6">
        <f t="shared" si="303"/>
        <v>150</v>
      </c>
      <c r="H6101" s="6">
        <f>75+75</f>
        <v>150</v>
      </c>
      <c r="I6101" s="26">
        <f t="shared" si="304"/>
        <v>0</v>
      </c>
      <c r="J6101" s="7" t="str">
        <f t="shared" si="305"/>
        <v>PAGADO</v>
      </c>
      <c r="K6101" s="33" t="s">
        <v>3819</v>
      </c>
    </row>
    <row r="6102" spans="1:13" x14ac:dyDescent="0.25">
      <c r="A6102" s="73">
        <v>46076</v>
      </c>
      <c r="C6102" s="9" t="s">
        <v>5763</v>
      </c>
      <c r="D6102" s="9" t="s">
        <v>3463</v>
      </c>
      <c r="F6102" s="6">
        <v>70</v>
      </c>
      <c r="G6102" s="6">
        <f t="shared" si="303"/>
        <v>70</v>
      </c>
      <c r="H6102" s="6">
        <f>35+35</f>
        <v>70</v>
      </c>
      <c r="I6102" s="26">
        <f t="shared" si="304"/>
        <v>0</v>
      </c>
      <c r="J6102" s="7" t="str">
        <f t="shared" si="305"/>
        <v>PAGADO</v>
      </c>
      <c r="K6102" s="33"/>
    </row>
    <row r="6103" spans="1:13" x14ac:dyDescent="0.25">
      <c r="A6103" s="73">
        <v>46076</v>
      </c>
      <c r="C6103" s="98" t="s">
        <v>5418</v>
      </c>
      <c r="D6103" s="98" t="s">
        <v>2969</v>
      </c>
      <c r="E6103" s="99"/>
      <c r="F6103" s="101">
        <v>250</v>
      </c>
      <c r="G6103" s="101">
        <f t="shared" si="303"/>
        <v>250</v>
      </c>
      <c r="H6103" s="101">
        <v>250</v>
      </c>
      <c r="I6103" s="100">
        <f t="shared" si="304"/>
        <v>0</v>
      </c>
      <c r="J6103" s="7" t="str">
        <f t="shared" si="305"/>
        <v>PAGADO</v>
      </c>
      <c r="K6103" s="34" t="s">
        <v>2754</v>
      </c>
    </row>
    <row r="6104" spans="1:13" x14ac:dyDescent="0.25">
      <c r="A6104" s="73">
        <v>46076</v>
      </c>
      <c r="C6104" s="9" t="s">
        <v>5764</v>
      </c>
      <c r="D6104" s="9" t="s">
        <v>18</v>
      </c>
      <c r="F6104" s="6">
        <f>25+25+20+20</f>
        <v>90</v>
      </c>
      <c r="G6104" s="101">
        <f t="shared" si="303"/>
        <v>90</v>
      </c>
      <c r="H6104" s="6">
        <f>70+20</f>
        <v>90</v>
      </c>
      <c r="I6104" s="26">
        <f t="shared" si="304"/>
        <v>0</v>
      </c>
      <c r="J6104" s="7" t="str">
        <f t="shared" si="305"/>
        <v>PAGADO</v>
      </c>
    </row>
    <row r="6105" spans="1:13" x14ac:dyDescent="0.25">
      <c r="A6105" s="73">
        <v>46076</v>
      </c>
      <c r="C6105" s="9" t="s">
        <v>2719</v>
      </c>
      <c r="D6105" s="9" t="s">
        <v>2548</v>
      </c>
      <c r="F6105" s="6">
        <v>140</v>
      </c>
      <c r="G6105" s="101">
        <f t="shared" si="303"/>
        <v>140</v>
      </c>
      <c r="H6105" s="6">
        <v>70</v>
      </c>
      <c r="I6105" s="26">
        <f t="shared" si="304"/>
        <v>70</v>
      </c>
      <c r="J6105" s="7" t="str">
        <f t="shared" si="305"/>
        <v>DEBE</v>
      </c>
      <c r="K6105" s="34" t="s">
        <v>2754</v>
      </c>
      <c r="M6105" s="8" t="s">
        <v>5740</v>
      </c>
    </row>
    <row r="6106" spans="1:13" x14ac:dyDescent="0.25">
      <c r="A6106" s="73">
        <v>46076</v>
      </c>
      <c r="C6106" s="9" t="s">
        <v>5765</v>
      </c>
      <c r="D6106" s="9" t="s">
        <v>5766</v>
      </c>
      <c r="F6106" s="6">
        <v>50</v>
      </c>
      <c r="G6106" s="6">
        <f t="shared" si="303"/>
        <v>50</v>
      </c>
      <c r="H6106" s="6">
        <v>50</v>
      </c>
      <c r="I6106" s="26">
        <f t="shared" si="304"/>
        <v>0</v>
      </c>
      <c r="J6106" s="7" t="str">
        <f t="shared" si="305"/>
        <v>PAGADO</v>
      </c>
    </row>
    <row r="6107" spans="1:13" x14ac:dyDescent="0.25">
      <c r="A6107" s="73">
        <v>46076</v>
      </c>
      <c r="C6107" s="9" t="s">
        <v>5767</v>
      </c>
      <c r="D6107" s="9" t="s">
        <v>5766</v>
      </c>
      <c r="F6107" s="6">
        <v>60</v>
      </c>
      <c r="G6107" s="6">
        <f t="shared" si="303"/>
        <v>60</v>
      </c>
      <c r="H6107" s="6">
        <v>60</v>
      </c>
      <c r="I6107" s="26">
        <f t="shared" si="304"/>
        <v>0</v>
      </c>
      <c r="J6107" s="7" t="str">
        <f t="shared" si="305"/>
        <v>PAGADO</v>
      </c>
    </row>
    <row r="6108" spans="1:13" x14ac:dyDescent="0.25">
      <c r="A6108" s="73">
        <v>46076</v>
      </c>
      <c r="C6108" s="9" t="s">
        <v>909</v>
      </c>
      <c r="D6108" t="s">
        <v>3592</v>
      </c>
      <c r="F6108" s="6">
        <v>80</v>
      </c>
      <c r="G6108" s="6">
        <f t="shared" si="303"/>
        <v>80</v>
      </c>
      <c r="H6108" s="6">
        <v>40</v>
      </c>
      <c r="I6108" s="26">
        <f t="shared" si="304"/>
        <v>40</v>
      </c>
      <c r="J6108" s="7" t="str">
        <f t="shared" si="305"/>
        <v>DEBE</v>
      </c>
      <c r="K6108" s="9" t="s">
        <v>2754</v>
      </c>
    </row>
    <row r="6109" spans="1:13" x14ac:dyDescent="0.25">
      <c r="A6109" s="97">
        <v>46041</v>
      </c>
      <c r="B6109" s="7"/>
      <c r="C6109" s="98" t="s">
        <v>5768</v>
      </c>
      <c r="D6109" s="98" t="s">
        <v>3833</v>
      </c>
      <c r="E6109" s="99"/>
      <c r="F6109" s="101">
        <v>60</v>
      </c>
      <c r="G6109" s="101">
        <f t="shared" si="303"/>
        <v>60</v>
      </c>
      <c r="H6109" s="101">
        <f>30+30</f>
        <v>60</v>
      </c>
      <c r="I6109" s="100">
        <f t="shared" si="304"/>
        <v>0</v>
      </c>
      <c r="J6109" s="7" t="str">
        <f t="shared" si="305"/>
        <v>PAGADO</v>
      </c>
      <c r="K6109" s="105" t="s">
        <v>2712</v>
      </c>
    </row>
    <row r="6110" spans="1:13" x14ac:dyDescent="0.25">
      <c r="A6110" s="73">
        <v>46076</v>
      </c>
      <c r="C6110" t="s">
        <v>4854</v>
      </c>
      <c r="D6110" s="98" t="s">
        <v>4551</v>
      </c>
      <c r="F6110" s="6">
        <v>90</v>
      </c>
      <c r="G6110" s="6">
        <f t="shared" si="303"/>
        <v>90</v>
      </c>
      <c r="H6110" s="6">
        <f>30+60</f>
        <v>90</v>
      </c>
      <c r="I6110" s="26">
        <f t="shared" si="304"/>
        <v>0</v>
      </c>
      <c r="J6110" s="7" t="str">
        <f t="shared" si="305"/>
        <v>PAGADO</v>
      </c>
      <c r="K6110" s="9" t="s">
        <v>2712</v>
      </c>
    </row>
    <row r="6111" spans="1:13" x14ac:dyDescent="0.25">
      <c r="A6111" s="73">
        <v>46076</v>
      </c>
      <c r="C6111" s="41" t="s">
        <v>5769</v>
      </c>
      <c r="D6111" s="41" t="s">
        <v>4587</v>
      </c>
      <c r="E6111" s="87"/>
      <c r="F6111" s="58">
        <v>80</v>
      </c>
      <c r="G6111" s="58">
        <f t="shared" si="303"/>
        <v>80</v>
      </c>
      <c r="H6111" s="58">
        <v>80</v>
      </c>
      <c r="I6111" s="58">
        <f t="shared" si="304"/>
        <v>0</v>
      </c>
      <c r="J6111" s="88" t="str">
        <f t="shared" si="305"/>
        <v>PAGADO</v>
      </c>
      <c r="K6111" s="41"/>
      <c r="L6111" s="41"/>
    </row>
    <row r="6112" spans="1:13" x14ac:dyDescent="0.25">
      <c r="A6112" s="73">
        <v>46077</v>
      </c>
      <c r="C6112" s="9" t="s">
        <v>5008</v>
      </c>
      <c r="D6112" s="9" t="s">
        <v>4270</v>
      </c>
      <c r="F6112" s="6">
        <v>80</v>
      </c>
      <c r="G6112" s="6">
        <f t="shared" si="303"/>
        <v>80</v>
      </c>
      <c r="H6112" s="6">
        <v>80</v>
      </c>
      <c r="I6112" s="26">
        <f t="shared" si="304"/>
        <v>0</v>
      </c>
      <c r="J6112" s="7" t="str">
        <f t="shared" si="305"/>
        <v>PAGADO</v>
      </c>
      <c r="K6112" t="s">
        <v>2754</v>
      </c>
    </row>
    <row r="6113" spans="1:11" x14ac:dyDescent="0.25">
      <c r="A6113" s="73">
        <v>46077</v>
      </c>
      <c r="C6113" s="9" t="s">
        <v>5770</v>
      </c>
      <c r="D6113" s="9" t="s">
        <v>4270</v>
      </c>
      <c r="F6113" s="6">
        <v>80</v>
      </c>
      <c r="G6113" s="6">
        <f t="shared" si="303"/>
        <v>80</v>
      </c>
      <c r="H6113" s="6">
        <v>80</v>
      </c>
      <c r="I6113" s="26">
        <f t="shared" si="304"/>
        <v>0</v>
      </c>
      <c r="J6113" s="7" t="str">
        <f t="shared" si="305"/>
        <v>PAGADO</v>
      </c>
      <c r="K6113" t="s">
        <v>2754</v>
      </c>
    </row>
    <row r="6114" spans="1:11" x14ac:dyDescent="0.25">
      <c r="A6114" s="73">
        <v>46077</v>
      </c>
      <c r="C6114" s="9" t="s">
        <v>4815</v>
      </c>
      <c r="D6114" s="9" t="s">
        <v>5771</v>
      </c>
      <c r="F6114" s="6">
        <v>50</v>
      </c>
      <c r="G6114" s="6">
        <f t="shared" si="303"/>
        <v>50</v>
      </c>
      <c r="H6114" s="6">
        <v>50</v>
      </c>
      <c r="I6114" s="26">
        <f t="shared" si="304"/>
        <v>0</v>
      </c>
      <c r="J6114" s="7" t="str">
        <f t="shared" si="305"/>
        <v>PAGADO</v>
      </c>
    </row>
    <row r="6115" spans="1:11" x14ac:dyDescent="0.25">
      <c r="A6115" s="73">
        <v>46077</v>
      </c>
      <c r="C6115" s="9" t="s">
        <v>4354</v>
      </c>
      <c r="D6115" s="9" t="s">
        <v>5771</v>
      </c>
      <c r="F6115" s="6">
        <v>80</v>
      </c>
      <c r="G6115" s="6">
        <f t="shared" si="303"/>
        <v>80</v>
      </c>
      <c r="H6115" s="6">
        <f>40+40</f>
        <v>80</v>
      </c>
      <c r="I6115" s="26">
        <f t="shared" si="304"/>
        <v>0</v>
      </c>
      <c r="J6115" s="7" t="str">
        <f t="shared" si="305"/>
        <v>PAGADO</v>
      </c>
      <c r="K6115" s="33" t="s">
        <v>3819</v>
      </c>
    </row>
    <row r="6116" spans="1:11" x14ac:dyDescent="0.25">
      <c r="A6116" s="73">
        <v>46077</v>
      </c>
      <c r="C6116" s="9" t="s">
        <v>5008</v>
      </c>
      <c r="D6116" s="9" t="s">
        <v>5772</v>
      </c>
      <c r="F6116" s="6">
        <v>80</v>
      </c>
      <c r="G6116" s="6">
        <f t="shared" si="303"/>
        <v>80</v>
      </c>
      <c r="H6116" s="6">
        <v>40</v>
      </c>
      <c r="I6116" s="26">
        <f t="shared" si="304"/>
        <v>40</v>
      </c>
      <c r="J6116" s="7" t="str">
        <f t="shared" si="305"/>
        <v>DEBE</v>
      </c>
      <c r="K6116" t="s">
        <v>2754</v>
      </c>
    </row>
    <row r="6117" spans="1:11" x14ac:dyDescent="0.25">
      <c r="A6117" s="73">
        <v>46078</v>
      </c>
      <c r="C6117" t="s">
        <v>5718</v>
      </c>
      <c r="D6117" t="s">
        <v>5719</v>
      </c>
      <c r="F6117" s="6">
        <v>120</v>
      </c>
      <c r="G6117" s="6">
        <f t="shared" si="303"/>
        <v>120</v>
      </c>
      <c r="H6117" s="6">
        <v>120</v>
      </c>
      <c r="I6117" s="26">
        <f t="shared" si="304"/>
        <v>0</v>
      </c>
      <c r="J6117" s="7" t="str">
        <f t="shared" si="305"/>
        <v>PAGADO</v>
      </c>
    </row>
    <row r="6118" spans="1:11" x14ac:dyDescent="0.25">
      <c r="A6118" s="73">
        <v>46078</v>
      </c>
      <c r="C6118" t="s">
        <v>3703</v>
      </c>
      <c r="D6118" s="9" t="s">
        <v>5496</v>
      </c>
      <c r="F6118" s="6">
        <v>20</v>
      </c>
      <c r="G6118" s="6">
        <f t="shared" si="303"/>
        <v>20</v>
      </c>
      <c r="H6118" s="6">
        <v>20</v>
      </c>
      <c r="I6118" s="26">
        <f t="shared" si="304"/>
        <v>0</v>
      </c>
      <c r="J6118" s="7" t="str">
        <f t="shared" si="305"/>
        <v>PAGADO</v>
      </c>
      <c r="K6118" s="9" t="s">
        <v>2712</v>
      </c>
    </row>
    <row r="6119" spans="1:11" x14ac:dyDescent="0.25">
      <c r="A6119" s="73">
        <v>46078</v>
      </c>
      <c r="C6119" s="9" t="s">
        <v>5008</v>
      </c>
      <c r="D6119" s="9" t="s">
        <v>5773</v>
      </c>
      <c r="F6119" s="6">
        <v>80</v>
      </c>
      <c r="G6119" s="6">
        <f t="shared" si="303"/>
        <v>80</v>
      </c>
      <c r="H6119" s="6">
        <f>40+40</f>
        <v>80</v>
      </c>
      <c r="I6119" s="26">
        <f t="shared" si="304"/>
        <v>0</v>
      </c>
      <c r="J6119" s="7" t="str">
        <f t="shared" si="305"/>
        <v>PAGADO</v>
      </c>
      <c r="K6119" t="s">
        <v>2754</v>
      </c>
    </row>
    <row r="6120" spans="1:11" x14ac:dyDescent="0.25">
      <c r="A6120" s="73">
        <v>46078</v>
      </c>
      <c r="C6120" s="9" t="s">
        <v>5774</v>
      </c>
      <c r="D6120" s="9" t="s">
        <v>5773</v>
      </c>
      <c r="F6120" s="6">
        <v>75</v>
      </c>
      <c r="G6120" s="6">
        <f t="shared" si="303"/>
        <v>75</v>
      </c>
      <c r="H6120" s="6">
        <f>37.5+37.5</f>
        <v>75</v>
      </c>
      <c r="I6120" s="26">
        <f t="shared" si="304"/>
        <v>0</v>
      </c>
      <c r="J6120" s="7" t="str">
        <f t="shared" si="305"/>
        <v>PAGADO</v>
      </c>
      <c r="K6120" t="s">
        <v>2754</v>
      </c>
    </row>
    <row r="6121" spans="1:11" x14ac:dyDescent="0.25">
      <c r="A6121" s="73">
        <v>46078</v>
      </c>
      <c r="C6121" s="9" t="s">
        <v>5775</v>
      </c>
      <c r="D6121" s="9" t="s">
        <v>5776</v>
      </c>
      <c r="F6121" s="6">
        <v>60</v>
      </c>
      <c r="G6121" s="6">
        <f t="shared" si="303"/>
        <v>60</v>
      </c>
      <c r="H6121" s="6">
        <f>30+30</f>
        <v>60</v>
      </c>
      <c r="I6121" s="26">
        <f t="shared" si="304"/>
        <v>0</v>
      </c>
      <c r="J6121" s="7" t="str">
        <f t="shared" si="305"/>
        <v>PAGADO</v>
      </c>
    </row>
    <row r="6122" spans="1:11" x14ac:dyDescent="0.25">
      <c r="A6122" s="73">
        <v>46079</v>
      </c>
      <c r="C6122" s="9" t="s">
        <v>5777</v>
      </c>
      <c r="D6122" s="9" t="s">
        <v>5778</v>
      </c>
      <c r="F6122" s="6">
        <v>50</v>
      </c>
      <c r="G6122" s="6">
        <f t="shared" si="303"/>
        <v>50</v>
      </c>
      <c r="H6122" s="6">
        <v>50</v>
      </c>
      <c r="I6122" s="26">
        <f t="shared" si="304"/>
        <v>0</v>
      </c>
      <c r="J6122" s="7" t="str">
        <f t="shared" si="305"/>
        <v>PAGADO</v>
      </c>
    </row>
    <row r="6123" spans="1:11" x14ac:dyDescent="0.25">
      <c r="A6123" s="73">
        <v>46079</v>
      </c>
      <c r="C6123" s="9" t="s">
        <v>4619</v>
      </c>
      <c r="D6123" s="9" t="s">
        <v>5779</v>
      </c>
      <c r="F6123" s="6">
        <v>90</v>
      </c>
      <c r="G6123" s="6">
        <f t="shared" si="303"/>
        <v>90</v>
      </c>
      <c r="H6123" s="6">
        <f>45+45</f>
        <v>90</v>
      </c>
      <c r="I6123" s="26">
        <f t="shared" si="304"/>
        <v>0</v>
      </c>
      <c r="J6123" s="7" t="str">
        <f t="shared" si="305"/>
        <v>PAGADO</v>
      </c>
      <c r="K6123" s="9" t="s">
        <v>2712</v>
      </c>
    </row>
    <row r="6124" spans="1:11" x14ac:dyDescent="0.25">
      <c r="A6124" s="73">
        <v>46079</v>
      </c>
      <c r="C6124" t="s">
        <v>3598</v>
      </c>
      <c r="D6124" t="s">
        <v>5780</v>
      </c>
      <c r="F6124" s="6">
        <v>90</v>
      </c>
      <c r="G6124" s="6">
        <f t="shared" si="303"/>
        <v>90</v>
      </c>
      <c r="H6124" s="6">
        <v>90</v>
      </c>
      <c r="I6124" s="26">
        <f t="shared" si="304"/>
        <v>0</v>
      </c>
      <c r="J6124" s="7" t="str">
        <f t="shared" si="305"/>
        <v>PAGADO</v>
      </c>
    </row>
    <row r="6125" spans="1:11" x14ac:dyDescent="0.25">
      <c r="A6125" s="73">
        <v>46079</v>
      </c>
      <c r="C6125" t="s">
        <v>5669</v>
      </c>
      <c r="D6125" t="s">
        <v>5781</v>
      </c>
      <c r="F6125" s="6">
        <v>70</v>
      </c>
      <c r="G6125" s="6">
        <f t="shared" si="303"/>
        <v>70</v>
      </c>
      <c r="H6125" s="6">
        <v>35</v>
      </c>
      <c r="I6125" s="26">
        <f t="shared" si="304"/>
        <v>35</v>
      </c>
      <c r="J6125" s="7" t="str">
        <f t="shared" si="305"/>
        <v>DEBE</v>
      </c>
      <c r="K6125" t="s">
        <v>2754</v>
      </c>
    </row>
    <row r="6126" spans="1:11" x14ac:dyDescent="0.25">
      <c r="A6126" s="73">
        <v>46079</v>
      </c>
      <c r="C6126" t="s">
        <v>5752</v>
      </c>
      <c r="D6126" t="s">
        <v>5782</v>
      </c>
      <c r="F6126" s="6">
        <v>80</v>
      </c>
      <c r="G6126" s="6">
        <f t="shared" si="303"/>
        <v>80</v>
      </c>
      <c r="H6126" s="6">
        <v>80</v>
      </c>
      <c r="I6126" s="26">
        <f t="shared" si="304"/>
        <v>0</v>
      </c>
      <c r="J6126" s="7" t="str">
        <f t="shared" si="305"/>
        <v>PAGADO</v>
      </c>
      <c r="K6126" s="9" t="s">
        <v>2712</v>
      </c>
    </row>
    <row r="6127" spans="1:11" x14ac:dyDescent="0.25">
      <c r="A6127" s="73">
        <v>46079</v>
      </c>
      <c r="C6127" t="s">
        <v>5783</v>
      </c>
      <c r="D6127" t="s">
        <v>5782</v>
      </c>
      <c r="F6127" s="6">
        <v>80</v>
      </c>
      <c r="G6127" s="6">
        <f t="shared" si="303"/>
        <v>80</v>
      </c>
      <c r="H6127" s="6">
        <f>40+40</f>
        <v>80</v>
      </c>
      <c r="I6127" s="26">
        <f t="shared" si="304"/>
        <v>0</v>
      </c>
      <c r="J6127" s="7" t="str">
        <f t="shared" si="305"/>
        <v>PAGADO</v>
      </c>
    </row>
    <row r="6128" spans="1:11" x14ac:dyDescent="0.25">
      <c r="A6128" s="73">
        <v>46079</v>
      </c>
      <c r="C6128" t="s">
        <v>5784</v>
      </c>
      <c r="D6128" t="s">
        <v>5782</v>
      </c>
      <c r="F6128" s="6">
        <v>80</v>
      </c>
      <c r="G6128" s="6">
        <f t="shared" si="303"/>
        <v>80</v>
      </c>
      <c r="H6128" s="6">
        <v>80</v>
      </c>
      <c r="I6128" s="26">
        <f t="shared" si="304"/>
        <v>0</v>
      </c>
      <c r="J6128" s="7" t="str">
        <f t="shared" si="305"/>
        <v>PAGADO</v>
      </c>
    </row>
    <row r="6129" spans="1:11" x14ac:dyDescent="0.25">
      <c r="A6129" s="73">
        <v>46079</v>
      </c>
      <c r="C6129" s="9" t="s">
        <v>5785</v>
      </c>
      <c r="D6129" t="s">
        <v>5755</v>
      </c>
      <c r="F6129" s="6">
        <v>125</v>
      </c>
      <c r="G6129" s="6">
        <f t="shared" si="303"/>
        <v>125</v>
      </c>
      <c r="H6129" s="6">
        <v>125</v>
      </c>
      <c r="I6129" s="26">
        <f t="shared" si="304"/>
        <v>0</v>
      </c>
      <c r="J6129" s="7" t="str">
        <f t="shared" si="305"/>
        <v>PAGADO</v>
      </c>
      <c r="K6129" s="9" t="s">
        <v>5756</v>
      </c>
    </row>
    <row r="6130" spans="1:11" x14ac:dyDescent="0.25">
      <c r="A6130" s="73">
        <v>46079</v>
      </c>
      <c r="C6130" s="9" t="s">
        <v>5786</v>
      </c>
      <c r="D6130" s="9" t="s">
        <v>1476</v>
      </c>
      <c r="F6130" s="6">
        <v>80</v>
      </c>
      <c r="G6130" s="6">
        <f t="shared" si="303"/>
        <v>80</v>
      </c>
      <c r="H6130" s="6">
        <v>80</v>
      </c>
      <c r="I6130" s="26">
        <f t="shared" si="304"/>
        <v>0</v>
      </c>
      <c r="J6130" s="7" t="str">
        <f t="shared" si="305"/>
        <v>PAGADO</v>
      </c>
      <c r="K6130" s="9" t="s">
        <v>2712</v>
      </c>
    </row>
    <row r="6131" spans="1:11" x14ac:dyDescent="0.25">
      <c r="A6131" s="73">
        <v>46079</v>
      </c>
      <c r="C6131" s="9" t="s">
        <v>5787</v>
      </c>
      <c r="D6131" s="9" t="s">
        <v>1476</v>
      </c>
      <c r="F6131" s="6">
        <v>80</v>
      </c>
      <c r="G6131" s="6">
        <f t="shared" si="303"/>
        <v>80</v>
      </c>
      <c r="H6131" s="6">
        <v>80</v>
      </c>
      <c r="I6131" s="26">
        <f t="shared" si="304"/>
        <v>0</v>
      </c>
      <c r="J6131" s="7" t="str">
        <f t="shared" si="305"/>
        <v>PAGADO</v>
      </c>
    </row>
    <row r="6132" spans="1:11" x14ac:dyDescent="0.25">
      <c r="A6132" s="73">
        <v>46079</v>
      </c>
      <c r="C6132" s="9" t="s">
        <v>5774</v>
      </c>
      <c r="D6132" s="9" t="s">
        <v>5788</v>
      </c>
      <c r="F6132" s="6">
        <v>75</v>
      </c>
      <c r="G6132" s="6">
        <f t="shared" si="303"/>
        <v>75</v>
      </c>
      <c r="H6132" s="6">
        <v>37.5</v>
      </c>
      <c r="I6132" s="26">
        <f t="shared" si="304"/>
        <v>37.5</v>
      </c>
      <c r="J6132" s="7" t="str">
        <f t="shared" si="305"/>
        <v>DEBE</v>
      </c>
      <c r="K6132" t="s">
        <v>2754</v>
      </c>
    </row>
    <row r="6133" spans="1:11" x14ac:dyDescent="0.25">
      <c r="A6133" s="73">
        <v>46079</v>
      </c>
      <c r="C6133" t="s">
        <v>5789</v>
      </c>
      <c r="D6133" t="s">
        <v>5719</v>
      </c>
      <c r="F6133" s="6">
        <v>50</v>
      </c>
      <c r="G6133" s="6">
        <f t="shared" si="303"/>
        <v>50</v>
      </c>
      <c r="H6133" s="6">
        <v>50</v>
      </c>
      <c r="I6133" s="26">
        <f t="shared" si="304"/>
        <v>0</v>
      </c>
      <c r="J6133" s="7" t="str">
        <f t="shared" si="305"/>
        <v>PAGADO</v>
      </c>
    </row>
    <row r="6134" spans="1:11" x14ac:dyDescent="0.25">
      <c r="A6134" s="73">
        <v>46079</v>
      </c>
      <c r="C6134" t="s">
        <v>5011</v>
      </c>
      <c r="D6134" t="s">
        <v>5790</v>
      </c>
      <c r="F6134" s="6">
        <v>80</v>
      </c>
      <c r="G6134" s="6">
        <f t="shared" si="303"/>
        <v>80</v>
      </c>
      <c r="H6134" s="6">
        <f>40+40</f>
        <v>80</v>
      </c>
      <c r="I6134" s="26">
        <f t="shared" si="304"/>
        <v>0</v>
      </c>
      <c r="J6134" s="7" t="str">
        <f t="shared" si="305"/>
        <v>PAGADO</v>
      </c>
      <c r="K6134" t="s">
        <v>2754</v>
      </c>
    </row>
    <row r="6135" spans="1:11" x14ac:dyDescent="0.25">
      <c r="A6135" s="73">
        <v>46080</v>
      </c>
      <c r="C6135" s="9" t="s">
        <v>4758</v>
      </c>
      <c r="D6135" s="98" t="s">
        <v>4890</v>
      </c>
      <c r="F6135" s="6">
        <v>30</v>
      </c>
      <c r="G6135" s="6">
        <f t="shared" si="303"/>
        <v>30</v>
      </c>
      <c r="H6135" s="6">
        <v>30</v>
      </c>
      <c r="I6135" s="26">
        <f t="shared" si="304"/>
        <v>0</v>
      </c>
      <c r="J6135" s="7" t="str">
        <f t="shared" si="305"/>
        <v>PAGADO</v>
      </c>
      <c r="K6135" t="s">
        <v>2714</v>
      </c>
    </row>
    <row r="6136" spans="1:11" x14ac:dyDescent="0.25">
      <c r="A6136" s="73">
        <v>46079</v>
      </c>
      <c r="C6136" s="9" t="s">
        <v>5791</v>
      </c>
      <c r="D6136" s="9" t="s">
        <v>2275</v>
      </c>
      <c r="F6136" s="6">
        <v>20</v>
      </c>
      <c r="G6136" s="6">
        <f t="shared" si="303"/>
        <v>20</v>
      </c>
      <c r="H6136" s="6">
        <v>20</v>
      </c>
      <c r="I6136" s="51">
        <f t="shared" si="304"/>
        <v>0</v>
      </c>
      <c r="J6136" s="7" t="str">
        <f t="shared" si="305"/>
        <v>PAGADO</v>
      </c>
    </row>
    <row r="6137" spans="1:11" x14ac:dyDescent="0.25">
      <c r="A6137" s="73">
        <v>46080</v>
      </c>
      <c r="C6137" s="9" t="s">
        <v>5792</v>
      </c>
      <c r="D6137" s="9" t="s">
        <v>4407</v>
      </c>
      <c r="F6137" s="6">
        <v>75</v>
      </c>
      <c r="G6137" s="6">
        <f t="shared" si="303"/>
        <v>75</v>
      </c>
      <c r="H6137" s="6">
        <v>75</v>
      </c>
      <c r="I6137" s="26">
        <f t="shared" si="304"/>
        <v>0</v>
      </c>
      <c r="J6137" s="7" t="str">
        <f t="shared" si="305"/>
        <v>PAGADO</v>
      </c>
      <c r="K6137" t="s">
        <v>2714</v>
      </c>
    </row>
    <row r="6138" spans="1:11" x14ac:dyDescent="0.25">
      <c r="A6138" s="73">
        <v>46080</v>
      </c>
      <c r="C6138" t="s">
        <v>5034</v>
      </c>
      <c r="D6138" t="s">
        <v>5559</v>
      </c>
      <c r="F6138" s="6">
        <v>70</v>
      </c>
      <c r="G6138" s="6">
        <f t="shared" si="303"/>
        <v>70</v>
      </c>
      <c r="H6138" s="6">
        <f>35+35</f>
        <v>70</v>
      </c>
      <c r="I6138" s="26">
        <f t="shared" si="304"/>
        <v>0</v>
      </c>
      <c r="J6138" s="7" t="str">
        <f t="shared" si="305"/>
        <v>PAGADO</v>
      </c>
      <c r="K6138" s="33" t="s">
        <v>3819</v>
      </c>
    </row>
    <row r="6139" spans="1:11" x14ac:dyDescent="0.25">
      <c r="A6139" s="73">
        <v>46080</v>
      </c>
      <c r="C6139" t="s">
        <v>1810</v>
      </c>
      <c r="D6139" t="s">
        <v>5559</v>
      </c>
      <c r="F6139" s="6">
        <v>70</v>
      </c>
      <c r="G6139" s="6">
        <f t="shared" si="303"/>
        <v>70</v>
      </c>
      <c r="H6139" s="6">
        <f>35+35</f>
        <v>70</v>
      </c>
      <c r="I6139" s="26">
        <f t="shared" si="304"/>
        <v>0</v>
      </c>
      <c r="J6139" s="7" t="str">
        <f t="shared" si="305"/>
        <v>PAGADO</v>
      </c>
      <c r="K6139" s="33" t="s">
        <v>3819</v>
      </c>
    </row>
    <row r="6140" spans="1:11" x14ac:dyDescent="0.25">
      <c r="A6140" s="73">
        <v>46080</v>
      </c>
      <c r="C6140" t="s">
        <v>5793</v>
      </c>
      <c r="D6140" t="s">
        <v>5794</v>
      </c>
      <c r="F6140" s="6">
        <v>70</v>
      </c>
      <c r="G6140" s="6">
        <f t="shared" si="303"/>
        <v>70</v>
      </c>
      <c r="H6140" s="6">
        <f>35+35</f>
        <v>70</v>
      </c>
      <c r="I6140" s="26">
        <f t="shared" si="304"/>
        <v>0</v>
      </c>
      <c r="J6140" s="7" t="str">
        <f t="shared" si="305"/>
        <v>PAGADO</v>
      </c>
      <c r="K6140" s="9" t="s">
        <v>2712</v>
      </c>
    </row>
    <row r="6141" spans="1:11" x14ac:dyDescent="0.25">
      <c r="A6141" s="73">
        <v>46080</v>
      </c>
      <c r="C6141" t="s">
        <v>5795</v>
      </c>
      <c r="D6141" t="s">
        <v>5796</v>
      </c>
      <c r="F6141" s="6">
        <v>130</v>
      </c>
      <c r="G6141" s="6">
        <f t="shared" si="303"/>
        <v>130</v>
      </c>
      <c r="H6141" s="6">
        <v>130</v>
      </c>
      <c r="I6141" s="26">
        <f t="shared" si="304"/>
        <v>0</v>
      </c>
      <c r="J6141" s="7" t="str">
        <f t="shared" si="305"/>
        <v>PAGADO</v>
      </c>
    </row>
    <row r="6142" spans="1:11" x14ac:dyDescent="0.25">
      <c r="A6142" s="73">
        <v>46080</v>
      </c>
      <c r="C6142" t="s">
        <v>5797</v>
      </c>
      <c r="D6142" t="s">
        <v>5798</v>
      </c>
      <c r="F6142" s="6">
        <v>65</v>
      </c>
      <c r="G6142" s="6">
        <f t="shared" ref="G6142:G6205" si="306">F6142-E6142</f>
        <v>65</v>
      </c>
      <c r="H6142" s="6">
        <v>65</v>
      </c>
      <c r="I6142" s="26">
        <f t="shared" si="304"/>
        <v>0</v>
      </c>
      <c r="J6142" s="7" t="str">
        <f t="shared" si="305"/>
        <v>PAGADO</v>
      </c>
    </row>
    <row r="6143" spans="1:11" x14ac:dyDescent="0.25">
      <c r="A6143" s="73">
        <v>46080</v>
      </c>
      <c r="C6143" t="s">
        <v>5799</v>
      </c>
      <c r="D6143" t="s">
        <v>5800</v>
      </c>
      <c r="F6143" s="6">
        <v>70</v>
      </c>
      <c r="G6143" s="6">
        <f t="shared" si="306"/>
        <v>70</v>
      </c>
      <c r="H6143" s="6">
        <f>35+35</f>
        <v>70</v>
      </c>
      <c r="I6143" s="26">
        <f t="shared" si="304"/>
        <v>0</v>
      </c>
      <c r="J6143" s="7" t="str">
        <f t="shared" si="305"/>
        <v>PAGADO</v>
      </c>
    </row>
    <row r="6144" spans="1:11" x14ac:dyDescent="0.25">
      <c r="A6144" s="73">
        <v>46081</v>
      </c>
      <c r="C6144" t="s">
        <v>4023</v>
      </c>
      <c r="D6144" t="s">
        <v>5801</v>
      </c>
      <c r="F6144" s="6">
        <v>100</v>
      </c>
      <c r="G6144" s="6">
        <f t="shared" si="306"/>
        <v>100</v>
      </c>
      <c r="H6144" s="6">
        <f>50+50</f>
        <v>100</v>
      </c>
      <c r="I6144" s="26">
        <f t="shared" si="304"/>
        <v>0</v>
      </c>
      <c r="J6144" s="7" t="str">
        <f t="shared" si="305"/>
        <v>PAGADO</v>
      </c>
    </row>
    <row r="6145" spans="1:13" x14ac:dyDescent="0.25">
      <c r="A6145" s="73">
        <v>46081</v>
      </c>
      <c r="C6145" t="s">
        <v>5802</v>
      </c>
      <c r="D6145" t="s">
        <v>5800</v>
      </c>
      <c r="F6145" s="6">
        <v>170</v>
      </c>
      <c r="G6145" s="6">
        <f t="shared" si="306"/>
        <v>170</v>
      </c>
      <c r="H6145" s="6">
        <v>85</v>
      </c>
      <c r="I6145" s="26">
        <f t="shared" si="304"/>
        <v>85</v>
      </c>
      <c r="J6145" s="7" t="str">
        <f t="shared" si="305"/>
        <v>DEBE</v>
      </c>
      <c r="K6145" t="s">
        <v>2754</v>
      </c>
    </row>
    <row r="6146" spans="1:13" x14ac:dyDescent="0.25">
      <c r="A6146" s="73">
        <v>46081</v>
      </c>
      <c r="C6146" t="s">
        <v>5803</v>
      </c>
      <c r="D6146" s="9" t="s">
        <v>3449</v>
      </c>
      <c r="F6146" s="6">
        <v>25</v>
      </c>
      <c r="G6146" s="6">
        <f t="shared" si="306"/>
        <v>25</v>
      </c>
      <c r="H6146" s="6">
        <v>25</v>
      </c>
      <c r="I6146" s="26">
        <f t="shared" si="304"/>
        <v>0</v>
      </c>
      <c r="J6146" s="7" t="str">
        <f t="shared" si="305"/>
        <v>PAGADO</v>
      </c>
      <c r="K6146" t="s">
        <v>2754</v>
      </c>
    </row>
    <row r="6147" spans="1:13" x14ac:dyDescent="0.25">
      <c r="A6147" s="73">
        <v>46081</v>
      </c>
      <c r="C6147" t="s">
        <v>5804</v>
      </c>
      <c r="D6147" s="9" t="s">
        <v>3449</v>
      </c>
      <c r="F6147" s="6">
        <v>100</v>
      </c>
      <c r="G6147" s="6">
        <f t="shared" si="306"/>
        <v>100</v>
      </c>
      <c r="H6147" s="6">
        <f>50+50</f>
        <v>100</v>
      </c>
      <c r="I6147" s="26">
        <f t="shared" si="304"/>
        <v>0</v>
      </c>
      <c r="J6147" s="7" t="str">
        <f t="shared" si="305"/>
        <v>PAGADO</v>
      </c>
    </row>
    <row r="6148" spans="1:13" x14ac:dyDescent="0.25">
      <c r="A6148" s="73">
        <v>46081</v>
      </c>
      <c r="C6148" t="s">
        <v>3737</v>
      </c>
      <c r="D6148" s="9" t="s">
        <v>5805</v>
      </c>
      <c r="F6148" s="6">
        <v>75</v>
      </c>
      <c r="G6148" s="6">
        <f t="shared" si="306"/>
        <v>75</v>
      </c>
      <c r="H6148" s="6">
        <v>75</v>
      </c>
      <c r="I6148" s="26">
        <f t="shared" si="304"/>
        <v>0</v>
      </c>
      <c r="J6148" s="7" t="str">
        <f t="shared" si="305"/>
        <v>PAGADO</v>
      </c>
    </row>
    <row r="6149" spans="1:13" x14ac:dyDescent="0.25">
      <c r="A6149" s="73">
        <v>46081</v>
      </c>
      <c r="C6149" t="s">
        <v>5806</v>
      </c>
      <c r="D6149" s="9" t="s">
        <v>5807</v>
      </c>
      <c r="F6149" s="6">
        <v>50</v>
      </c>
      <c r="G6149" s="6">
        <f t="shared" si="306"/>
        <v>50</v>
      </c>
      <c r="H6149" s="6">
        <f>25+25</f>
        <v>50</v>
      </c>
      <c r="I6149" s="26">
        <f t="shared" si="304"/>
        <v>0</v>
      </c>
      <c r="J6149" s="7" t="str">
        <f t="shared" si="305"/>
        <v>PAGADO</v>
      </c>
      <c r="K6149" t="s">
        <v>5514</v>
      </c>
    </row>
    <row r="6150" spans="1:13" x14ac:dyDescent="0.25">
      <c r="A6150" s="73">
        <v>46081</v>
      </c>
      <c r="C6150" t="s">
        <v>5808</v>
      </c>
      <c r="D6150" s="9" t="s">
        <v>5807</v>
      </c>
      <c r="F6150" s="6">
        <v>65</v>
      </c>
      <c r="G6150" s="6">
        <f t="shared" si="306"/>
        <v>65</v>
      </c>
      <c r="H6150" s="6">
        <v>32.5</v>
      </c>
      <c r="I6150" s="26">
        <f t="shared" si="304"/>
        <v>32.5</v>
      </c>
      <c r="J6150" s="7" t="str">
        <f t="shared" si="305"/>
        <v>DEBE</v>
      </c>
      <c r="K6150" t="s">
        <v>2754</v>
      </c>
    </row>
    <row r="6151" spans="1:13" x14ac:dyDescent="0.25">
      <c r="A6151" s="73">
        <v>46081</v>
      </c>
      <c r="C6151" s="9" t="s">
        <v>5809</v>
      </c>
      <c r="D6151" s="9" t="s">
        <v>5778</v>
      </c>
      <c r="F6151" s="6">
        <v>65</v>
      </c>
      <c r="G6151" s="6">
        <f t="shared" si="306"/>
        <v>65</v>
      </c>
      <c r="H6151" s="6">
        <v>65</v>
      </c>
      <c r="I6151" s="26">
        <f t="shared" si="304"/>
        <v>0</v>
      </c>
      <c r="J6151" s="7" t="str">
        <f t="shared" si="305"/>
        <v>PAGADO</v>
      </c>
    </row>
    <row r="6152" spans="1:13" x14ac:dyDescent="0.25">
      <c r="A6152" s="73">
        <v>46081</v>
      </c>
      <c r="C6152" s="9" t="s">
        <v>5810</v>
      </c>
      <c r="D6152" s="9" t="s">
        <v>488</v>
      </c>
      <c r="F6152" s="6">
        <v>30</v>
      </c>
      <c r="G6152" s="6">
        <f t="shared" si="306"/>
        <v>30</v>
      </c>
      <c r="H6152" s="6">
        <v>15</v>
      </c>
      <c r="I6152" s="26">
        <f t="shared" si="304"/>
        <v>15</v>
      </c>
      <c r="J6152" s="7" t="str">
        <f t="shared" si="305"/>
        <v>DEBE</v>
      </c>
      <c r="K6152" t="s">
        <v>2754</v>
      </c>
    </row>
    <row r="6153" spans="1:13" x14ac:dyDescent="0.25">
      <c r="A6153" s="73">
        <v>46081</v>
      </c>
      <c r="C6153" s="9" t="s">
        <v>5811</v>
      </c>
      <c r="D6153" s="9" t="s">
        <v>488</v>
      </c>
      <c r="F6153" s="6">
        <v>50</v>
      </c>
      <c r="G6153" s="6">
        <f t="shared" si="306"/>
        <v>50</v>
      </c>
      <c r="H6153" s="6">
        <v>25</v>
      </c>
      <c r="I6153" s="26">
        <f t="shared" si="304"/>
        <v>25</v>
      </c>
      <c r="J6153" s="7" t="str">
        <f t="shared" si="305"/>
        <v>DEBE</v>
      </c>
      <c r="K6153" t="s">
        <v>2754</v>
      </c>
    </row>
    <row r="6154" spans="1:13" x14ac:dyDescent="0.25">
      <c r="A6154" s="73">
        <v>46081</v>
      </c>
      <c r="C6154" s="9" t="s">
        <v>5812</v>
      </c>
      <c r="D6154" s="9" t="s">
        <v>4407</v>
      </c>
      <c r="F6154" s="6">
        <v>50</v>
      </c>
      <c r="G6154" s="6">
        <f t="shared" si="306"/>
        <v>50</v>
      </c>
      <c r="H6154" s="23">
        <v>50</v>
      </c>
      <c r="I6154" s="26">
        <f t="shared" si="304"/>
        <v>0</v>
      </c>
      <c r="J6154" s="7" t="str">
        <f t="shared" si="305"/>
        <v>PAGADO</v>
      </c>
      <c r="K6154" s="33" t="s">
        <v>3819</v>
      </c>
    </row>
    <row r="6155" spans="1:13" x14ac:dyDescent="0.25">
      <c r="A6155" s="73">
        <v>46081</v>
      </c>
      <c r="C6155" s="9" t="s">
        <v>5813</v>
      </c>
      <c r="D6155" s="9" t="s">
        <v>2548</v>
      </c>
      <c r="F6155" s="6">
        <v>480</v>
      </c>
      <c r="G6155" s="101">
        <f t="shared" si="306"/>
        <v>480</v>
      </c>
      <c r="H6155" s="6">
        <v>240</v>
      </c>
      <c r="I6155" s="26">
        <f t="shared" ref="I6155:I6218" si="307">F6155-H6155</f>
        <v>240</v>
      </c>
      <c r="J6155" s="7" t="str">
        <f t="shared" si="305"/>
        <v>DEBE</v>
      </c>
      <c r="K6155" s="34" t="s">
        <v>2754</v>
      </c>
    </row>
    <row r="6156" spans="1:13" x14ac:dyDescent="0.25">
      <c r="A6156" s="73">
        <v>46081</v>
      </c>
      <c r="C6156" s="9" t="s">
        <v>5814</v>
      </c>
      <c r="D6156" s="9" t="s">
        <v>2548</v>
      </c>
      <c r="F6156" s="6">
        <v>140</v>
      </c>
      <c r="G6156" s="101">
        <f t="shared" si="306"/>
        <v>140</v>
      </c>
      <c r="H6156" s="6">
        <v>70</v>
      </c>
      <c r="I6156" s="26">
        <f t="shared" si="307"/>
        <v>70</v>
      </c>
      <c r="J6156" s="7" t="str">
        <f t="shared" si="305"/>
        <v>DEBE</v>
      </c>
      <c r="K6156" s="34" t="s">
        <v>2754</v>
      </c>
    </row>
    <row r="6157" spans="1:13" x14ac:dyDescent="0.25">
      <c r="A6157" s="73">
        <v>46081</v>
      </c>
      <c r="C6157" s="9" t="s">
        <v>5815</v>
      </c>
      <c r="D6157" t="s">
        <v>5755</v>
      </c>
      <c r="F6157" s="6">
        <v>70</v>
      </c>
      <c r="G6157" s="6">
        <f t="shared" si="306"/>
        <v>70</v>
      </c>
      <c r="H6157" s="6">
        <f>35+35</f>
        <v>70</v>
      </c>
      <c r="I6157" s="26">
        <f t="shared" si="307"/>
        <v>0</v>
      </c>
      <c r="J6157" s="7" t="str">
        <f t="shared" si="305"/>
        <v>PAGADO</v>
      </c>
      <c r="K6157" s="9" t="s">
        <v>5816</v>
      </c>
      <c r="M6157" s="123" t="s">
        <v>5817</v>
      </c>
    </row>
    <row r="6158" spans="1:13" x14ac:dyDescent="0.25">
      <c r="A6158" s="73">
        <v>46081</v>
      </c>
      <c r="C6158" s="9" t="s">
        <v>5818</v>
      </c>
      <c r="D6158" t="s">
        <v>5755</v>
      </c>
      <c r="F6158" s="6">
        <v>90</v>
      </c>
      <c r="G6158" s="6">
        <f t="shared" si="306"/>
        <v>90</v>
      </c>
      <c r="H6158" s="6">
        <f>45+45</f>
        <v>90</v>
      </c>
      <c r="I6158" s="23">
        <f t="shared" si="307"/>
        <v>0</v>
      </c>
      <c r="J6158" s="7" t="str">
        <f t="shared" si="305"/>
        <v>PAGADO</v>
      </c>
      <c r="K6158" s="33" t="s">
        <v>3819</v>
      </c>
    </row>
    <row r="6159" spans="1:13" x14ac:dyDescent="0.25">
      <c r="A6159" s="73">
        <v>46081</v>
      </c>
      <c r="C6159" s="9" t="s">
        <v>5819</v>
      </c>
      <c r="D6159" t="s">
        <v>5755</v>
      </c>
      <c r="F6159" s="6">
        <v>60</v>
      </c>
      <c r="G6159" s="6">
        <f t="shared" si="306"/>
        <v>60</v>
      </c>
      <c r="H6159" s="6">
        <f>30+30</f>
        <v>60</v>
      </c>
      <c r="I6159" s="23">
        <f t="shared" si="307"/>
        <v>0</v>
      </c>
      <c r="J6159" s="7" t="str">
        <f t="shared" ref="J6159:J6222" si="308">IF(I6159&gt;0,"DEBE","PAGADO")</f>
        <v>PAGADO</v>
      </c>
      <c r="K6159" s="33" t="s">
        <v>3819</v>
      </c>
    </row>
    <row r="6160" spans="1:13" x14ac:dyDescent="0.25">
      <c r="A6160" s="73">
        <v>46081</v>
      </c>
      <c r="C6160" s="9" t="s">
        <v>5820</v>
      </c>
      <c r="D6160" t="s">
        <v>5755</v>
      </c>
      <c r="F6160" s="6">
        <v>100</v>
      </c>
      <c r="G6160" s="6">
        <f t="shared" si="306"/>
        <v>100</v>
      </c>
      <c r="H6160" s="6">
        <v>50</v>
      </c>
      <c r="I6160" s="26">
        <f t="shared" si="307"/>
        <v>50</v>
      </c>
      <c r="J6160" s="7" t="str">
        <f t="shared" si="308"/>
        <v>DEBE</v>
      </c>
      <c r="K6160" s="9" t="s">
        <v>2754</v>
      </c>
    </row>
    <row r="6161" spans="1:13" x14ac:dyDescent="0.25">
      <c r="A6161" s="73">
        <v>46081</v>
      </c>
      <c r="C6161" s="9" t="s">
        <v>5821</v>
      </c>
      <c r="D6161" t="s">
        <v>5755</v>
      </c>
      <c r="F6161" s="6">
        <v>65</v>
      </c>
      <c r="G6161" s="6">
        <f t="shared" si="306"/>
        <v>65</v>
      </c>
      <c r="H6161" s="6">
        <v>32.5</v>
      </c>
      <c r="I6161" s="26">
        <f t="shared" si="307"/>
        <v>32.5</v>
      </c>
      <c r="J6161" s="7" t="str">
        <f t="shared" si="308"/>
        <v>DEBE</v>
      </c>
      <c r="K6161" s="9" t="s">
        <v>2754</v>
      </c>
    </row>
    <row r="6162" spans="1:13" x14ac:dyDescent="0.25">
      <c r="A6162" s="73">
        <v>46081</v>
      </c>
      <c r="C6162" s="9" t="s">
        <v>5822</v>
      </c>
      <c r="D6162" t="s">
        <v>5755</v>
      </c>
      <c r="F6162" s="6">
        <v>80</v>
      </c>
      <c r="G6162" s="6">
        <f t="shared" si="306"/>
        <v>80</v>
      </c>
      <c r="H6162" s="6">
        <v>40</v>
      </c>
      <c r="I6162" s="26">
        <f t="shared" si="307"/>
        <v>40</v>
      </c>
      <c r="J6162" s="7" t="str">
        <f t="shared" si="308"/>
        <v>DEBE</v>
      </c>
      <c r="K6162" s="9" t="s">
        <v>2754</v>
      </c>
    </row>
    <row r="6163" spans="1:13" x14ac:dyDescent="0.25">
      <c r="A6163" s="73">
        <v>46081</v>
      </c>
      <c r="C6163" s="9" t="s">
        <v>3224</v>
      </c>
      <c r="D6163" t="s">
        <v>5755</v>
      </c>
      <c r="F6163" s="6">
        <v>60</v>
      </c>
      <c r="G6163" s="6">
        <f t="shared" si="306"/>
        <v>60</v>
      </c>
      <c r="H6163" s="6">
        <f>30+30</f>
        <v>60</v>
      </c>
      <c r="I6163" s="23">
        <f t="shared" si="307"/>
        <v>0</v>
      </c>
      <c r="J6163" s="7" t="str">
        <f t="shared" si="308"/>
        <v>PAGADO</v>
      </c>
      <c r="K6163" s="33" t="s">
        <v>3819</v>
      </c>
    </row>
    <row r="6164" spans="1:13" x14ac:dyDescent="0.25">
      <c r="A6164" s="73">
        <v>46081</v>
      </c>
      <c r="C6164" s="119" t="s">
        <v>4317</v>
      </c>
      <c r="D6164" t="s">
        <v>5527</v>
      </c>
      <c r="F6164" s="6">
        <v>80</v>
      </c>
      <c r="G6164" s="6">
        <f t="shared" si="306"/>
        <v>80</v>
      </c>
      <c r="H6164" s="6">
        <f>40+40</f>
        <v>80</v>
      </c>
      <c r="I6164" s="26">
        <f t="shared" si="307"/>
        <v>0</v>
      </c>
      <c r="J6164" s="7" t="str">
        <f t="shared" si="308"/>
        <v>PAGADO</v>
      </c>
    </row>
    <row r="6165" spans="1:13" x14ac:dyDescent="0.25">
      <c r="A6165" s="73">
        <v>46081</v>
      </c>
      <c r="C6165" s="119" t="s">
        <v>5823</v>
      </c>
      <c r="D6165" t="s">
        <v>5527</v>
      </c>
      <c r="F6165" s="6">
        <v>40</v>
      </c>
      <c r="G6165" s="6">
        <f t="shared" si="306"/>
        <v>40</v>
      </c>
      <c r="H6165" s="6">
        <v>40</v>
      </c>
      <c r="I6165" s="26">
        <f t="shared" si="307"/>
        <v>0</v>
      </c>
      <c r="J6165" s="7" t="str">
        <f t="shared" si="308"/>
        <v>PAGADO</v>
      </c>
    </row>
    <row r="6166" spans="1:13" x14ac:dyDescent="0.25">
      <c r="A6166" s="73">
        <v>46081</v>
      </c>
      <c r="C6166" s="9" t="s">
        <v>5824</v>
      </c>
      <c r="D6166" s="9" t="s">
        <v>1476</v>
      </c>
      <c r="F6166" s="6">
        <v>230</v>
      </c>
      <c r="G6166" s="6">
        <f t="shared" si="306"/>
        <v>230</v>
      </c>
      <c r="H6166" s="6">
        <v>230</v>
      </c>
      <c r="I6166" s="26">
        <f t="shared" si="307"/>
        <v>0</v>
      </c>
      <c r="J6166" s="7" t="str">
        <f t="shared" si="308"/>
        <v>PAGADO</v>
      </c>
      <c r="K6166" t="s">
        <v>2754</v>
      </c>
      <c r="M6166" s="8" t="s">
        <v>5825</v>
      </c>
    </row>
    <row r="6167" spans="1:13" x14ac:dyDescent="0.25">
      <c r="A6167" s="73">
        <v>46082</v>
      </c>
      <c r="C6167" s="9" t="s">
        <v>5677</v>
      </c>
      <c r="D6167" s="9" t="s">
        <v>5826</v>
      </c>
      <c r="F6167" s="6">
        <v>70</v>
      </c>
      <c r="G6167" s="6">
        <f t="shared" si="306"/>
        <v>70</v>
      </c>
      <c r="H6167" s="6">
        <v>35</v>
      </c>
      <c r="I6167" s="26">
        <f t="shared" si="307"/>
        <v>35</v>
      </c>
      <c r="J6167" s="7" t="str">
        <f t="shared" si="308"/>
        <v>DEBE</v>
      </c>
      <c r="K6167" t="s">
        <v>2754</v>
      </c>
    </row>
    <row r="6168" spans="1:13" x14ac:dyDescent="0.25">
      <c r="A6168" s="73">
        <v>46082</v>
      </c>
      <c r="C6168" t="s">
        <v>5027</v>
      </c>
      <c r="D6168" s="9" t="s">
        <v>5805</v>
      </c>
      <c r="F6168" s="6">
        <v>80</v>
      </c>
      <c r="G6168" s="6">
        <f t="shared" si="306"/>
        <v>80</v>
      </c>
      <c r="H6168" s="6">
        <f>40+40</f>
        <v>80</v>
      </c>
      <c r="I6168" s="26">
        <f t="shared" si="307"/>
        <v>0</v>
      </c>
      <c r="J6168" s="7" t="str">
        <f t="shared" si="308"/>
        <v>PAGADO</v>
      </c>
      <c r="K6168" s="33" t="s">
        <v>3819</v>
      </c>
    </row>
    <row r="6169" spans="1:13" x14ac:dyDescent="0.25">
      <c r="A6169" s="73">
        <v>46082</v>
      </c>
      <c r="C6169" t="s">
        <v>5015</v>
      </c>
      <c r="D6169" s="9" t="s">
        <v>5805</v>
      </c>
      <c r="F6169" s="6">
        <v>90</v>
      </c>
      <c r="G6169" s="6">
        <f t="shared" si="306"/>
        <v>90</v>
      </c>
      <c r="H6169" s="6">
        <f>45+45</f>
        <v>90</v>
      </c>
      <c r="I6169" s="26">
        <f t="shared" si="307"/>
        <v>0</v>
      </c>
      <c r="J6169" s="7" t="str">
        <f t="shared" si="308"/>
        <v>PAGADO</v>
      </c>
      <c r="K6169" s="33" t="s">
        <v>3819</v>
      </c>
    </row>
    <row r="6170" spans="1:13" x14ac:dyDescent="0.25">
      <c r="A6170" s="73">
        <v>46082</v>
      </c>
      <c r="C6170" t="s">
        <v>5437</v>
      </c>
      <c r="D6170" s="9" t="s">
        <v>5805</v>
      </c>
      <c r="F6170" s="6">
        <v>90</v>
      </c>
      <c r="G6170" s="6">
        <f t="shared" si="306"/>
        <v>90</v>
      </c>
      <c r="H6170" s="6">
        <v>45</v>
      </c>
      <c r="I6170" s="26">
        <f t="shared" si="307"/>
        <v>45</v>
      </c>
      <c r="J6170" s="7" t="str">
        <f t="shared" si="308"/>
        <v>DEBE</v>
      </c>
      <c r="K6170" t="s">
        <v>2754</v>
      </c>
    </row>
    <row r="6171" spans="1:13" x14ac:dyDescent="0.25">
      <c r="A6171" s="73">
        <v>46082</v>
      </c>
      <c r="C6171" s="9" t="s">
        <v>5827</v>
      </c>
      <c r="D6171" t="s">
        <v>4771</v>
      </c>
      <c r="F6171" s="6">
        <v>110</v>
      </c>
      <c r="G6171" s="6">
        <f t="shared" si="306"/>
        <v>110</v>
      </c>
      <c r="H6171" s="6">
        <f>55+55</f>
        <v>110</v>
      </c>
      <c r="I6171" s="26">
        <f t="shared" si="307"/>
        <v>0</v>
      </c>
      <c r="J6171" s="7" t="str">
        <f t="shared" si="308"/>
        <v>PAGADO</v>
      </c>
      <c r="K6171" s="9" t="s">
        <v>2712</v>
      </c>
    </row>
    <row r="6172" spans="1:13" x14ac:dyDescent="0.25">
      <c r="A6172" s="73">
        <v>46082</v>
      </c>
      <c r="C6172" s="119" t="s">
        <v>5600</v>
      </c>
      <c r="D6172" s="98" t="s">
        <v>1309</v>
      </c>
      <c r="F6172" s="6">
        <v>80</v>
      </c>
      <c r="G6172" s="6">
        <f t="shared" si="306"/>
        <v>80</v>
      </c>
      <c r="H6172" s="6">
        <v>80</v>
      </c>
      <c r="I6172" s="26">
        <f t="shared" si="307"/>
        <v>0</v>
      </c>
      <c r="J6172" s="7" t="str">
        <f t="shared" si="308"/>
        <v>PAGADO</v>
      </c>
      <c r="K6172" s="34" t="s">
        <v>2754</v>
      </c>
      <c r="M6172" s="8" t="s">
        <v>5576</v>
      </c>
    </row>
    <row r="6173" spans="1:13" x14ac:dyDescent="0.25">
      <c r="A6173" s="73">
        <v>46082</v>
      </c>
      <c r="C6173" s="9" t="s">
        <v>5828</v>
      </c>
      <c r="D6173" s="9" t="s">
        <v>1504</v>
      </c>
      <c r="F6173" s="6">
        <v>150</v>
      </c>
      <c r="G6173" s="6">
        <f t="shared" si="306"/>
        <v>150</v>
      </c>
      <c r="H6173" s="12">
        <v>75</v>
      </c>
      <c r="I6173" s="26">
        <f t="shared" si="307"/>
        <v>75</v>
      </c>
      <c r="J6173" s="7" t="str">
        <f t="shared" si="308"/>
        <v>DEBE</v>
      </c>
      <c r="K6173" t="s">
        <v>2754</v>
      </c>
    </row>
    <row r="6174" spans="1:13" x14ac:dyDescent="0.25">
      <c r="A6174" s="73">
        <v>46082</v>
      </c>
      <c r="C6174" s="9" t="s">
        <v>5829</v>
      </c>
      <c r="D6174" s="9" t="s">
        <v>1504</v>
      </c>
      <c r="F6174" s="6">
        <v>150</v>
      </c>
      <c r="G6174" s="6">
        <f t="shared" si="306"/>
        <v>150</v>
      </c>
      <c r="H6174" s="12">
        <v>75</v>
      </c>
      <c r="I6174" s="26">
        <f t="shared" si="307"/>
        <v>75</v>
      </c>
      <c r="J6174" s="7" t="str">
        <f t="shared" si="308"/>
        <v>DEBE</v>
      </c>
      <c r="K6174" t="s">
        <v>2754</v>
      </c>
    </row>
    <row r="6175" spans="1:13" x14ac:dyDescent="0.25">
      <c r="A6175" s="73">
        <v>46082</v>
      </c>
      <c r="C6175" s="9" t="s">
        <v>5830</v>
      </c>
      <c r="D6175" s="9" t="s">
        <v>1504</v>
      </c>
      <c r="F6175" s="6">
        <v>70</v>
      </c>
      <c r="G6175" s="6">
        <f t="shared" si="306"/>
        <v>70</v>
      </c>
      <c r="H6175" s="6">
        <v>0</v>
      </c>
      <c r="I6175" s="26">
        <f t="shared" si="307"/>
        <v>70</v>
      </c>
      <c r="J6175" s="7" t="str">
        <f t="shared" si="308"/>
        <v>DEBE</v>
      </c>
      <c r="K6175" t="s">
        <v>2754</v>
      </c>
    </row>
    <row r="6176" spans="1:13" x14ac:dyDescent="0.25">
      <c r="A6176" s="73">
        <v>46082</v>
      </c>
      <c r="C6176" s="9" t="s">
        <v>5027</v>
      </c>
      <c r="D6176" s="9" t="s">
        <v>5831</v>
      </c>
      <c r="F6176" s="6">
        <v>85</v>
      </c>
      <c r="G6176" s="6">
        <f t="shared" si="306"/>
        <v>85</v>
      </c>
      <c r="H6176" s="6">
        <f>42.5+42.5</f>
        <v>85</v>
      </c>
      <c r="I6176" s="26">
        <f t="shared" si="307"/>
        <v>0</v>
      </c>
      <c r="J6176" s="7" t="str">
        <f t="shared" si="308"/>
        <v>PAGADO</v>
      </c>
      <c r="K6176" s="33" t="s">
        <v>3819</v>
      </c>
    </row>
    <row r="6177" spans="1:12" x14ac:dyDescent="0.25">
      <c r="A6177" s="73">
        <v>46082</v>
      </c>
      <c r="C6177" s="119" t="s">
        <v>5832</v>
      </c>
      <c r="D6177" s="98" t="s">
        <v>5164</v>
      </c>
      <c r="F6177" s="6">
        <v>400</v>
      </c>
      <c r="G6177" s="6">
        <f t="shared" si="306"/>
        <v>400</v>
      </c>
      <c r="H6177" s="6">
        <v>400</v>
      </c>
      <c r="I6177" s="26">
        <f t="shared" si="307"/>
        <v>0</v>
      </c>
      <c r="J6177" s="7" t="str">
        <f t="shared" si="308"/>
        <v>PAGADO</v>
      </c>
    </row>
    <row r="6178" spans="1:12" x14ac:dyDescent="0.25">
      <c r="A6178" s="73">
        <v>46083</v>
      </c>
      <c r="C6178" s="9" t="s">
        <v>5812</v>
      </c>
      <c r="D6178" s="9" t="s">
        <v>5539</v>
      </c>
      <c r="F6178" s="6">
        <v>50</v>
      </c>
      <c r="G6178" s="6">
        <f t="shared" si="306"/>
        <v>50</v>
      </c>
      <c r="H6178" s="6">
        <f>20+30</f>
        <v>50</v>
      </c>
      <c r="I6178" s="16">
        <f t="shared" si="307"/>
        <v>0</v>
      </c>
      <c r="J6178" s="7" t="str">
        <f t="shared" si="308"/>
        <v>PAGADO</v>
      </c>
      <c r="K6178" s="9" t="s">
        <v>3819</v>
      </c>
    </row>
    <row r="6179" spans="1:12" x14ac:dyDescent="0.25">
      <c r="A6179" s="73">
        <v>46083</v>
      </c>
      <c r="C6179" s="9" t="s">
        <v>5833</v>
      </c>
      <c r="D6179" s="9" t="s">
        <v>5539</v>
      </c>
      <c r="F6179" s="6">
        <v>40</v>
      </c>
      <c r="G6179" s="6">
        <f t="shared" si="306"/>
        <v>40</v>
      </c>
      <c r="H6179" s="6">
        <f>20+20</f>
        <v>40</v>
      </c>
      <c r="I6179" s="16">
        <f t="shared" si="307"/>
        <v>0</v>
      </c>
      <c r="J6179" s="7" t="str">
        <f t="shared" si="308"/>
        <v>PAGADO</v>
      </c>
      <c r="K6179" s="9" t="s">
        <v>3819</v>
      </c>
    </row>
    <row r="6180" spans="1:12" x14ac:dyDescent="0.25">
      <c r="A6180" s="73">
        <v>46083</v>
      </c>
      <c r="C6180" s="9" t="s">
        <v>1819</v>
      </c>
      <c r="D6180" s="9" t="s">
        <v>5834</v>
      </c>
      <c r="F6180" s="6">
        <v>70</v>
      </c>
      <c r="G6180" s="6">
        <f t="shared" si="306"/>
        <v>70</v>
      </c>
      <c r="H6180" s="6">
        <f>35+35</f>
        <v>70</v>
      </c>
      <c r="I6180" s="26">
        <f t="shared" si="307"/>
        <v>0</v>
      </c>
      <c r="J6180" s="7" t="str">
        <f t="shared" si="308"/>
        <v>PAGADO</v>
      </c>
    </row>
    <row r="6181" spans="1:12" x14ac:dyDescent="0.25">
      <c r="A6181" s="73">
        <v>46083</v>
      </c>
      <c r="C6181" t="s">
        <v>5835</v>
      </c>
      <c r="D6181" t="s">
        <v>5696</v>
      </c>
      <c r="F6181" s="6">
        <v>80</v>
      </c>
      <c r="G6181" s="6">
        <f t="shared" si="306"/>
        <v>80</v>
      </c>
      <c r="H6181" s="6">
        <f>40+40</f>
        <v>80</v>
      </c>
      <c r="I6181" s="26">
        <f t="shared" si="307"/>
        <v>0</v>
      </c>
      <c r="J6181" s="7" t="str">
        <f t="shared" si="308"/>
        <v>PAGADO</v>
      </c>
      <c r="K6181" t="s">
        <v>2754</v>
      </c>
    </row>
    <row r="6182" spans="1:12" x14ac:dyDescent="0.25">
      <c r="A6182" s="73">
        <v>46083</v>
      </c>
      <c r="C6182" t="s">
        <v>5667</v>
      </c>
      <c r="D6182" t="s">
        <v>5696</v>
      </c>
      <c r="F6182" s="6">
        <v>80</v>
      </c>
      <c r="G6182" s="6">
        <f t="shared" si="306"/>
        <v>80</v>
      </c>
      <c r="H6182" s="6">
        <f>40+40</f>
        <v>80</v>
      </c>
      <c r="I6182" s="26">
        <f t="shared" si="307"/>
        <v>0</v>
      </c>
      <c r="J6182" s="7" t="str">
        <f t="shared" si="308"/>
        <v>PAGADO</v>
      </c>
      <c r="K6182" t="s">
        <v>2754</v>
      </c>
    </row>
    <row r="6183" spans="1:12" x14ac:dyDescent="0.25">
      <c r="A6183" s="73">
        <v>46083</v>
      </c>
      <c r="C6183" t="s">
        <v>5669</v>
      </c>
      <c r="D6183" t="s">
        <v>5696</v>
      </c>
      <c r="F6183" s="6">
        <v>70</v>
      </c>
      <c r="G6183" s="6">
        <f t="shared" si="306"/>
        <v>70</v>
      </c>
      <c r="H6183" s="6">
        <f>35+10+25</f>
        <v>70</v>
      </c>
      <c r="I6183" s="26">
        <f t="shared" si="307"/>
        <v>0</v>
      </c>
      <c r="J6183" s="7" t="str">
        <f t="shared" si="308"/>
        <v>PAGADO</v>
      </c>
      <c r="K6183" t="s">
        <v>2754</v>
      </c>
    </row>
    <row r="6184" spans="1:12" x14ac:dyDescent="0.25">
      <c r="A6184" s="73">
        <v>46083</v>
      </c>
      <c r="C6184" s="9" t="s">
        <v>3279</v>
      </c>
      <c r="D6184" s="9" t="s">
        <v>5836</v>
      </c>
      <c r="F6184" s="6">
        <v>80</v>
      </c>
      <c r="G6184" s="6">
        <f t="shared" si="306"/>
        <v>80</v>
      </c>
      <c r="H6184" s="6">
        <v>80</v>
      </c>
      <c r="I6184" s="26">
        <f t="shared" si="307"/>
        <v>0</v>
      </c>
      <c r="J6184" s="7" t="str">
        <f t="shared" si="308"/>
        <v>PAGADO</v>
      </c>
    </row>
    <row r="6185" spans="1:12" x14ac:dyDescent="0.25">
      <c r="A6185" s="73">
        <v>46083</v>
      </c>
      <c r="C6185" s="41" t="s">
        <v>3754</v>
      </c>
      <c r="D6185" s="41" t="s">
        <v>4587</v>
      </c>
      <c r="E6185" s="87"/>
      <c r="F6185" s="58">
        <v>70</v>
      </c>
      <c r="G6185" s="58">
        <f t="shared" si="306"/>
        <v>70</v>
      </c>
      <c r="H6185" s="58">
        <v>70</v>
      </c>
      <c r="I6185" s="58">
        <f t="shared" si="307"/>
        <v>0</v>
      </c>
      <c r="J6185" s="88" t="str">
        <f t="shared" si="308"/>
        <v>PAGADO</v>
      </c>
      <c r="K6185" s="56" t="s">
        <v>2712</v>
      </c>
      <c r="L6185" s="41"/>
    </row>
    <row r="6186" spans="1:12" x14ac:dyDescent="0.25">
      <c r="A6186" s="73">
        <v>46083</v>
      </c>
      <c r="C6186" s="9" t="s">
        <v>4918</v>
      </c>
      <c r="D6186" s="9" t="s">
        <v>5771</v>
      </c>
      <c r="F6186" s="6">
        <v>70</v>
      </c>
      <c r="G6186" s="6">
        <f t="shared" si="306"/>
        <v>70</v>
      </c>
      <c r="H6186" s="6">
        <v>70</v>
      </c>
      <c r="I6186" s="26">
        <f t="shared" si="307"/>
        <v>0</v>
      </c>
      <c r="J6186" s="7" t="str">
        <f t="shared" si="308"/>
        <v>PAGADO</v>
      </c>
      <c r="K6186" s="9" t="s">
        <v>2714</v>
      </c>
    </row>
    <row r="6187" spans="1:12" x14ac:dyDescent="0.25">
      <c r="A6187" s="73">
        <v>46083</v>
      </c>
      <c r="C6187" s="41" t="s">
        <v>5837</v>
      </c>
      <c r="D6187" s="41" t="s">
        <v>4587</v>
      </c>
      <c r="E6187" s="87"/>
      <c r="F6187" s="58">
        <v>55</v>
      </c>
      <c r="G6187" s="58">
        <f t="shared" si="306"/>
        <v>55</v>
      </c>
      <c r="H6187" s="58">
        <v>55</v>
      </c>
      <c r="I6187" s="58">
        <f t="shared" si="307"/>
        <v>0</v>
      </c>
      <c r="J6187" s="88" t="str">
        <f t="shared" si="308"/>
        <v>PAGADO</v>
      </c>
      <c r="K6187" s="56" t="s">
        <v>2712</v>
      </c>
      <c r="L6187" s="41"/>
    </row>
    <row r="6188" spans="1:12" x14ac:dyDescent="0.25">
      <c r="A6188" s="73">
        <v>46083</v>
      </c>
      <c r="C6188" t="s">
        <v>4978</v>
      </c>
      <c r="D6188" s="98" t="s">
        <v>5451</v>
      </c>
      <c r="F6188" s="6">
        <v>65</v>
      </c>
      <c r="G6188" s="6">
        <f t="shared" si="306"/>
        <v>65</v>
      </c>
      <c r="H6188" s="6">
        <v>65</v>
      </c>
      <c r="I6188" s="26">
        <f t="shared" si="307"/>
        <v>0</v>
      </c>
      <c r="J6188" s="7" t="str">
        <f t="shared" si="308"/>
        <v>PAGADO</v>
      </c>
      <c r="K6188" s="9" t="s">
        <v>2712</v>
      </c>
    </row>
    <row r="6189" spans="1:12" x14ac:dyDescent="0.25">
      <c r="A6189" s="73">
        <v>46083</v>
      </c>
      <c r="C6189" s="9" t="s">
        <v>5838</v>
      </c>
      <c r="D6189" s="9" t="s">
        <v>5748</v>
      </c>
      <c r="F6189" s="6">
        <v>25</v>
      </c>
      <c r="G6189" s="6">
        <f t="shared" si="306"/>
        <v>25</v>
      </c>
      <c r="H6189" s="6">
        <v>12.5</v>
      </c>
      <c r="I6189" s="26">
        <f t="shared" si="307"/>
        <v>12.5</v>
      </c>
      <c r="J6189" s="7" t="str">
        <f t="shared" si="308"/>
        <v>DEBE</v>
      </c>
      <c r="K6189" s="28" t="s">
        <v>2712</v>
      </c>
    </row>
    <row r="6190" spans="1:12" x14ac:dyDescent="0.25">
      <c r="A6190" s="73">
        <v>46083</v>
      </c>
      <c r="C6190" s="9" t="s">
        <v>5839</v>
      </c>
      <c r="D6190" s="9" t="s">
        <v>18</v>
      </c>
      <c r="F6190" s="6">
        <v>320</v>
      </c>
      <c r="G6190" s="101">
        <f t="shared" si="306"/>
        <v>320</v>
      </c>
      <c r="H6190" s="6">
        <f>70+100+100+50</f>
        <v>320</v>
      </c>
      <c r="I6190" s="26">
        <f t="shared" si="307"/>
        <v>0</v>
      </c>
      <c r="J6190" s="7" t="str">
        <f t="shared" si="308"/>
        <v>PAGADO</v>
      </c>
    </row>
    <row r="6191" spans="1:12" x14ac:dyDescent="0.25">
      <c r="A6191" s="73">
        <v>46083</v>
      </c>
      <c r="C6191" s="9" t="s">
        <v>5840</v>
      </c>
      <c r="D6191" s="9" t="s">
        <v>18</v>
      </c>
      <c r="F6191" s="6">
        <v>50</v>
      </c>
      <c r="G6191" s="101">
        <f t="shared" si="306"/>
        <v>50</v>
      </c>
      <c r="H6191" s="6">
        <v>50</v>
      </c>
      <c r="I6191" s="26">
        <f t="shared" si="307"/>
        <v>0</v>
      </c>
      <c r="J6191" s="7" t="str">
        <f t="shared" si="308"/>
        <v>PAGADO</v>
      </c>
    </row>
    <row r="6192" spans="1:12" x14ac:dyDescent="0.25">
      <c r="A6192" s="73">
        <v>46084</v>
      </c>
      <c r="C6192" s="9" t="s">
        <v>5667</v>
      </c>
      <c r="D6192" s="9" t="s">
        <v>5841</v>
      </c>
      <c r="F6192" s="6">
        <v>80</v>
      </c>
      <c r="G6192" s="6">
        <f t="shared" si="306"/>
        <v>80</v>
      </c>
      <c r="H6192" s="6">
        <v>80</v>
      </c>
      <c r="I6192" s="26">
        <f t="shared" si="307"/>
        <v>0</v>
      </c>
      <c r="J6192" s="7" t="str">
        <f t="shared" si="308"/>
        <v>PAGADO</v>
      </c>
      <c r="K6192" t="s">
        <v>2754</v>
      </c>
    </row>
    <row r="6193" spans="1:11" x14ac:dyDescent="0.25">
      <c r="A6193" s="73">
        <v>46084</v>
      </c>
      <c r="C6193" s="9" t="s">
        <v>5842</v>
      </c>
      <c r="D6193" s="9" t="s">
        <v>2360</v>
      </c>
      <c r="F6193" s="6">
        <v>40</v>
      </c>
      <c r="G6193" s="6">
        <f t="shared" si="306"/>
        <v>40</v>
      </c>
      <c r="H6193" s="6">
        <f>20+20</f>
        <v>40</v>
      </c>
      <c r="I6193" s="26">
        <f t="shared" si="307"/>
        <v>0</v>
      </c>
      <c r="J6193" s="7" t="str">
        <f t="shared" si="308"/>
        <v>PAGADO</v>
      </c>
    </row>
    <row r="6194" spans="1:11" x14ac:dyDescent="0.25">
      <c r="A6194" s="73">
        <v>46085</v>
      </c>
      <c r="C6194" s="9" t="s">
        <v>5843</v>
      </c>
      <c r="D6194" s="9" t="s">
        <v>5844</v>
      </c>
      <c r="F6194" s="6">
        <v>70</v>
      </c>
      <c r="G6194" s="6">
        <f t="shared" si="306"/>
        <v>70</v>
      </c>
      <c r="H6194" s="6">
        <v>70</v>
      </c>
      <c r="I6194" s="26">
        <f t="shared" si="307"/>
        <v>0</v>
      </c>
      <c r="J6194" s="7" t="str">
        <f t="shared" si="308"/>
        <v>PAGADO</v>
      </c>
    </row>
    <row r="6195" spans="1:11" x14ac:dyDescent="0.25">
      <c r="A6195" s="73">
        <v>46085</v>
      </c>
      <c r="C6195" t="s">
        <v>5845</v>
      </c>
      <c r="D6195" t="s">
        <v>5798</v>
      </c>
      <c r="F6195" s="6">
        <v>1000</v>
      </c>
      <c r="G6195" s="6">
        <f t="shared" si="306"/>
        <v>1000</v>
      </c>
      <c r="H6195" s="6">
        <f>100+200</f>
        <v>300</v>
      </c>
      <c r="I6195" s="26">
        <f t="shared" si="307"/>
        <v>700</v>
      </c>
      <c r="J6195" s="7" t="str">
        <f t="shared" si="308"/>
        <v>DEBE</v>
      </c>
      <c r="K6195" t="s">
        <v>5846</v>
      </c>
    </row>
    <row r="6196" spans="1:11" x14ac:dyDescent="0.25">
      <c r="A6196" s="73">
        <v>46085</v>
      </c>
      <c r="C6196" s="9" t="s">
        <v>5847</v>
      </c>
      <c r="D6196" t="s">
        <v>5546</v>
      </c>
      <c r="F6196" s="6">
        <v>80</v>
      </c>
      <c r="G6196" s="6">
        <f t="shared" si="306"/>
        <v>80</v>
      </c>
      <c r="H6196" s="6">
        <v>80</v>
      </c>
      <c r="I6196" s="26">
        <f t="shared" si="307"/>
        <v>0</v>
      </c>
      <c r="J6196" s="7" t="str">
        <f t="shared" si="308"/>
        <v>PAGADO</v>
      </c>
      <c r="K6196" s="9" t="s">
        <v>2712</v>
      </c>
    </row>
    <row r="6197" spans="1:11" x14ac:dyDescent="0.25">
      <c r="A6197" s="73">
        <v>46085</v>
      </c>
      <c r="C6197" s="9" t="s">
        <v>5848</v>
      </c>
      <c r="D6197" t="s">
        <v>5546</v>
      </c>
      <c r="F6197" s="6">
        <v>60</v>
      </c>
      <c r="G6197" s="6">
        <f t="shared" si="306"/>
        <v>60</v>
      </c>
      <c r="H6197" s="6">
        <v>60</v>
      </c>
      <c r="I6197" s="26">
        <f t="shared" si="307"/>
        <v>0</v>
      </c>
      <c r="J6197" s="7" t="str">
        <f t="shared" si="308"/>
        <v>PAGADO</v>
      </c>
      <c r="K6197" s="9" t="s">
        <v>2712</v>
      </c>
    </row>
    <row r="6198" spans="1:11" x14ac:dyDescent="0.25">
      <c r="A6198" s="73">
        <v>46085</v>
      </c>
      <c r="C6198" s="9" t="s">
        <v>5849</v>
      </c>
      <c r="D6198" s="9" t="s">
        <v>3143</v>
      </c>
      <c r="F6198" s="6">
        <v>65</v>
      </c>
      <c r="G6198" s="6">
        <f t="shared" si="306"/>
        <v>65</v>
      </c>
      <c r="H6198" s="6">
        <v>65</v>
      </c>
      <c r="I6198" s="26">
        <f t="shared" si="307"/>
        <v>0</v>
      </c>
      <c r="J6198" s="7" t="str">
        <f t="shared" si="308"/>
        <v>PAGADO</v>
      </c>
      <c r="K6198" s="33" t="s">
        <v>3819</v>
      </c>
    </row>
    <row r="6199" spans="1:11" x14ac:dyDescent="0.25">
      <c r="A6199" s="73">
        <v>46085</v>
      </c>
      <c r="C6199" s="9" t="s">
        <v>5557</v>
      </c>
      <c r="D6199" s="9" t="s">
        <v>5771</v>
      </c>
      <c r="F6199" s="6">
        <v>90</v>
      </c>
      <c r="G6199" s="6">
        <f t="shared" si="306"/>
        <v>90</v>
      </c>
      <c r="H6199" s="6">
        <v>45</v>
      </c>
      <c r="I6199" s="26">
        <f t="shared" si="307"/>
        <v>45</v>
      </c>
      <c r="J6199" s="7" t="str">
        <f t="shared" si="308"/>
        <v>DEBE</v>
      </c>
      <c r="K6199" s="9" t="s">
        <v>2754</v>
      </c>
    </row>
    <row r="6200" spans="1:11" x14ac:dyDescent="0.25">
      <c r="A6200" s="73">
        <v>46085</v>
      </c>
      <c r="C6200" s="9" t="s">
        <v>5850</v>
      </c>
      <c r="D6200" s="9" t="s">
        <v>5851</v>
      </c>
      <c r="F6200" s="6">
        <v>70</v>
      </c>
      <c r="G6200" s="6">
        <f t="shared" si="306"/>
        <v>70</v>
      </c>
      <c r="H6200" s="6">
        <v>35</v>
      </c>
      <c r="I6200" s="26">
        <f t="shared" si="307"/>
        <v>35</v>
      </c>
      <c r="J6200" s="7" t="str">
        <f t="shared" si="308"/>
        <v>DEBE</v>
      </c>
      <c r="K6200" s="9" t="s">
        <v>2754</v>
      </c>
    </row>
    <row r="6201" spans="1:11" x14ac:dyDescent="0.25">
      <c r="A6201" s="73">
        <v>46085</v>
      </c>
      <c r="C6201" s="9" t="s">
        <v>5067</v>
      </c>
      <c r="D6201" s="9" t="s">
        <v>5851</v>
      </c>
      <c r="F6201" s="6">
        <v>60</v>
      </c>
      <c r="G6201" s="6">
        <f t="shared" si="306"/>
        <v>60</v>
      </c>
      <c r="H6201" s="6">
        <f>30+30</f>
        <v>60</v>
      </c>
      <c r="I6201" s="26">
        <f t="shared" si="307"/>
        <v>0</v>
      </c>
      <c r="J6201" s="7" t="str">
        <f t="shared" si="308"/>
        <v>PAGADO</v>
      </c>
      <c r="K6201" s="33" t="s">
        <v>3819</v>
      </c>
    </row>
    <row r="6202" spans="1:11" x14ac:dyDescent="0.25">
      <c r="A6202" s="73">
        <v>46085</v>
      </c>
      <c r="C6202" s="9" t="s">
        <v>5852</v>
      </c>
      <c r="D6202" s="9" t="s">
        <v>5853</v>
      </c>
      <c r="F6202" s="6">
        <v>80</v>
      </c>
      <c r="G6202" s="6">
        <f t="shared" si="306"/>
        <v>80</v>
      </c>
      <c r="H6202" s="6">
        <v>80</v>
      </c>
      <c r="I6202" s="26">
        <f t="shared" si="307"/>
        <v>0</v>
      </c>
      <c r="J6202" s="7" t="str">
        <f t="shared" si="308"/>
        <v>PAGADO</v>
      </c>
    </row>
    <row r="6203" spans="1:11" x14ac:dyDescent="0.25">
      <c r="A6203" s="73">
        <v>46085</v>
      </c>
      <c r="C6203" s="9" t="s">
        <v>5854</v>
      </c>
      <c r="D6203" s="9" t="s">
        <v>5855</v>
      </c>
      <c r="F6203" s="6">
        <v>150</v>
      </c>
      <c r="G6203" s="6">
        <f t="shared" si="306"/>
        <v>150</v>
      </c>
      <c r="H6203" s="6">
        <v>75</v>
      </c>
      <c r="I6203" s="26">
        <f t="shared" si="307"/>
        <v>75</v>
      </c>
      <c r="J6203" s="7" t="str">
        <f t="shared" si="308"/>
        <v>DEBE</v>
      </c>
      <c r="K6203" s="9" t="s">
        <v>2754</v>
      </c>
    </row>
    <row r="6204" spans="1:11" x14ac:dyDescent="0.25">
      <c r="A6204" s="97">
        <v>46086</v>
      </c>
      <c r="C6204" s="9" t="s">
        <v>5856</v>
      </c>
      <c r="D6204" t="s">
        <v>1390</v>
      </c>
      <c r="E6204" s="99"/>
      <c r="F6204" s="101">
        <v>90</v>
      </c>
      <c r="G6204" s="101">
        <f t="shared" si="306"/>
        <v>90</v>
      </c>
      <c r="H6204" s="101">
        <v>90</v>
      </c>
      <c r="I6204" s="100">
        <f t="shared" si="307"/>
        <v>0</v>
      </c>
      <c r="J6204" s="7" t="str">
        <f t="shared" si="308"/>
        <v>PAGADO</v>
      </c>
    </row>
    <row r="6205" spans="1:11" x14ac:dyDescent="0.25">
      <c r="A6205" s="73">
        <v>46086</v>
      </c>
      <c r="C6205" s="9" t="s">
        <v>5857</v>
      </c>
      <c r="D6205" s="9" t="s">
        <v>1425</v>
      </c>
      <c r="F6205" s="6">
        <v>60</v>
      </c>
      <c r="G6205" s="6">
        <f t="shared" si="306"/>
        <v>60</v>
      </c>
      <c r="H6205" s="6">
        <v>60</v>
      </c>
      <c r="I6205" s="26">
        <f t="shared" si="307"/>
        <v>0</v>
      </c>
      <c r="J6205" s="7" t="str">
        <f t="shared" si="308"/>
        <v>PAGADO</v>
      </c>
    </row>
    <row r="6206" spans="1:11" x14ac:dyDescent="0.25">
      <c r="A6206" s="73">
        <v>46086</v>
      </c>
      <c r="C6206" t="s">
        <v>5858</v>
      </c>
      <c r="D6206" t="s">
        <v>4777</v>
      </c>
      <c r="F6206" s="6">
        <v>90</v>
      </c>
      <c r="G6206" s="6">
        <f t="shared" ref="G6206:G6269" si="309">F6206-E6206</f>
        <v>90</v>
      </c>
      <c r="H6206" s="6">
        <v>45</v>
      </c>
      <c r="I6206" s="26">
        <f t="shared" si="307"/>
        <v>45</v>
      </c>
      <c r="J6206" s="7" t="str">
        <f t="shared" si="308"/>
        <v>DEBE</v>
      </c>
      <c r="K6206" s="33" t="s">
        <v>2754</v>
      </c>
    </row>
    <row r="6207" spans="1:11" x14ac:dyDescent="0.25">
      <c r="A6207" s="73">
        <v>46086</v>
      </c>
      <c r="C6207" s="9" t="s">
        <v>5859</v>
      </c>
      <c r="D6207" s="9" t="s">
        <v>5122</v>
      </c>
      <c r="F6207" s="6">
        <v>190</v>
      </c>
      <c r="G6207" s="6">
        <f t="shared" si="309"/>
        <v>190</v>
      </c>
      <c r="H6207" s="6">
        <v>95</v>
      </c>
      <c r="I6207" s="26">
        <f t="shared" si="307"/>
        <v>95</v>
      </c>
      <c r="J6207" s="7" t="str">
        <f t="shared" si="308"/>
        <v>DEBE</v>
      </c>
      <c r="K6207" s="9" t="s">
        <v>2754</v>
      </c>
    </row>
    <row r="6208" spans="1:11" x14ac:dyDescent="0.25">
      <c r="A6208" s="73">
        <v>46086</v>
      </c>
      <c r="C6208" s="9" t="s">
        <v>1819</v>
      </c>
      <c r="D6208" s="9" t="s">
        <v>1510</v>
      </c>
      <c r="F6208" s="6">
        <v>70</v>
      </c>
      <c r="G6208" s="6">
        <f t="shared" si="309"/>
        <v>70</v>
      </c>
      <c r="H6208" s="6">
        <v>70</v>
      </c>
      <c r="I6208" s="26">
        <f t="shared" si="307"/>
        <v>0</v>
      </c>
      <c r="J6208" s="7" t="str">
        <f t="shared" si="308"/>
        <v>PAGADO</v>
      </c>
    </row>
    <row r="6209" spans="1:11" x14ac:dyDescent="0.25">
      <c r="A6209" s="73">
        <v>46086</v>
      </c>
      <c r="C6209" s="9" t="s">
        <v>5418</v>
      </c>
      <c r="D6209" s="98" t="s">
        <v>2363</v>
      </c>
      <c r="E6209" s="99"/>
      <c r="F6209" s="101">
        <v>250</v>
      </c>
      <c r="G6209" s="101">
        <f t="shared" si="309"/>
        <v>250</v>
      </c>
      <c r="H6209" s="113">
        <v>125</v>
      </c>
      <c r="I6209" s="100">
        <f t="shared" si="307"/>
        <v>125</v>
      </c>
      <c r="J6209" s="7" t="str">
        <f t="shared" si="308"/>
        <v>DEBE</v>
      </c>
      <c r="K6209" s="34" t="s">
        <v>2754</v>
      </c>
    </row>
    <row r="6210" spans="1:11" x14ac:dyDescent="0.25">
      <c r="A6210" s="73">
        <v>46086</v>
      </c>
      <c r="C6210" s="14" t="s">
        <v>3279</v>
      </c>
      <c r="D6210" s="14" t="s">
        <v>3213</v>
      </c>
      <c r="E6210" s="15"/>
      <c r="F6210" s="16">
        <v>80</v>
      </c>
      <c r="G6210" s="16">
        <f t="shared" si="309"/>
        <v>80</v>
      </c>
      <c r="H6210" s="16">
        <v>80</v>
      </c>
      <c r="I6210" s="83">
        <f t="shared" si="307"/>
        <v>0</v>
      </c>
      <c r="J6210" s="17" t="str">
        <f t="shared" si="308"/>
        <v>PAGADO</v>
      </c>
      <c r="K6210" s="18" t="s">
        <v>2712</v>
      </c>
    </row>
    <row r="6211" spans="1:11" x14ac:dyDescent="0.25">
      <c r="A6211" s="73">
        <v>46086</v>
      </c>
      <c r="C6211" s="9" t="s">
        <v>5715</v>
      </c>
      <c r="D6211" s="9" t="s">
        <v>3213</v>
      </c>
      <c r="F6211" s="6">
        <v>80</v>
      </c>
      <c r="G6211" s="6">
        <f t="shared" si="309"/>
        <v>80</v>
      </c>
      <c r="H6211" s="6">
        <v>40</v>
      </c>
      <c r="I6211" s="26">
        <f t="shared" si="307"/>
        <v>40</v>
      </c>
      <c r="J6211" s="7" t="str">
        <f t="shared" si="308"/>
        <v>DEBE</v>
      </c>
      <c r="K6211" s="56" t="s">
        <v>2754</v>
      </c>
    </row>
    <row r="6212" spans="1:11" x14ac:dyDescent="0.25">
      <c r="A6212" s="73">
        <v>46086</v>
      </c>
      <c r="C6212" s="9" t="s">
        <v>5860</v>
      </c>
      <c r="D6212" s="9" t="s">
        <v>3213</v>
      </c>
      <c r="F6212" s="6">
        <v>80</v>
      </c>
      <c r="G6212" s="6">
        <f t="shared" si="309"/>
        <v>80</v>
      </c>
      <c r="H6212" s="6">
        <v>40</v>
      </c>
      <c r="I6212" s="26">
        <f t="shared" si="307"/>
        <v>40</v>
      </c>
      <c r="J6212" s="7" t="str">
        <f t="shared" si="308"/>
        <v>DEBE</v>
      </c>
      <c r="K6212" s="56" t="s">
        <v>2754</v>
      </c>
    </row>
    <row r="6213" spans="1:11" x14ac:dyDescent="0.25">
      <c r="A6213" s="73">
        <v>46086</v>
      </c>
      <c r="C6213" s="9" t="s">
        <v>5861</v>
      </c>
      <c r="D6213" s="9" t="s">
        <v>3865</v>
      </c>
      <c r="F6213" s="6">
        <v>50</v>
      </c>
      <c r="G6213" s="6">
        <f t="shared" si="309"/>
        <v>50</v>
      </c>
      <c r="H6213" s="6">
        <v>25</v>
      </c>
      <c r="I6213" s="26">
        <f t="shared" si="307"/>
        <v>25</v>
      </c>
      <c r="J6213" s="7" t="str">
        <f t="shared" si="308"/>
        <v>DEBE</v>
      </c>
      <c r="K6213" t="s">
        <v>2754</v>
      </c>
    </row>
    <row r="6214" spans="1:11" x14ac:dyDescent="0.25">
      <c r="A6214" s="73">
        <v>46086</v>
      </c>
      <c r="C6214" s="9" t="s">
        <v>5862</v>
      </c>
      <c r="D6214" s="9" t="s">
        <v>5863</v>
      </c>
      <c r="F6214" s="6">
        <v>80</v>
      </c>
      <c r="G6214" s="6">
        <f t="shared" si="309"/>
        <v>80</v>
      </c>
      <c r="H6214" s="6">
        <v>80</v>
      </c>
      <c r="I6214" s="26">
        <f t="shared" si="307"/>
        <v>0</v>
      </c>
      <c r="J6214" s="7" t="str">
        <f t="shared" si="308"/>
        <v>PAGADO</v>
      </c>
    </row>
    <row r="6215" spans="1:11" x14ac:dyDescent="0.25">
      <c r="A6215" s="73">
        <v>46086</v>
      </c>
      <c r="C6215" s="9" t="s">
        <v>5809</v>
      </c>
      <c r="D6215" s="9" t="s">
        <v>5539</v>
      </c>
      <c r="F6215" s="6">
        <v>65</v>
      </c>
      <c r="G6215" s="6">
        <f t="shared" si="309"/>
        <v>65</v>
      </c>
      <c r="H6215" s="6">
        <f>35+30</f>
        <v>65</v>
      </c>
      <c r="I6215" s="26">
        <f t="shared" si="307"/>
        <v>0</v>
      </c>
      <c r="J6215" s="7" t="str">
        <f t="shared" si="308"/>
        <v>PAGADO</v>
      </c>
      <c r="K6215" s="9" t="s">
        <v>2714</v>
      </c>
    </row>
    <row r="6216" spans="1:11" x14ac:dyDescent="0.25">
      <c r="A6216" s="73">
        <v>46086</v>
      </c>
      <c r="C6216" s="9" t="s">
        <v>5864</v>
      </c>
      <c r="D6216" s="98" t="s">
        <v>4890</v>
      </c>
      <c r="F6216" s="6">
        <v>50</v>
      </c>
      <c r="G6216" s="6">
        <f t="shared" si="309"/>
        <v>50</v>
      </c>
      <c r="H6216" s="6">
        <v>50</v>
      </c>
      <c r="I6216" s="26">
        <f t="shared" si="307"/>
        <v>0</v>
      </c>
      <c r="J6216" s="7" t="str">
        <f t="shared" si="308"/>
        <v>PAGADO</v>
      </c>
    </row>
    <row r="6217" spans="1:11" x14ac:dyDescent="0.25">
      <c r="A6217" s="73">
        <v>46087</v>
      </c>
      <c r="C6217" s="9" t="s">
        <v>5865</v>
      </c>
      <c r="D6217" s="9" t="s">
        <v>5866</v>
      </c>
      <c r="F6217" s="6">
        <v>75</v>
      </c>
      <c r="G6217" s="6">
        <f t="shared" si="309"/>
        <v>75</v>
      </c>
      <c r="H6217" s="6">
        <f>37.5+37.5</f>
        <v>75</v>
      </c>
      <c r="I6217" s="26">
        <f t="shared" si="307"/>
        <v>0</v>
      </c>
      <c r="J6217" s="7" t="str">
        <f t="shared" si="308"/>
        <v>PAGADO</v>
      </c>
    </row>
    <row r="6218" spans="1:11" x14ac:dyDescent="0.25">
      <c r="A6218" s="73">
        <v>46087</v>
      </c>
      <c r="C6218" s="9" t="s">
        <v>5067</v>
      </c>
      <c r="D6218" s="9" t="s">
        <v>5867</v>
      </c>
      <c r="F6218" s="6">
        <v>60</v>
      </c>
      <c r="G6218" s="6">
        <f t="shared" si="309"/>
        <v>60</v>
      </c>
      <c r="H6218" s="6">
        <f>30+30</f>
        <v>60</v>
      </c>
      <c r="I6218" s="26">
        <f t="shared" si="307"/>
        <v>0</v>
      </c>
      <c r="J6218" s="7" t="str">
        <f t="shared" si="308"/>
        <v>PAGADO</v>
      </c>
      <c r="K6218" s="33" t="s">
        <v>3819</v>
      </c>
    </row>
    <row r="6219" spans="1:11" x14ac:dyDescent="0.25">
      <c r="A6219" s="73">
        <v>46087</v>
      </c>
      <c r="C6219" s="9" t="s">
        <v>4619</v>
      </c>
      <c r="D6219" s="9" t="s">
        <v>488</v>
      </c>
      <c r="F6219" s="6">
        <v>90</v>
      </c>
      <c r="G6219" s="6">
        <f t="shared" si="309"/>
        <v>90</v>
      </c>
      <c r="H6219" s="6">
        <v>90</v>
      </c>
      <c r="I6219" s="26">
        <f t="shared" ref="I6219:I6282" si="310">F6219-H6219</f>
        <v>0</v>
      </c>
      <c r="J6219" s="7" t="str">
        <f t="shared" si="308"/>
        <v>PAGADO</v>
      </c>
    </row>
    <row r="6220" spans="1:11" x14ac:dyDescent="0.25">
      <c r="A6220" s="73">
        <v>46087</v>
      </c>
      <c r="C6220" s="9" t="s">
        <v>5868</v>
      </c>
      <c r="D6220" s="9" t="s">
        <v>238</v>
      </c>
      <c r="F6220" s="6">
        <v>590</v>
      </c>
      <c r="G6220" s="6">
        <f t="shared" si="309"/>
        <v>590</v>
      </c>
      <c r="H6220" s="6">
        <v>590</v>
      </c>
      <c r="I6220" s="26">
        <f t="shared" si="310"/>
        <v>0</v>
      </c>
      <c r="J6220" s="7" t="str">
        <f t="shared" si="308"/>
        <v>PAGADO</v>
      </c>
    </row>
    <row r="6221" spans="1:11" x14ac:dyDescent="0.25">
      <c r="A6221" s="73">
        <v>46087</v>
      </c>
      <c r="C6221" s="9" t="s">
        <v>5869</v>
      </c>
      <c r="D6221" s="9" t="s">
        <v>5539</v>
      </c>
      <c r="F6221" s="6">
        <v>65</v>
      </c>
      <c r="G6221" s="6">
        <f t="shared" si="309"/>
        <v>65</v>
      </c>
      <c r="H6221" s="6">
        <v>65</v>
      </c>
      <c r="I6221" s="26">
        <f t="shared" si="310"/>
        <v>0</v>
      </c>
      <c r="J6221" s="7" t="str">
        <f t="shared" si="308"/>
        <v>PAGADO</v>
      </c>
      <c r="K6221" s="9" t="s">
        <v>2714</v>
      </c>
    </row>
    <row r="6222" spans="1:11" x14ac:dyDescent="0.25">
      <c r="A6222" s="73">
        <v>46087</v>
      </c>
      <c r="C6222" s="9" t="s">
        <v>5870</v>
      </c>
      <c r="D6222" s="9" t="s">
        <v>1451</v>
      </c>
      <c r="F6222" s="6">
        <v>95</v>
      </c>
      <c r="G6222" s="6">
        <f t="shared" si="309"/>
        <v>95</v>
      </c>
      <c r="H6222" s="6">
        <v>95</v>
      </c>
      <c r="I6222" s="26">
        <f t="shared" si="310"/>
        <v>0</v>
      </c>
      <c r="J6222" s="7" t="str">
        <f t="shared" si="308"/>
        <v>PAGADO</v>
      </c>
    </row>
    <row r="6223" spans="1:11" x14ac:dyDescent="0.25">
      <c r="A6223" s="73">
        <v>46087</v>
      </c>
      <c r="C6223" s="9" t="s">
        <v>5011</v>
      </c>
      <c r="D6223" s="9" t="s">
        <v>5871</v>
      </c>
      <c r="F6223" s="6">
        <v>80</v>
      </c>
      <c r="G6223" s="6">
        <f t="shared" si="309"/>
        <v>80</v>
      </c>
      <c r="H6223" s="6">
        <v>40</v>
      </c>
      <c r="I6223" s="26">
        <f t="shared" si="310"/>
        <v>40</v>
      </c>
      <c r="J6223" s="7" t="str">
        <f t="shared" ref="J6223:J6286" si="311">IF(I6223&gt;0,"DEBE","PAGADO")</f>
        <v>DEBE</v>
      </c>
      <c r="K6223" t="s">
        <v>2754</v>
      </c>
    </row>
    <row r="6224" spans="1:11" x14ac:dyDescent="0.25">
      <c r="A6224" s="73">
        <v>46087</v>
      </c>
      <c r="C6224" s="9" t="s">
        <v>5872</v>
      </c>
      <c r="D6224" s="9" t="s">
        <v>5494</v>
      </c>
      <c r="F6224" s="6">
        <v>60</v>
      </c>
      <c r="G6224" s="6">
        <f t="shared" si="309"/>
        <v>60</v>
      </c>
      <c r="H6224" s="6">
        <v>60</v>
      </c>
      <c r="I6224" s="26">
        <f t="shared" si="310"/>
        <v>0</v>
      </c>
      <c r="J6224" s="7" t="str">
        <f t="shared" si="311"/>
        <v>PAGADO</v>
      </c>
    </row>
    <row r="6225" spans="1:12" x14ac:dyDescent="0.25">
      <c r="A6225" s="73">
        <v>46087</v>
      </c>
      <c r="C6225" s="9" t="s">
        <v>4650</v>
      </c>
      <c r="D6225" s="9" t="s">
        <v>5494</v>
      </c>
      <c r="F6225" s="6">
        <v>65</v>
      </c>
      <c r="G6225" s="6">
        <f t="shared" si="309"/>
        <v>65</v>
      </c>
      <c r="H6225" s="6">
        <v>65</v>
      </c>
      <c r="I6225" s="26">
        <f t="shared" si="310"/>
        <v>0</v>
      </c>
      <c r="J6225" s="7" t="str">
        <f t="shared" si="311"/>
        <v>PAGADO</v>
      </c>
    </row>
    <row r="6226" spans="1:12" x14ac:dyDescent="0.25">
      <c r="A6226" s="73">
        <v>46087</v>
      </c>
      <c r="C6226" t="s">
        <v>5873</v>
      </c>
      <c r="D6226" s="9" t="s">
        <v>5434</v>
      </c>
      <c r="F6226" s="6">
        <v>50</v>
      </c>
      <c r="G6226" s="6">
        <f t="shared" si="309"/>
        <v>50</v>
      </c>
      <c r="H6226" s="6">
        <v>50</v>
      </c>
      <c r="I6226" s="26">
        <f t="shared" si="310"/>
        <v>0</v>
      </c>
      <c r="J6226" s="7" t="str">
        <f t="shared" si="311"/>
        <v>PAGADO</v>
      </c>
    </row>
    <row r="6227" spans="1:12" x14ac:dyDescent="0.25">
      <c r="A6227" s="73">
        <v>46087</v>
      </c>
      <c r="C6227" t="s">
        <v>5874</v>
      </c>
      <c r="D6227" s="9" t="s">
        <v>5434</v>
      </c>
      <c r="F6227" s="6">
        <v>60</v>
      </c>
      <c r="G6227" s="6">
        <f t="shared" si="309"/>
        <v>60</v>
      </c>
      <c r="H6227" s="6">
        <v>60</v>
      </c>
      <c r="I6227" s="26">
        <f t="shared" si="310"/>
        <v>0</v>
      </c>
      <c r="J6227" s="7" t="str">
        <f t="shared" si="311"/>
        <v>PAGADO</v>
      </c>
    </row>
    <row r="6228" spans="1:12" x14ac:dyDescent="0.25">
      <c r="A6228" s="73">
        <v>46087</v>
      </c>
      <c r="C6228" t="s">
        <v>5875</v>
      </c>
      <c r="D6228" s="9" t="s">
        <v>5434</v>
      </c>
      <c r="F6228" s="6">
        <f>15+15+15+25+5+5+5</f>
        <v>85</v>
      </c>
      <c r="G6228" s="6">
        <f t="shared" si="309"/>
        <v>85</v>
      </c>
      <c r="H6228" s="6">
        <v>85</v>
      </c>
      <c r="I6228" s="26">
        <f t="shared" si="310"/>
        <v>0</v>
      </c>
      <c r="J6228" s="7" t="str">
        <f t="shared" si="311"/>
        <v>PAGADO</v>
      </c>
    </row>
    <row r="6229" spans="1:12" x14ac:dyDescent="0.25">
      <c r="A6229" s="73">
        <v>46088</v>
      </c>
      <c r="C6229" s="41" t="s">
        <v>3028</v>
      </c>
      <c r="D6229" s="41" t="s">
        <v>4587</v>
      </c>
      <c r="E6229" s="87"/>
      <c r="F6229" s="58">
        <v>120</v>
      </c>
      <c r="G6229" s="58">
        <f t="shared" si="309"/>
        <v>120</v>
      </c>
      <c r="H6229" s="58">
        <v>120</v>
      </c>
      <c r="I6229" s="58">
        <f t="shared" si="310"/>
        <v>0</v>
      </c>
      <c r="J6229" s="88" t="str">
        <f t="shared" si="311"/>
        <v>PAGADO</v>
      </c>
      <c r="K6229" s="41" t="s">
        <v>5876</v>
      </c>
      <c r="L6229" s="41"/>
    </row>
    <row r="6230" spans="1:12" x14ac:dyDescent="0.25">
      <c r="A6230" s="73">
        <v>46088</v>
      </c>
      <c r="C6230" s="119" t="s">
        <v>5877</v>
      </c>
      <c r="D6230" s="9" t="s">
        <v>1510</v>
      </c>
      <c r="F6230" s="6">
        <v>100</v>
      </c>
      <c r="G6230" s="6">
        <f t="shared" si="309"/>
        <v>100</v>
      </c>
      <c r="H6230" s="6">
        <v>100</v>
      </c>
      <c r="I6230" s="26">
        <f t="shared" si="310"/>
        <v>0</v>
      </c>
      <c r="J6230" s="7" t="str">
        <f t="shared" si="311"/>
        <v>PAGADO</v>
      </c>
      <c r="K6230" s="34" t="s">
        <v>2714</v>
      </c>
    </row>
    <row r="6231" spans="1:12" x14ac:dyDescent="0.25">
      <c r="A6231" s="73">
        <v>46088</v>
      </c>
      <c r="C6231" s="119" t="s">
        <v>5878</v>
      </c>
      <c r="D6231" s="9" t="s">
        <v>1510</v>
      </c>
      <c r="F6231" s="6">
        <f>65+65+60+60+60</f>
        <v>310</v>
      </c>
      <c r="G6231" s="6">
        <f t="shared" si="309"/>
        <v>310</v>
      </c>
      <c r="H6231" s="6">
        <v>155</v>
      </c>
      <c r="I6231" s="26">
        <f t="shared" si="310"/>
        <v>155</v>
      </c>
      <c r="J6231" s="7" t="str">
        <f t="shared" si="311"/>
        <v>DEBE</v>
      </c>
      <c r="K6231" s="34" t="s">
        <v>2754</v>
      </c>
    </row>
    <row r="6232" spans="1:12" x14ac:dyDescent="0.25">
      <c r="A6232" s="73">
        <v>46088</v>
      </c>
      <c r="C6232" s="9" t="s">
        <v>5879</v>
      </c>
      <c r="D6232" s="9" t="s">
        <v>488</v>
      </c>
      <c r="F6232" s="6">
        <v>60</v>
      </c>
      <c r="G6232" s="6">
        <f t="shared" si="309"/>
        <v>60</v>
      </c>
      <c r="H6232" s="6">
        <v>60</v>
      </c>
      <c r="I6232" s="26">
        <f t="shared" si="310"/>
        <v>0</v>
      </c>
      <c r="J6232" s="7" t="str">
        <f t="shared" si="311"/>
        <v>PAGADO</v>
      </c>
    </row>
    <row r="6233" spans="1:12" x14ac:dyDescent="0.25">
      <c r="A6233" s="73">
        <v>46088</v>
      </c>
      <c r="C6233" t="s">
        <v>4619</v>
      </c>
      <c r="D6233" t="s">
        <v>5794</v>
      </c>
      <c r="F6233" s="6">
        <v>90</v>
      </c>
      <c r="G6233" s="6">
        <f t="shared" si="309"/>
        <v>90</v>
      </c>
      <c r="H6233" s="6">
        <v>90</v>
      </c>
      <c r="I6233" s="26">
        <f t="shared" si="310"/>
        <v>0</v>
      </c>
      <c r="J6233" s="7" t="str">
        <f t="shared" si="311"/>
        <v>PAGADO</v>
      </c>
    </row>
    <row r="6234" spans="1:12" x14ac:dyDescent="0.25">
      <c r="A6234" s="73">
        <v>46088</v>
      </c>
      <c r="C6234" t="s">
        <v>5880</v>
      </c>
      <c r="D6234" s="9" t="s">
        <v>1606</v>
      </c>
      <c r="F6234" s="6">
        <v>50</v>
      </c>
      <c r="G6234" s="6">
        <f t="shared" si="309"/>
        <v>50</v>
      </c>
      <c r="H6234" s="6">
        <v>50</v>
      </c>
      <c r="I6234" s="26">
        <f t="shared" si="310"/>
        <v>0</v>
      </c>
      <c r="J6234" s="7" t="str">
        <f t="shared" si="311"/>
        <v>PAGADO</v>
      </c>
    </row>
    <row r="6235" spans="1:12" x14ac:dyDescent="0.25">
      <c r="A6235" s="73">
        <v>46089</v>
      </c>
      <c r="C6235" s="9" t="s">
        <v>5881</v>
      </c>
      <c r="D6235" s="9" t="s">
        <v>5539</v>
      </c>
      <c r="F6235" s="6">
        <v>110</v>
      </c>
      <c r="G6235" s="6">
        <f t="shared" si="309"/>
        <v>110</v>
      </c>
      <c r="H6235" s="6">
        <v>110</v>
      </c>
      <c r="I6235" s="26">
        <f t="shared" si="310"/>
        <v>0</v>
      </c>
      <c r="J6235" s="7" t="str">
        <f t="shared" si="311"/>
        <v>PAGADO</v>
      </c>
      <c r="K6235" s="9" t="s">
        <v>2714</v>
      </c>
    </row>
    <row r="6236" spans="1:12" x14ac:dyDescent="0.25">
      <c r="A6236" s="73">
        <v>46089</v>
      </c>
      <c r="C6236" t="s">
        <v>5882</v>
      </c>
      <c r="D6236" t="s">
        <v>3270</v>
      </c>
      <c r="F6236" s="6">
        <v>400</v>
      </c>
      <c r="G6236" s="6">
        <f t="shared" si="309"/>
        <v>400</v>
      </c>
      <c r="H6236" s="6">
        <v>400</v>
      </c>
      <c r="I6236" s="26">
        <f t="shared" si="310"/>
        <v>0</v>
      </c>
      <c r="J6236" s="7" t="str">
        <f t="shared" si="311"/>
        <v>PAGADO</v>
      </c>
    </row>
    <row r="6237" spans="1:12" x14ac:dyDescent="0.25">
      <c r="A6237" s="73">
        <v>46089</v>
      </c>
      <c r="C6237" t="s">
        <v>5883</v>
      </c>
      <c r="D6237" t="s">
        <v>3270</v>
      </c>
      <c r="F6237" s="6">
        <v>100</v>
      </c>
      <c r="G6237" s="6">
        <f t="shared" si="309"/>
        <v>100</v>
      </c>
      <c r="H6237" s="6">
        <v>100</v>
      </c>
      <c r="I6237" s="26">
        <f t="shared" si="310"/>
        <v>0</v>
      </c>
      <c r="J6237" s="7" t="str">
        <f t="shared" si="311"/>
        <v>PAGADO</v>
      </c>
    </row>
    <row r="6238" spans="1:12" x14ac:dyDescent="0.25">
      <c r="A6238" s="73">
        <v>46089</v>
      </c>
      <c r="C6238" t="s">
        <v>270</v>
      </c>
      <c r="D6238" t="s">
        <v>3270</v>
      </c>
      <c r="F6238" s="6">
        <v>120</v>
      </c>
      <c r="G6238" s="6">
        <f t="shared" si="309"/>
        <v>120</v>
      </c>
      <c r="H6238" s="6">
        <v>120</v>
      </c>
      <c r="I6238" s="26">
        <f t="shared" si="310"/>
        <v>0</v>
      </c>
      <c r="J6238" s="7" t="str">
        <f t="shared" si="311"/>
        <v>PAGADO</v>
      </c>
    </row>
    <row r="6239" spans="1:12" x14ac:dyDescent="0.25">
      <c r="A6239" s="73">
        <v>46089</v>
      </c>
      <c r="C6239" t="s">
        <v>2445</v>
      </c>
      <c r="D6239" t="s">
        <v>3270</v>
      </c>
      <c r="F6239" s="6">
        <v>45</v>
      </c>
      <c r="G6239" s="6">
        <f t="shared" si="309"/>
        <v>45</v>
      </c>
      <c r="H6239" s="6">
        <v>45</v>
      </c>
      <c r="I6239" s="26">
        <f t="shared" si="310"/>
        <v>0</v>
      </c>
      <c r="J6239" s="7" t="str">
        <f t="shared" si="311"/>
        <v>PAGADO</v>
      </c>
    </row>
    <row r="6240" spans="1:12" x14ac:dyDescent="0.25">
      <c r="A6240" s="73">
        <v>46089</v>
      </c>
      <c r="C6240" s="9" t="s">
        <v>1391</v>
      </c>
      <c r="D6240" s="98" t="s">
        <v>2153</v>
      </c>
      <c r="E6240" s="99"/>
      <c r="F6240" s="101">
        <v>60</v>
      </c>
      <c r="G6240" s="101">
        <f t="shared" si="309"/>
        <v>60</v>
      </c>
      <c r="H6240" s="101">
        <v>60</v>
      </c>
      <c r="I6240" s="100">
        <f t="shared" si="310"/>
        <v>0</v>
      </c>
      <c r="J6240" s="7" t="str">
        <f t="shared" si="311"/>
        <v>PAGADO</v>
      </c>
      <c r="K6240" s="33" t="s">
        <v>4406</v>
      </c>
    </row>
    <row r="6241" spans="1:11" x14ac:dyDescent="0.25">
      <c r="A6241" s="73">
        <v>46088</v>
      </c>
      <c r="C6241" t="s">
        <v>5884</v>
      </c>
      <c r="D6241" s="9" t="s">
        <v>3449</v>
      </c>
      <c r="F6241" s="6">
        <v>90</v>
      </c>
      <c r="G6241" s="6">
        <f t="shared" si="309"/>
        <v>90</v>
      </c>
      <c r="H6241" s="6">
        <f>45+45</f>
        <v>90</v>
      </c>
      <c r="I6241" s="26">
        <f t="shared" si="310"/>
        <v>0</v>
      </c>
      <c r="J6241" s="7" t="str">
        <f t="shared" si="311"/>
        <v>PAGADO</v>
      </c>
    </row>
    <row r="6242" spans="1:11" x14ac:dyDescent="0.25">
      <c r="A6242" s="73">
        <v>46089</v>
      </c>
      <c r="C6242" t="s">
        <v>5885</v>
      </c>
      <c r="D6242" s="9" t="s">
        <v>5886</v>
      </c>
      <c r="F6242" s="6">
        <v>70</v>
      </c>
      <c r="G6242" s="6">
        <f t="shared" si="309"/>
        <v>70</v>
      </c>
      <c r="H6242" s="6">
        <v>70</v>
      </c>
      <c r="I6242" s="26">
        <f t="shared" si="310"/>
        <v>0</v>
      </c>
      <c r="J6242" s="7" t="str">
        <f t="shared" si="311"/>
        <v>PAGADO</v>
      </c>
    </row>
    <row r="6243" spans="1:11" x14ac:dyDescent="0.25">
      <c r="A6243" s="73">
        <v>46089</v>
      </c>
      <c r="C6243" t="s">
        <v>5887</v>
      </c>
      <c r="D6243" s="9" t="s">
        <v>5886</v>
      </c>
      <c r="F6243" s="6">
        <v>50</v>
      </c>
      <c r="G6243" s="6">
        <f t="shared" si="309"/>
        <v>50</v>
      </c>
      <c r="H6243" s="6">
        <v>50</v>
      </c>
      <c r="I6243" s="26">
        <f t="shared" si="310"/>
        <v>0</v>
      </c>
      <c r="J6243" s="7" t="str">
        <f t="shared" si="311"/>
        <v>PAGADO</v>
      </c>
    </row>
    <row r="6244" spans="1:11" x14ac:dyDescent="0.25">
      <c r="A6244" s="73">
        <v>46089</v>
      </c>
      <c r="C6244" t="s">
        <v>5888</v>
      </c>
      <c r="D6244" s="9" t="s">
        <v>5886</v>
      </c>
      <c r="F6244" s="6">
        <v>50</v>
      </c>
      <c r="G6244" s="6">
        <f t="shared" si="309"/>
        <v>50</v>
      </c>
      <c r="H6244" s="6">
        <v>50</v>
      </c>
      <c r="I6244" s="26">
        <f t="shared" si="310"/>
        <v>0</v>
      </c>
      <c r="J6244" s="7" t="str">
        <f t="shared" si="311"/>
        <v>PAGADO</v>
      </c>
    </row>
    <row r="6245" spans="1:11" x14ac:dyDescent="0.25">
      <c r="A6245" s="73">
        <v>46089</v>
      </c>
      <c r="C6245" t="s">
        <v>5889</v>
      </c>
      <c r="D6245" s="9" t="s">
        <v>2363</v>
      </c>
      <c r="F6245" s="6">
        <v>110</v>
      </c>
      <c r="G6245" s="6">
        <f t="shared" si="309"/>
        <v>110</v>
      </c>
      <c r="H6245" s="6">
        <v>110</v>
      </c>
      <c r="I6245" s="26">
        <f t="shared" si="310"/>
        <v>0</v>
      </c>
      <c r="J6245" s="7" t="str">
        <f t="shared" si="311"/>
        <v>PAGADO</v>
      </c>
      <c r="K6245" s="33" t="s">
        <v>693</v>
      </c>
    </row>
    <row r="6246" spans="1:11" x14ac:dyDescent="0.25">
      <c r="A6246" s="73">
        <v>46089</v>
      </c>
      <c r="C6246" s="9" t="s">
        <v>5890</v>
      </c>
      <c r="D6246" s="9" t="s">
        <v>3012</v>
      </c>
      <c r="F6246" s="6">
        <v>720</v>
      </c>
      <c r="G6246" s="6">
        <f t="shared" si="309"/>
        <v>720</v>
      </c>
      <c r="H6246" s="6">
        <v>720</v>
      </c>
      <c r="I6246" s="26">
        <f t="shared" si="310"/>
        <v>0</v>
      </c>
      <c r="J6246" s="7" t="str">
        <f t="shared" si="311"/>
        <v>PAGADO</v>
      </c>
    </row>
    <row r="6247" spans="1:11" x14ac:dyDescent="0.25">
      <c r="A6247" s="73">
        <v>46090</v>
      </c>
      <c r="C6247" s="9" t="s">
        <v>5891</v>
      </c>
      <c r="D6247" s="9" t="s">
        <v>5892</v>
      </c>
      <c r="F6247" s="6">
        <v>65</v>
      </c>
      <c r="G6247" s="6">
        <f t="shared" si="309"/>
        <v>65</v>
      </c>
      <c r="H6247" s="6">
        <v>65</v>
      </c>
      <c r="I6247" s="26">
        <f t="shared" si="310"/>
        <v>0</v>
      </c>
      <c r="J6247" s="7" t="str">
        <f t="shared" si="311"/>
        <v>PAGADO</v>
      </c>
    </row>
    <row r="6248" spans="1:11" x14ac:dyDescent="0.25">
      <c r="A6248" s="73">
        <v>46090</v>
      </c>
      <c r="C6248" s="9" t="s">
        <v>909</v>
      </c>
      <c r="D6248" s="9" t="s">
        <v>5892</v>
      </c>
      <c r="F6248" s="6">
        <v>80</v>
      </c>
      <c r="G6248" s="6">
        <f t="shared" si="309"/>
        <v>80</v>
      </c>
      <c r="H6248" s="6">
        <v>80</v>
      </c>
      <c r="I6248" s="26">
        <f t="shared" si="310"/>
        <v>0</v>
      </c>
      <c r="J6248" s="7" t="str">
        <f t="shared" si="311"/>
        <v>PAGADO</v>
      </c>
    </row>
    <row r="6249" spans="1:11" x14ac:dyDescent="0.25">
      <c r="A6249" s="73">
        <v>46089</v>
      </c>
      <c r="C6249" t="s">
        <v>5893</v>
      </c>
      <c r="D6249" s="9" t="s">
        <v>5886</v>
      </c>
      <c r="F6249" s="6">
        <v>70</v>
      </c>
      <c r="G6249" s="6">
        <f t="shared" si="309"/>
        <v>70</v>
      </c>
      <c r="H6249" s="6">
        <v>70</v>
      </c>
      <c r="I6249" s="26">
        <f t="shared" si="310"/>
        <v>0</v>
      </c>
      <c r="J6249" s="7" t="str">
        <f t="shared" si="311"/>
        <v>PAGADO</v>
      </c>
    </row>
    <row r="6250" spans="1:11" x14ac:dyDescent="0.25">
      <c r="A6250" s="73">
        <v>46089</v>
      </c>
      <c r="C6250" t="s">
        <v>5894</v>
      </c>
      <c r="D6250" s="9" t="s">
        <v>5886</v>
      </c>
      <c r="F6250" s="6">
        <v>60</v>
      </c>
      <c r="G6250" s="6">
        <f t="shared" si="309"/>
        <v>60</v>
      </c>
      <c r="H6250" s="6">
        <v>60</v>
      </c>
      <c r="I6250" s="26">
        <f t="shared" si="310"/>
        <v>0</v>
      </c>
      <c r="J6250" s="7" t="str">
        <f t="shared" si="311"/>
        <v>PAGADO</v>
      </c>
    </row>
    <row r="6251" spans="1:11" x14ac:dyDescent="0.25">
      <c r="A6251" s="73">
        <v>46089</v>
      </c>
      <c r="C6251" t="s">
        <v>1651</v>
      </c>
      <c r="D6251" s="9" t="s">
        <v>5886</v>
      </c>
      <c r="F6251" s="6">
        <v>60</v>
      </c>
      <c r="G6251" s="6">
        <f t="shared" si="309"/>
        <v>60</v>
      </c>
      <c r="H6251" s="6">
        <v>60</v>
      </c>
      <c r="I6251" s="26">
        <f t="shared" si="310"/>
        <v>0</v>
      </c>
      <c r="J6251" s="7" t="str">
        <f t="shared" si="311"/>
        <v>PAGADO</v>
      </c>
    </row>
    <row r="6252" spans="1:11" x14ac:dyDescent="0.25">
      <c r="A6252" s="73">
        <v>46090</v>
      </c>
      <c r="C6252" t="s">
        <v>5895</v>
      </c>
      <c r="D6252" s="9" t="s">
        <v>3449</v>
      </c>
      <c r="F6252" s="6">
        <v>90</v>
      </c>
      <c r="G6252" s="6">
        <f t="shared" si="309"/>
        <v>90</v>
      </c>
      <c r="H6252" s="6">
        <f>45+45</f>
        <v>90</v>
      </c>
      <c r="I6252" s="26">
        <f t="shared" si="310"/>
        <v>0</v>
      </c>
      <c r="J6252" s="7" t="str">
        <f t="shared" si="311"/>
        <v>PAGADO</v>
      </c>
    </row>
    <row r="6253" spans="1:11" x14ac:dyDescent="0.25">
      <c r="A6253" s="73">
        <v>46090</v>
      </c>
      <c r="C6253" s="9" t="s">
        <v>5896</v>
      </c>
      <c r="D6253" s="9" t="s">
        <v>3006</v>
      </c>
      <c r="F6253" s="6">
        <v>230</v>
      </c>
      <c r="G6253" s="6">
        <f t="shared" si="309"/>
        <v>230</v>
      </c>
      <c r="H6253" s="6">
        <v>20</v>
      </c>
      <c r="I6253" s="26">
        <f t="shared" si="310"/>
        <v>210</v>
      </c>
      <c r="J6253" s="7" t="str">
        <f t="shared" si="311"/>
        <v>DEBE</v>
      </c>
      <c r="K6253" t="s">
        <v>5897</v>
      </c>
    </row>
    <row r="6254" spans="1:11" x14ac:dyDescent="0.25">
      <c r="A6254" s="73">
        <v>46090</v>
      </c>
      <c r="C6254" s="9" t="s">
        <v>2168</v>
      </c>
      <c r="D6254" s="9" t="s">
        <v>5771</v>
      </c>
      <c r="F6254" s="6">
        <v>70</v>
      </c>
      <c r="G6254" s="6">
        <f t="shared" si="309"/>
        <v>70</v>
      </c>
      <c r="H6254" s="6">
        <v>70</v>
      </c>
      <c r="I6254" s="26">
        <f t="shared" si="310"/>
        <v>0</v>
      </c>
      <c r="J6254" s="7" t="str">
        <f t="shared" si="311"/>
        <v>PAGADO</v>
      </c>
    </row>
    <row r="6255" spans="1:11" x14ac:dyDescent="0.25">
      <c r="A6255" s="73">
        <v>46090</v>
      </c>
      <c r="C6255" s="9" t="s">
        <v>5898</v>
      </c>
      <c r="D6255" s="9" t="s">
        <v>18</v>
      </c>
      <c r="F6255" s="6">
        <v>290</v>
      </c>
      <c r="G6255" s="101">
        <f t="shared" si="309"/>
        <v>290</v>
      </c>
      <c r="H6255" s="6">
        <f>90+100+100</f>
        <v>290</v>
      </c>
      <c r="I6255" s="26">
        <f t="shared" si="310"/>
        <v>0</v>
      </c>
      <c r="J6255" s="7" t="str">
        <f t="shared" si="311"/>
        <v>PAGADO</v>
      </c>
    </row>
    <row r="6256" spans="1:11" x14ac:dyDescent="0.25">
      <c r="A6256" s="73">
        <v>46090</v>
      </c>
      <c r="C6256" s="9" t="s">
        <v>5793</v>
      </c>
      <c r="D6256" s="9" t="s">
        <v>2105</v>
      </c>
      <c r="F6256" s="6">
        <v>75</v>
      </c>
      <c r="G6256" s="6">
        <f t="shared" si="309"/>
        <v>75</v>
      </c>
      <c r="H6256" s="6">
        <v>75</v>
      </c>
      <c r="I6256" s="26">
        <f t="shared" si="310"/>
        <v>0</v>
      </c>
      <c r="J6256" s="7" t="str">
        <f t="shared" si="311"/>
        <v>PAGADO</v>
      </c>
    </row>
    <row r="6257" spans="1:13" x14ac:dyDescent="0.25">
      <c r="A6257" s="73">
        <v>46090</v>
      </c>
      <c r="C6257" t="s">
        <v>4507</v>
      </c>
      <c r="D6257" s="9" t="s">
        <v>5805</v>
      </c>
      <c r="F6257" s="6">
        <v>80</v>
      </c>
      <c r="G6257" s="6">
        <f t="shared" si="309"/>
        <v>80</v>
      </c>
      <c r="H6257" s="6">
        <v>80</v>
      </c>
      <c r="I6257" s="26">
        <f t="shared" si="310"/>
        <v>0</v>
      </c>
      <c r="J6257" s="7" t="str">
        <f t="shared" si="311"/>
        <v>PAGADO</v>
      </c>
    </row>
    <row r="6258" spans="1:13" x14ac:dyDescent="0.25">
      <c r="A6258" s="73">
        <v>46090</v>
      </c>
      <c r="C6258" t="s">
        <v>5899</v>
      </c>
      <c r="D6258" s="9" t="s">
        <v>5900</v>
      </c>
      <c r="F6258" s="6">
        <v>60</v>
      </c>
      <c r="G6258" s="6">
        <f t="shared" si="309"/>
        <v>60</v>
      </c>
      <c r="H6258" s="6">
        <v>60</v>
      </c>
      <c r="I6258" s="26">
        <f t="shared" si="310"/>
        <v>0</v>
      </c>
      <c r="J6258" s="7" t="str">
        <f t="shared" si="311"/>
        <v>PAGADO</v>
      </c>
    </row>
    <row r="6259" spans="1:13" x14ac:dyDescent="0.25">
      <c r="A6259" s="73">
        <v>46091</v>
      </c>
      <c r="C6259" s="9" t="s">
        <v>5901</v>
      </c>
      <c r="D6259" s="9" t="s">
        <v>3591</v>
      </c>
      <c r="F6259" s="6">
        <v>70</v>
      </c>
      <c r="G6259" s="6">
        <f t="shared" si="309"/>
        <v>70</v>
      </c>
      <c r="H6259" s="6">
        <v>70</v>
      </c>
      <c r="I6259" s="26">
        <f t="shared" si="310"/>
        <v>0</v>
      </c>
      <c r="J6259" s="7" t="str">
        <f t="shared" si="311"/>
        <v>PAGADO</v>
      </c>
    </row>
    <row r="6260" spans="1:13" x14ac:dyDescent="0.25">
      <c r="A6260" s="73">
        <v>46091</v>
      </c>
      <c r="C6260" s="9" t="s">
        <v>5902</v>
      </c>
      <c r="D6260" s="9" t="s">
        <v>3591</v>
      </c>
      <c r="F6260" s="6">
        <v>40</v>
      </c>
      <c r="G6260" s="6">
        <f t="shared" si="309"/>
        <v>40</v>
      </c>
      <c r="H6260" s="6">
        <v>40</v>
      </c>
      <c r="I6260" s="26">
        <f t="shared" si="310"/>
        <v>0</v>
      </c>
      <c r="J6260" s="7" t="str">
        <f t="shared" si="311"/>
        <v>PAGADO</v>
      </c>
    </row>
    <row r="6261" spans="1:13" x14ac:dyDescent="0.25">
      <c r="A6261" s="73">
        <v>46091</v>
      </c>
      <c r="C6261" t="s">
        <v>5903</v>
      </c>
      <c r="D6261" s="9" t="s">
        <v>4590</v>
      </c>
      <c r="F6261" s="6">
        <v>50</v>
      </c>
      <c r="G6261" s="6">
        <f t="shared" si="309"/>
        <v>50</v>
      </c>
      <c r="H6261" s="6">
        <v>50</v>
      </c>
      <c r="I6261" s="26">
        <f t="shared" si="310"/>
        <v>0</v>
      </c>
      <c r="J6261" s="7" t="str">
        <f t="shared" si="311"/>
        <v>PAGADO</v>
      </c>
    </row>
    <row r="6262" spans="1:13" x14ac:dyDescent="0.25">
      <c r="A6262" s="73">
        <v>46091</v>
      </c>
      <c r="C6262" t="s">
        <v>5904</v>
      </c>
      <c r="D6262" s="9" t="s">
        <v>5905</v>
      </c>
      <c r="F6262" s="6">
        <v>65</v>
      </c>
      <c r="G6262" s="6">
        <f t="shared" si="309"/>
        <v>65</v>
      </c>
      <c r="H6262" s="6">
        <v>65</v>
      </c>
      <c r="I6262" s="26">
        <f t="shared" si="310"/>
        <v>0</v>
      </c>
      <c r="J6262" s="7" t="str">
        <f t="shared" si="311"/>
        <v>PAGADO</v>
      </c>
    </row>
    <row r="6263" spans="1:13" x14ac:dyDescent="0.25">
      <c r="A6263" s="73">
        <v>46091</v>
      </c>
      <c r="C6263" t="s">
        <v>5906</v>
      </c>
      <c r="D6263" s="9" t="s">
        <v>4839</v>
      </c>
      <c r="F6263" s="6">
        <v>180</v>
      </c>
      <c r="G6263" s="6">
        <f t="shared" si="309"/>
        <v>180</v>
      </c>
      <c r="H6263" s="6">
        <v>180</v>
      </c>
      <c r="I6263" s="26">
        <f t="shared" si="310"/>
        <v>0</v>
      </c>
      <c r="J6263" s="7" t="str">
        <f t="shared" si="311"/>
        <v>PAGADO</v>
      </c>
      <c r="K6263" t="s">
        <v>5907</v>
      </c>
    </row>
    <row r="6264" spans="1:13" x14ac:dyDescent="0.25">
      <c r="A6264" s="73">
        <v>46091</v>
      </c>
      <c r="C6264" s="9" t="s">
        <v>5908</v>
      </c>
      <c r="D6264" s="9" t="s">
        <v>680</v>
      </c>
      <c r="F6264" s="6">
        <v>40</v>
      </c>
      <c r="G6264" s="6">
        <f t="shared" si="309"/>
        <v>40</v>
      </c>
      <c r="H6264" s="6">
        <v>40</v>
      </c>
      <c r="I6264" s="26">
        <f t="shared" si="310"/>
        <v>0</v>
      </c>
      <c r="J6264" s="7" t="str">
        <f t="shared" si="311"/>
        <v>PAGADO</v>
      </c>
    </row>
    <row r="6265" spans="1:13" x14ac:dyDescent="0.25">
      <c r="A6265" s="73">
        <v>46091</v>
      </c>
      <c r="C6265" s="119" t="s">
        <v>5564</v>
      </c>
      <c r="D6265" s="98" t="s">
        <v>4665</v>
      </c>
      <c r="E6265" s="99"/>
      <c r="F6265" s="101">
        <v>200</v>
      </c>
      <c r="G6265" s="101">
        <f t="shared" si="309"/>
        <v>200</v>
      </c>
      <c r="H6265" s="101">
        <v>100</v>
      </c>
      <c r="I6265" s="100">
        <f t="shared" si="310"/>
        <v>100</v>
      </c>
      <c r="J6265" s="7" t="str">
        <f t="shared" si="311"/>
        <v>DEBE</v>
      </c>
      <c r="K6265" s="34" t="s">
        <v>2754</v>
      </c>
    </row>
    <row r="6266" spans="1:13" x14ac:dyDescent="0.25">
      <c r="A6266" s="73">
        <v>46092</v>
      </c>
      <c r="C6266" t="s">
        <v>2681</v>
      </c>
      <c r="D6266" s="9" t="s">
        <v>4719</v>
      </c>
      <c r="F6266" s="6">
        <v>60</v>
      </c>
      <c r="G6266" s="6">
        <f t="shared" si="309"/>
        <v>60</v>
      </c>
      <c r="H6266" s="6">
        <v>60</v>
      </c>
      <c r="I6266" s="26">
        <f t="shared" si="310"/>
        <v>0</v>
      </c>
      <c r="J6266" s="7" t="str">
        <f t="shared" si="311"/>
        <v>PAGADO</v>
      </c>
    </row>
    <row r="6267" spans="1:13" x14ac:dyDescent="0.25">
      <c r="A6267" s="73">
        <v>46092</v>
      </c>
      <c r="C6267" s="9" t="s">
        <v>5909</v>
      </c>
      <c r="D6267" s="9" t="s">
        <v>3865</v>
      </c>
      <c r="F6267" s="6">
        <v>150</v>
      </c>
      <c r="G6267" s="6">
        <f t="shared" si="309"/>
        <v>150</v>
      </c>
      <c r="H6267" s="6">
        <f>20+30</f>
        <v>50</v>
      </c>
      <c r="I6267" s="26">
        <f t="shared" si="310"/>
        <v>100</v>
      </c>
      <c r="J6267" s="7" t="str">
        <f t="shared" si="311"/>
        <v>DEBE</v>
      </c>
      <c r="K6267" t="s">
        <v>2754</v>
      </c>
      <c r="M6267" s="82" t="s">
        <v>5910</v>
      </c>
    </row>
    <row r="6268" spans="1:13" x14ac:dyDescent="0.25">
      <c r="A6268" s="73">
        <v>46092</v>
      </c>
      <c r="C6268" t="s">
        <v>4515</v>
      </c>
      <c r="D6268" t="s">
        <v>5911</v>
      </c>
      <c r="F6268" s="6">
        <v>65</v>
      </c>
      <c r="G6268" s="6">
        <f t="shared" si="309"/>
        <v>65</v>
      </c>
      <c r="H6268" s="6">
        <v>65</v>
      </c>
      <c r="I6268" s="26">
        <f t="shared" si="310"/>
        <v>0</v>
      </c>
      <c r="J6268" s="7" t="str">
        <f t="shared" si="311"/>
        <v>PAGADO</v>
      </c>
    </row>
    <row r="6269" spans="1:13" x14ac:dyDescent="0.25">
      <c r="A6269" s="73">
        <v>46092</v>
      </c>
      <c r="C6269" t="s">
        <v>4699</v>
      </c>
      <c r="D6269" t="s">
        <v>5223</v>
      </c>
      <c r="F6269" s="6">
        <v>90</v>
      </c>
      <c r="G6269" s="6">
        <f t="shared" si="309"/>
        <v>90</v>
      </c>
      <c r="H6269" s="6">
        <v>90</v>
      </c>
      <c r="I6269" s="26">
        <f t="shared" si="310"/>
        <v>0</v>
      </c>
      <c r="J6269" s="7" t="str">
        <f t="shared" si="311"/>
        <v>PAGADO</v>
      </c>
    </row>
    <row r="6270" spans="1:13" x14ac:dyDescent="0.25">
      <c r="A6270" s="73">
        <v>46092</v>
      </c>
      <c r="C6270" t="s">
        <v>5912</v>
      </c>
      <c r="D6270" t="s">
        <v>5913</v>
      </c>
      <c r="F6270" s="6">
        <v>70</v>
      </c>
      <c r="G6270" s="6">
        <f t="shared" ref="G6270:G6333" si="312">F6270-E6270</f>
        <v>70</v>
      </c>
      <c r="H6270" s="6">
        <v>70</v>
      </c>
      <c r="I6270" s="26">
        <f t="shared" si="310"/>
        <v>0</v>
      </c>
      <c r="J6270" s="7" t="str">
        <f t="shared" si="311"/>
        <v>PAGADO</v>
      </c>
    </row>
    <row r="6271" spans="1:13" x14ac:dyDescent="0.25">
      <c r="A6271" s="73">
        <v>46092</v>
      </c>
      <c r="C6271" t="s">
        <v>5914</v>
      </c>
      <c r="D6271" t="s">
        <v>5915</v>
      </c>
      <c r="F6271" s="6">
        <v>250</v>
      </c>
      <c r="G6271" s="6">
        <f t="shared" si="312"/>
        <v>250</v>
      </c>
      <c r="H6271" s="6">
        <v>250</v>
      </c>
      <c r="I6271" s="26">
        <f t="shared" si="310"/>
        <v>0</v>
      </c>
      <c r="J6271" s="7" t="str">
        <f t="shared" si="311"/>
        <v>PAGADO</v>
      </c>
    </row>
    <row r="6272" spans="1:13" x14ac:dyDescent="0.25">
      <c r="A6272" s="73">
        <v>46092</v>
      </c>
      <c r="C6272" t="s">
        <v>4764</v>
      </c>
      <c r="D6272" t="s">
        <v>5916</v>
      </c>
      <c r="F6272" s="6">
        <v>90</v>
      </c>
      <c r="G6272" s="6">
        <f t="shared" si="312"/>
        <v>90</v>
      </c>
      <c r="H6272" s="6">
        <v>90</v>
      </c>
      <c r="I6272" s="26">
        <f t="shared" si="310"/>
        <v>0</v>
      </c>
      <c r="J6272" s="7" t="str">
        <f t="shared" si="311"/>
        <v>PAGADO</v>
      </c>
    </row>
    <row r="6273" spans="1:11" x14ac:dyDescent="0.25">
      <c r="A6273" s="73">
        <v>46092</v>
      </c>
      <c r="C6273" t="s">
        <v>5917</v>
      </c>
      <c r="D6273" s="9" t="s">
        <v>2213</v>
      </c>
      <c r="F6273" s="6">
        <v>80</v>
      </c>
      <c r="G6273" s="6">
        <f t="shared" si="312"/>
        <v>80</v>
      </c>
      <c r="H6273" s="6">
        <v>80</v>
      </c>
      <c r="I6273" s="26">
        <f t="shared" si="310"/>
        <v>0</v>
      </c>
      <c r="J6273" s="7" t="str">
        <f t="shared" si="311"/>
        <v>PAGADO</v>
      </c>
    </row>
    <row r="6274" spans="1:11" x14ac:dyDescent="0.25">
      <c r="A6274" s="73">
        <v>46092</v>
      </c>
      <c r="C6274" t="s">
        <v>5918</v>
      </c>
      <c r="D6274" s="9" t="s">
        <v>2213</v>
      </c>
      <c r="F6274" s="6">
        <v>60</v>
      </c>
      <c r="G6274" s="6">
        <f t="shared" si="312"/>
        <v>60</v>
      </c>
      <c r="H6274" s="6">
        <v>60</v>
      </c>
      <c r="I6274" s="26">
        <f t="shared" si="310"/>
        <v>0</v>
      </c>
      <c r="J6274" s="7" t="str">
        <f t="shared" si="311"/>
        <v>PAGADO</v>
      </c>
    </row>
    <row r="6275" spans="1:11" x14ac:dyDescent="0.25">
      <c r="A6275" s="73">
        <v>46092</v>
      </c>
      <c r="C6275" t="s">
        <v>5919</v>
      </c>
      <c r="D6275" s="9" t="s">
        <v>2213</v>
      </c>
      <c r="F6275" s="6">
        <v>60</v>
      </c>
      <c r="G6275" s="6">
        <f t="shared" si="312"/>
        <v>60</v>
      </c>
      <c r="H6275" s="6">
        <v>60</v>
      </c>
      <c r="I6275" s="26">
        <f t="shared" si="310"/>
        <v>0</v>
      </c>
      <c r="J6275" s="7" t="str">
        <f t="shared" si="311"/>
        <v>PAGADO</v>
      </c>
    </row>
    <row r="6276" spans="1:11" x14ac:dyDescent="0.25">
      <c r="A6276" s="73">
        <v>46092</v>
      </c>
      <c r="C6276" t="s">
        <v>5920</v>
      </c>
      <c r="D6276" s="9" t="s">
        <v>2213</v>
      </c>
      <c r="F6276" s="6">
        <v>70</v>
      </c>
      <c r="G6276" s="6">
        <f t="shared" si="312"/>
        <v>70</v>
      </c>
      <c r="H6276" s="6">
        <v>70</v>
      </c>
      <c r="I6276" s="26">
        <f t="shared" si="310"/>
        <v>0</v>
      </c>
      <c r="J6276" s="7" t="str">
        <f t="shared" si="311"/>
        <v>PAGADO</v>
      </c>
    </row>
    <row r="6277" spans="1:11" x14ac:dyDescent="0.25">
      <c r="A6277" s="73">
        <v>46092</v>
      </c>
      <c r="C6277" t="s">
        <v>5921</v>
      </c>
      <c r="D6277" s="9" t="s">
        <v>2213</v>
      </c>
      <c r="F6277" s="6">
        <v>75</v>
      </c>
      <c r="G6277" s="6">
        <f t="shared" si="312"/>
        <v>75</v>
      </c>
      <c r="H6277" s="6">
        <v>75</v>
      </c>
      <c r="I6277" s="26">
        <f t="shared" si="310"/>
        <v>0</v>
      </c>
      <c r="J6277" s="7" t="str">
        <f t="shared" si="311"/>
        <v>PAGADO</v>
      </c>
    </row>
    <row r="6278" spans="1:11" x14ac:dyDescent="0.25">
      <c r="A6278" s="73">
        <v>46092</v>
      </c>
      <c r="C6278" t="s">
        <v>5921</v>
      </c>
      <c r="D6278" s="9" t="s">
        <v>2213</v>
      </c>
      <c r="F6278" s="6">
        <v>75</v>
      </c>
      <c r="G6278" s="6">
        <f t="shared" si="312"/>
        <v>75</v>
      </c>
      <c r="H6278" s="6">
        <v>75</v>
      </c>
      <c r="I6278" s="26">
        <f t="shared" si="310"/>
        <v>0</v>
      </c>
      <c r="J6278" s="7" t="str">
        <f t="shared" si="311"/>
        <v>PAGADO</v>
      </c>
    </row>
    <row r="6279" spans="1:11" x14ac:dyDescent="0.25">
      <c r="A6279" s="73">
        <v>46092</v>
      </c>
      <c r="C6279" t="s">
        <v>5922</v>
      </c>
      <c r="D6279" s="9" t="s">
        <v>2213</v>
      </c>
      <c r="F6279" s="6">
        <v>40</v>
      </c>
      <c r="G6279" s="6">
        <f t="shared" si="312"/>
        <v>40</v>
      </c>
      <c r="H6279" s="6">
        <v>40</v>
      </c>
      <c r="I6279" s="26">
        <f t="shared" si="310"/>
        <v>0</v>
      </c>
      <c r="J6279" s="7" t="str">
        <f t="shared" si="311"/>
        <v>PAGADO</v>
      </c>
    </row>
    <row r="6280" spans="1:11" x14ac:dyDescent="0.25">
      <c r="A6280" s="73">
        <v>46092</v>
      </c>
      <c r="C6280" t="s">
        <v>5922</v>
      </c>
      <c r="D6280" s="9" t="s">
        <v>2213</v>
      </c>
      <c r="F6280" s="6">
        <v>40</v>
      </c>
      <c r="G6280" s="6">
        <f t="shared" si="312"/>
        <v>40</v>
      </c>
      <c r="H6280" s="6">
        <v>40</v>
      </c>
      <c r="I6280" s="26">
        <f t="shared" si="310"/>
        <v>0</v>
      </c>
      <c r="J6280" s="7" t="str">
        <f t="shared" si="311"/>
        <v>PAGADO</v>
      </c>
    </row>
    <row r="6281" spans="1:11" x14ac:dyDescent="0.25">
      <c r="A6281" s="73">
        <v>46094</v>
      </c>
      <c r="C6281" s="9" t="s">
        <v>5923</v>
      </c>
      <c r="D6281" s="9" t="s">
        <v>3352</v>
      </c>
      <c r="F6281" s="6">
        <v>65</v>
      </c>
      <c r="G6281" s="6">
        <f t="shared" si="312"/>
        <v>65</v>
      </c>
      <c r="H6281" s="24">
        <v>65</v>
      </c>
      <c r="I6281" s="26">
        <f t="shared" si="310"/>
        <v>0</v>
      </c>
      <c r="J6281" s="7" t="str">
        <f t="shared" si="311"/>
        <v>PAGADO</v>
      </c>
    </row>
    <row r="6282" spans="1:11" x14ac:dyDescent="0.25">
      <c r="A6282" s="73">
        <v>46094</v>
      </c>
      <c r="C6282" s="119" t="s">
        <v>5924</v>
      </c>
      <c r="D6282" s="9" t="s">
        <v>5145</v>
      </c>
      <c r="F6282" s="6">
        <v>100</v>
      </c>
      <c r="G6282" s="6">
        <f t="shared" si="312"/>
        <v>100</v>
      </c>
      <c r="H6282" s="6">
        <v>100</v>
      </c>
      <c r="I6282" s="26">
        <f t="shared" si="310"/>
        <v>0</v>
      </c>
      <c r="J6282" s="7" t="str">
        <f t="shared" si="311"/>
        <v>PAGADO</v>
      </c>
      <c r="K6282" s="28" t="s">
        <v>2714</v>
      </c>
    </row>
    <row r="6283" spans="1:11" x14ac:dyDescent="0.25">
      <c r="A6283" s="73">
        <v>46094</v>
      </c>
      <c r="C6283" t="s">
        <v>5925</v>
      </c>
      <c r="D6283" s="9" t="s">
        <v>4590</v>
      </c>
      <c r="F6283" s="6">
        <v>50</v>
      </c>
      <c r="G6283" s="6">
        <f t="shared" si="312"/>
        <v>50</v>
      </c>
      <c r="H6283" s="6">
        <v>50</v>
      </c>
      <c r="I6283" s="26">
        <f t="shared" ref="I6283:I6346" si="313">F6283-H6283</f>
        <v>0</v>
      </c>
      <c r="J6283" s="7" t="str">
        <f t="shared" si="311"/>
        <v>PAGADO</v>
      </c>
    </row>
    <row r="6284" spans="1:11" x14ac:dyDescent="0.25">
      <c r="A6284" s="73">
        <v>46094</v>
      </c>
      <c r="C6284" t="s">
        <v>5926</v>
      </c>
      <c r="D6284" s="9" t="s">
        <v>2213</v>
      </c>
      <c r="F6284" s="6">
        <v>150</v>
      </c>
      <c r="G6284" s="6">
        <f t="shared" si="312"/>
        <v>150</v>
      </c>
      <c r="H6284" s="6">
        <v>150</v>
      </c>
      <c r="I6284" s="26">
        <f t="shared" si="313"/>
        <v>0</v>
      </c>
      <c r="J6284" s="7" t="str">
        <f t="shared" si="311"/>
        <v>PAGADO</v>
      </c>
    </row>
    <row r="6285" spans="1:11" x14ac:dyDescent="0.25">
      <c r="A6285" s="73">
        <v>46094</v>
      </c>
      <c r="C6285" t="s">
        <v>5927</v>
      </c>
      <c r="D6285" s="9" t="s">
        <v>5928</v>
      </c>
      <c r="F6285" s="6">
        <v>340</v>
      </c>
      <c r="G6285" s="6">
        <f t="shared" si="312"/>
        <v>340</v>
      </c>
      <c r="H6285" s="6">
        <v>340</v>
      </c>
      <c r="I6285" s="26">
        <f t="shared" si="313"/>
        <v>0</v>
      </c>
      <c r="J6285" s="7" t="str">
        <f t="shared" si="311"/>
        <v>PAGADO</v>
      </c>
    </row>
    <row r="6286" spans="1:11" x14ac:dyDescent="0.25">
      <c r="A6286" s="73">
        <v>46094</v>
      </c>
      <c r="C6286" s="119" t="s">
        <v>5929</v>
      </c>
      <c r="D6286" t="s">
        <v>5527</v>
      </c>
      <c r="F6286" s="6">
        <v>180</v>
      </c>
      <c r="G6286" s="6">
        <f t="shared" si="312"/>
        <v>180</v>
      </c>
      <c r="H6286" s="6">
        <v>180</v>
      </c>
      <c r="I6286" s="26">
        <f t="shared" si="313"/>
        <v>0</v>
      </c>
      <c r="J6286" s="7" t="str">
        <f t="shared" si="311"/>
        <v>PAGADO</v>
      </c>
    </row>
    <row r="6287" spans="1:11" x14ac:dyDescent="0.25">
      <c r="A6287" s="73">
        <v>46094</v>
      </c>
      <c r="C6287" t="s">
        <v>5930</v>
      </c>
      <c r="D6287" t="s">
        <v>5916</v>
      </c>
      <c r="F6287" s="6">
        <v>130</v>
      </c>
      <c r="G6287" s="6">
        <f t="shared" si="312"/>
        <v>130</v>
      </c>
      <c r="H6287" s="6">
        <v>130</v>
      </c>
      <c r="I6287" s="26">
        <f t="shared" si="313"/>
        <v>0</v>
      </c>
      <c r="J6287" s="7" t="str">
        <f t="shared" ref="J6287:J6350" si="314">IF(I6287&gt;0,"DEBE","PAGADO")</f>
        <v>PAGADO</v>
      </c>
    </row>
    <row r="6288" spans="1:11" x14ac:dyDescent="0.25">
      <c r="A6288" s="73">
        <v>46094</v>
      </c>
      <c r="C6288" s="9" t="s">
        <v>1819</v>
      </c>
      <c r="D6288" s="9" t="s">
        <v>5771</v>
      </c>
      <c r="F6288" s="6">
        <v>70</v>
      </c>
      <c r="G6288" s="6">
        <f t="shared" si="312"/>
        <v>70</v>
      </c>
      <c r="H6288" s="6">
        <v>70</v>
      </c>
      <c r="I6288" s="26">
        <f t="shared" si="313"/>
        <v>0</v>
      </c>
      <c r="J6288" s="7" t="str">
        <f t="shared" si="314"/>
        <v>PAGADO</v>
      </c>
    </row>
    <row r="6289" spans="1:11" x14ac:dyDescent="0.25">
      <c r="A6289" s="73">
        <v>46094</v>
      </c>
      <c r="C6289" s="9" t="s">
        <v>5931</v>
      </c>
      <c r="D6289" s="9" t="s">
        <v>4263</v>
      </c>
      <c r="F6289" s="6">
        <v>15</v>
      </c>
      <c r="G6289" s="6">
        <f t="shared" si="312"/>
        <v>15</v>
      </c>
      <c r="H6289" s="6">
        <v>15</v>
      </c>
      <c r="I6289" s="26">
        <f t="shared" si="313"/>
        <v>0</v>
      </c>
      <c r="J6289" s="7" t="str">
        <f t="shared" si="314"/>
        <v>PAGADO</v>
      </c>
    </row>
    <row r="6290" spans="1:11" x14ac:dyDescent="0.25">
      <c r="A6290" s="73">
        <v>46094</v>
      </c>
      <c r="C6290" s="9" t="s">
        <v>5932</v>
      </c>
      <c r="D6290" s="9" t="s">
        <v>5933</v>
      </c>
      <c r="F6290" s="6">
        <v>125</v>
      </c>
      <c r="G6290" s="6">
        <f t="shared" si="312"/>
        <v>125</v>
      </c>
      <c r="H6290" s="6">
        <f>55+10</f>
        <v>65</v>
      </c>
      <c r="I6290" s="26">
        <f t="shared" si="313"/>
        <v>60</v>
      </c>
      <c r="J6290" s="7" t="str">
        <f t="shared" si="314"/>
        <v>DEBE</v>
      </c>
    </row>
    <row r="6291" spans="1:11" x14ac:dyDescent="0.25">
      <c r="A6291" s="73">
        <v>46094</v>
      </c>
      <c r="C6291" s="9" t="s">
        <v>1439</v>
      </c>
      <c r="D6291" t="s">
        <v>5546</v>
      </c>
      <c r="F6291" s="6">
        <v>110</v>
      </c>
      <c r="G6291" s="6">
        <f t="shared" si="312"/>
        <v>110</v>
      </c>
      <c r="H6291" s="6">
        <f>55+55</f>
        <v>110</v>
      </c>
      <c r="I6291" s="26">
        <f t="shared" si="313"/>
        <v>0</v>
      </c>
      <c r="J6291" s="7" t="str">
        <f t="shared" si="314"/>
        <v>PAGADO</v>
      </c>
    </row>
    <row r="6292" spans="1:11" x14ac:dyDescent="0.25">
      <c r="A6292" s="73">
        <v>46094</v>
      </c>
      <c r="C6292" s="9" t="s">
        <v>5934</v>
      </c>
      <c r="D6292" t="s">
        <v>5546</v>
      </c>
      <c r="F6292" s="6">
        <v>90</v>
      </c>
      <c r="G6292" s="6">
        <f t="shared" si="312"/>
        <v>90</v>
      </c>
      <c r="H6292" s="6">
        <f>45+45</f>
        <v>90</v>
      </c>
      <c r="I6292" s="26">
        <f t="shared" si="313"/>
        <v>0</v>
      </c>
      <c r="J6292" s="7" t="str">
        <f t="shared" si="314"/>
        <v>PAGADO</v>
      </c>
      <c r="K6292" s="33" t="s">
        <v>3819</v>
      </c>
    </row>
    <row r="6293" spans="1:11" x14ac:dyDescent="0.25">
      <c r="A6293" s="73">
        <v>46094</v>
      </c>
      <c r="C6293" s="9" t="s">
        <v>5935</v>
      </c>
      <c r="D6293" t="s">
        <v>5546</v>
      </c>
      <c r="F6293" s="6">
        <v>70</v>
      </c>
      <c r="G6293" s="6">
        <f t="shared" si="312"/>
        <v>70</v>
      </c>
      <c r="H6293" s="6">
        <f>35+35</f>
        <v>70</v>
      </c>
      <c r="I6293" s="26">
        <f t="shared" si="313"/>
        <v>0</v>
      </c>
      <c r="J6293" s="7" t="str">
        <f t="shared" si="314"/>
        <v>PAGADO</v>
      </c>
      <c r="K6293" s="33" t="s">
        <v>3819</v>
      </c>
    </row>
    <row r="6294" spans="1:11" x14ac:dyDescent="0.25">
      <c r="A6294" s="73">
        <v>46094</v>
      </c>
      <c r="C6294" s="9" t="s">
        <v>5936</v>
      </c>
      <c r="D6294" t="s">
        <v>5937</v>
      </c>
      <c r="F6294" s="6">
        <v>200</v>
      </c>
      <c r="G6294" s="6">
        <f t="shared" si="312"/>
        <v>200</v>
      </c>
      <c r="H6294" s="6">
        <v>200</v>
      </c>
      <c r="I6294" s="26">
        <f t="shared" si="313"/>
        <v>0</v>
      </c>
      <c r="J6294" s="7" t="str">
        <f t="shared" si="314"/>
        <v>PAGADO</v>
      </c>
    </row>
    <row r="6295" spans="1:11" x14ac:dyDescent="0.25">
      <c r="A6295" s="73">
        <v>46094</v>
      </c>
      <c r="C6295" s="9" t="s">
        <v>3279</v>
      </c>
      <c r="D6295" t="s">
        <v>5937</v>
      </c>
      <c r="F6295" s="6">
        <v>90</v>
      </c>
      <c r="G6295" s="6">
        <f t="shared" si="312"/>
        <v>90</v>
      </c>
      <c r="H6295" s="6">
        <v>90</v>
      </c>
      <c r="I6295" s="26">
        <f t="shared" si="313"/>
        <v>0</v>
      </c>
      <c r="J6295" s="7" t="str">
        <f t="shared" si="314"/>
        <v>PAGADO</v>
      </c>
    </row>
    <row r="6296" spans="1:11" x14ac:dyDescent="0.25">
      <c r="A6296" s="73">
        <v>46094</v>
      </c>
      <c r="C6296" s="9" t="s">
        <v>5938</v>
      </c>
      <c r="D6296" t="s">
        <v>5939</v>
      </c>
      <c r="F6296" s="6">
        <v>50</v>
      </c>
      <c r="G6296" s="6">
        <f t="shared" si="312"/>
        <v>50</v>
      </c>
      <c r="H6296" s="6">
        <v>50</v>
      </c>
      <c r="I6296" s="26">
        <f t="shared" si="313"/>
        <v>0</v>
      </c>
      <c r="J6296" s="7" t="str">
        <f t="shared" si="314"/>
        <v>PAGADO</v>
      </c>
    </row>
    <row r="6297" spans="1:11" x14ac:dyDescent="0.25">
      <c r="A6297" s="73">
        <v>46094</v>
      </c>
      <c r="C6297" s="9" t="s">
        <v>3764</v>
      </c>
      <c r="D6297" t="s">
        <v>5939</v>
      </c>
      <c r="F6297" s="6">
        <v>65</v>
      </c>
      <c r="G6297" s="6">
        <f t="shared" si="312"/>
        <v>65</v>
      </c>
      <c r="H6297" s="6">
        <v>65</v>
      </c>
      <c r="I6297" s="26">
        <f t="shared" si="313"/>
        <v>0</v>
      </c>
      <c r="J6297" s="7" t="str">
        <f t="shared" si="314"/>
        <v>PAGADO</v>
      </c>
    </row>
    <row r="6298" spans="1:11" x14ac:dyDescent="0.25">
      <c r="A6298" s="73">
        <v>46094</v>
      </c>
      <c r="C6298" s="9" t="s">
        <v>5940</v>
      </c>
      <c r="D6298" t="s">
        <v>5941</v>
      </c>
      <c r="F6298" s="6">
        <v>180</v>
      </c>
      <c r="G6298" s="6">
        <f t="shared" si="312"/>
        <v>180</v>
      </c>
      <c r="H6298" s="6">
        <v>180</v>
      </c>
      <c r="I6298" s="26">
        <f t="shared" si="313"/>
        <v>0</v>
      </c>
      <c r="J6298" s="7" t="str">
        <f t="shared" si="314"/>
        <v>PAGADO</v>
      </c>
    </row>
    <row r="6299" spans="1:11" x14ac:dyDescent="0.25">
      <c r="A6299" s="73">
        <v>46094</v>
      </c>
      <c r="C6299" s="9" t="s">
        <v>5942</v>
      </c>
      <c r="D6299" t="s">
        <v>5941</v>
      </c>
      <c r="F6299" s="6">
        <v>80</v>
      </c>
      <c r="G6299" s="6">
        <f t="shared" si="312"/>
        <v>80</v>
      </c>
      <c r="H6299" s="6">
        <v>80</v>
      </c>
      <c r="I6299" s="26">
        <f t="shared" si="313"/>
        <v>0</v>
      </c>
      <c r="J6299" s="7" t="str">
        <f t="shared" si="314"/>
        <v>PAGADO</v>
      </c>
    </row>
    <row r="6300" spans="1:11" x14ac:dyDescent="0.25">
      <c r="A6300" s="73">
        <v>46094</v>
      </c>
      <c r="C6300" t="s">
        <v>3279</v>
      </c>
      <c r="D6300" t="s">
        <v>5084</v>
      </c>
      <c r="F6300" s="6">
        <v>90</v>
      </c>
      <c r="G6300" s="6">
        <f t="shared" si="312"/>
        <v>90</v>
      </c>
      <c r="H6300" s="6">
        <v>90</v>
      </c>
      <c r="I6300" s="26">
        <f t="shared" si="313"/>
        <v>0</v>
      </c>
      <c r="J6300" s="7" t="str">
        <f t="shared" si="314"/>
        <v>PAGADO</v>
      </c>
    </row>
    <row r="6301" spans="1:11" x14ac:dyDescent="0.25">
      <c r="A6301" s="73">
        <v>46094</v>
      </c>
      <c r="C6301" t="s">
        <v>5943</v>
      </c>
      <c r="D6301" t="s">
        <v>5944</v>
      </c>
      <c r="F6301" s="6">
        <v>30</v>
      </c>
      <c r="G6301" s="6">
        <f t="shared" si="312"/>
        <v>30</v>
      </c>
      <c r="H6301" s="6">
        <f>15+15</f>
        <v>30</v>
      </c>
      <c r="I6301" s="26">
        <f t="shared" si="313"/>
        <v>0</v>
      </c>
      <c r="J6301" s="7" t="str">
        <f t="shared" si="314"/>
        <v>PAGADO</v>
      </c>
    </row>
    <row r="6302" spans="1:11" x14ac:dyDescent="0.25">
      <c r="A6302" s="73">
        <v>46094</v>
      </c>
      <c r="C6302" t="s">
        <v>5945</v>
      </c>
      <c r="D6302" t="s">
        <v>5946</v>
      </c>
      <c r="F6302" s="6">
        <v>15</v>
      </c>
      <c r="G6302" s="6">
        <f t="shared" si="312"/>
        <v>15</v>
      </c>
      <c r="H6302" s="6">
        <v>15</v>
      </c>
      <c r="I6302" s="26">
        <f t="shared" si="313"/>
        <v>0</v>
      </c>
      <c r="J6302" s="7" t="str">
        <f t="shared" si="314"/>
        <v>PAGADO</v>
      </c>
    </row>
    <row r="6303" spans="1:11" x14ac:dyDescent="0.25">
      <c r="A6303" s="73">
        <v>46094</v>
      </c>
      <c r="C6303" t="s">
        <v>5947</v>
      </c>
      <c r="D6303" t="s">
        <v>5946</v>
      </c>
      <c r="F6303" s="6">
        <v>15</v>
      </c>
      <c r="G6303" s="6">
        <f t="shared" si="312"/>
        <v>15</v>
      </c>
      <c r="H6303" s="6">
        <v>15</v>
      </c>
      <c r="I6303" s="26">
        <f t="shared" si="313"/>
        <v>0</v>
      </c>
      <c r="J6303" s="7" t="str">
        <f t="shared" si="314"/>
        <v>PAGADO</v>
      </c>
    </row>
    <row r="6304" spans="1:11" x14ac:dyDescent="0.25">
      <c r="A6304" s="73">
        <v>46094</v>
      </c>
      <c r="C6304" t="s">
        <v>5948</v>
      </c>
      <c r="D6304" s="9" t="s">
        <v>5805</v>
      </c>
      <c r="F6304" s="6">
        <v>80</v>
      </c>
      <c r="G6304" s="6">
        <f t="shared" si="312"/>
        <v>80</v>
      </c>
      <c r="H6304" s="6">
        <v>80</v>
      </c>
      <c r="I6304" s="26">
        <f t="shared" si="313"/>
        <v>0</v>
      </c>
      <c r="J6304" s="7" t="str">
        <f t="shared" si="314"/>
        <v>PAGADO</v>
      </c>
    </row>
    <row r="6305" spans="1:13" x14ac:dyDescent="0.25">
      <c r="A6305" s="73">
        <v>46094</v>
      </c>
      <c r="C6305" t="s">
        <v>5949</v>
      </c>
      <c r="D6305" t="s">
        <v>5941</v>
      </c>
      <c r="F6305" s="6">
        <v>140</v>
      </c>
      <c r="G6305" s="6">
        <f t="shared" si="312"/>
        <v>140</v>
      </c>
      <c r="H6305" s="6">
        <v>140</v>
      </c>
      <c r="I6305" s="26">
        <f t="shared" si="313"/>
        <v>0</v>
      </c>
      <c r="J6305" s="7" t="str">
        <f t="shared" si="314"/>
        <v>PAGADO</v>
      </c>
    </row>
    <row r="6306" spans="1:13" x14ac:dyDescent="0.25">
      <c r="A6306" s="73">
        <v>46094</v>
      </c>
      <c r="C6306" t="s">
        <v>5950</v>
      </c>
      <c r="D6306" t="s">
        <v>5941</v>
      </c>
      <c r="F6306" s="6">
        <v>140</v>
      </c>
      <c r="G6306" s="6">
        <f t="shared" si="312"/>
        <v>140</v>
      </c>
      <c r="H6306" s="6">
        <v>140</v>
      </c>
      <c r="I6306" s="26">
        <f t="shared" si="313"/>
        <v>0</v>
      </c>
      <c r="J6306" s="7" t="str">
        <f t="shared" si="314"/>
        <v>PAGADO</v>
      </c>
    </row>
    <row r="6307" spans="1:13" x14ac:dyDescent="0.25">
      <c r="A6307" s="73">
        <v>46095</v>
      </c>
      <c r="C6307" s="9" t="s">
        <v>5951</v>
      </c>
      <c r="D6307" t="s">
        <v>3658</v>
      </c>
      <c r="F6307" s="6">
        <v>50</v>
      </c>
      <c r="G6307" s="6">
        <f t="shared" si="312"/>
        <v>50</v>
      </c>
      <c r="H6307" s="6">
        <v>50</v>
      </c>
      <c r="I6307" s="26">
        <f t="shared" si="313"/>
        <v>0</v>
      </c>
      <c r="J6307" s="7" t="str">
        <f t="shared" si="314"/>
        <v>PAGADO</v>
      </c>
    </row>
    <row r="6308" spans="1:13" x14ac:dyDescent="0.25">
      <c r="A6308" s="73">
        <v>46095</v>
      </c>
      <c r="C6308" s="9" t="s">
        <v>5901</v>
      </c>
      <c r="D6308" t="s">
        <v>5952</v>
      </c>
      <c r="F6308" s="6">
        <v>65</v>
      </c>
      <c r="G6308" s="6">
        <f t="shared" si="312"/>
        <v>65</v>
      </c>
      <c r="H6308" s="6">
        <v>32.5</v>
      </c>
      <c r="I6308" s="26">
        <f t="shared" si="313"/>
        <v>32.5</v>
      </c>
      <c r="J6308" s="7" t="str">
        <f t="shared" si="314"/>
        <v>DEBE</v>
      </c>
      <c r="K6308" t="s">
        <v>2754</v>
      </c>
    </row>
    <row r="6309" spans="1:13" x14ac:dyDescent="0.25">
      <c r="A6309" s="73">
        <v>46095</v>
      </c>
      <c r="C6309" s="9" t="s">
        <v>5953</v>
      </c>
      <c r="D6309" t="s">
        <v>5952</v>
      </c>
      <c r="F6309" s="6">
        <v>90</v>
      </c>
      <c r="G6309" s="6">
        <f t="shared" si="312"/>
        <v>90</v>
      </c>
      <c r="H6309" s="6">
        <v>45</v>
      </c>
      <c r="I6309" s="26">
        <f t="shared" si="313"/>
        <v>45</v>
      </c>
      <c r="J6309" s="7" t="str">
        <f t="shared" si="314"/>
        <v>DEBE</v>
      </c>
      <c r="K6309" t="s">
        <v>2754</v>
      </c>
    </row>
    <row r="6310" spans="1:13" x14ac:dyDescent="0.25">
      <c r="A6310" s="73">
        <v>46095</v>
      </c>
      <c r="C6310" t="s">
        <v>4470</v>
      </c>
      <c r="D6310" t="s">
        <v>5696</v>
      </c>
      <c r="F6310" s="6">
        <v>150</v>
      </c>
      <c r="G6310" s="6">
        <f t="shared" si="312"/>
        <v>150</v>
      </c>
      <c r="H6310" s="6">
        <v>150</v>
      </c>
      <c r="I6310" s="26">
        <f t="shared" si="313"/>
        <v>0</v>
      </c>
      <c r="J6310" s="7" t="str">
        <f t="shared" si="314"/>
        <v>PAGADO</v>
      </c>
    </row>
    <row r="6311" spans="1:13" x14ac:dyDescent="0.25">
      <c r="A6311" s="73">
        <v>46095</v>
      </c>
      <c r="C6311" t="s">
        <v>4515</v>
      </c>
      <c r="D6311" t="s">
        <v>5696</v>
      </c>
      <c r="F6311" s="6">
        <v>65</v>
      </c>
      <c r="G6311" s="6">
        <f t="shared" si="312"/>
        <v>65</v>
      </c>
      <c r="H6311" s="6">
        <v>65</v>
      </c>
      <c r="I6311" s="26">
        <f t="shared" si="313"/>
        <v>0</v>
      </c>
      <c r="J6311" s="7" t="str">
        <f t="shared" si="314"/>
        <v>PAGADO</v>
      </c>
    </row>
    <row r="6312" spans="1:13" x14ac:dyDescent="0.25">
      <c r="A6312" s="73">
        <v>46095</v>
      </c>
      <c r="C6312" t="s">
        <v>5954</v>
      </c>
      <c r="D6312" s="9" t="s">
        <v>4141</v>
      </c>
      <c r="F6312" s="6">
        <v>200</v>
      </c>
      <c r="G6312" s="6">
        <f t="shared" si="312"/>
        <v>200</v>
      </c>
      <c r="H6312" s="6">
        <f>20+80</f>
        <v>100</v>
      </c>
      <c r="I6312" s="26">
        <f t="shared" si="313"/>
        <v>100</v>
      </c>
      <c r="J6312" s="7" t="str">
        <f t="shared" si="314"/>
        <v>DEBE</v>
      </c>
      <c r="K6312" s="33" t="s">
        <v>2754</v>
      </c>
      <c r="M6312" s="82" t="s">
        <v>5825</v>
      </c>
    </row>
    <row r="6313" spans="1:13" x14ac:dyDescent="0.25">
      <c r="A6313" s="73">
        <v>46096</v>
      </c>
      <c r="C6313" t="s">
        <v>5955</v>
      </c>
      <c r="D6313" s="9" t="s">
        <v>2360</v>
      </c>
      <c r="F6313" s="6">
        <v>130</v>
      </c>
      <c r="G6313" s="6">
        <f t="shared" si="312"/>
        <v>130</v>
      </c>
      <c r="H6313" s="6">
        <v>130</v>
      </c>
      <c r="I6313" s="26">
        <f t="shared" si="313"/>
        <v>0</v>
      </c>
      <c r="J6313" s="7" t="str">
        <f t="shared" si="314"/>
        <v>PAGADO</v>
      </c>
    </row>
    <row r="6314" spans="1:13" x14ac:dyDescent="0.25">
      <c r="A6314" s="73">
        <v>46096</v>
      </c>
      <c r="C6314" t="s">
        <v>5956</v>
      </c>
      <c r="D6314" s="9" t="s">
        <v>5957</v>
      </c>
      <c r="F6314" s="6">
        <v>70</v>
      </c>
      <c r="G6314" s="6">
        <f t="shared" si="312"/>
        <v>70</v>
      </c>
      <c r="H6314" s="6">
        <f>35+35</f>
        <v>70</v>
      </c>
      <c r="I6314" s="26">
        <f t="shared" si="313"/>
        <v>0</v>
      </c>
      <c r="J6314" s="7" t="str">
        <f t="shared" si="314"/>
        <v>PAGADO</v>
      </c>
    </row>
    <row r="6315" spans="1:13" x14ac:dyDescent="0.25">
      <c r="A6315" s="73">
        <v>46096</v>
      </c>
      <c r="C6315" t="s">
        <v>5958</v>
      </c>
      <c r="D6315" s="9" t="s">
        <v>5959</v>
      </c>
      <c r="F6315" s="6">
        <v>60</v>
      </c>
      <c r="G6315" s="6">
        <f t="shared" si="312"/>
        <v>60</v>
      </c>
      <c r="H6315" s="6">
        <v>60</v>
      </c>
      <c r="I6315" s="26">
        <f t="shared" si="313"/>
        <v>0</v>
      </c>
      <c r="J6315" s="7" t="str">
        <f t="shared" si="314"/>
        <v>PAGADO</v>
      </c>
    </row>
    <row r="6316" spans="1:13" x14ac:dyDescent="0.25">
      <c r="A6316" s="73">
        <v>46096</v>
      </c>
      <c r="C6316" t="s">
        <v>4385</v>
      </c>
      <c r="D6316" s="9" t="s">
        <v>5959</v>
      </c>
      <c r="F6316" s="6">
        <v>70</v>
      </c>
      <c r="G6316" s="6">
        <f t="shared" si="312"/>
        <v>70</v>
      </c>
      <c r="H6316" s="6">
        <v>70</v>
      </c>
      <c r="I6316" s="26">
        <f t="shared" si="313"/>
        <v>0</v>
      </c>
      <c r="J6316" s="7" t="str">
        <f t="shared" si="314"/>
        <v>PAGADO</v>
      </c>
    </row>
    <row r="6317" spans="1:13" x14ac:dyDescent="0.25">
      <c r="A6317" s="73">
        <v>46096</v>
      </c>
      <c r="C6317" t="s">
        <v>5960</v>
      </c>
      <c r="D6317" s="9" t="s">
        <v>4270</v>
      </c>
      <c r="F6317" s="6">
        <v>60</v>
      </c>
      <c r="G6317" s="6">
        <f t="shared" si="312"/>
        <v>60</v>
      </c>
      <c r="H6317" s="6">
        <v>60</v>
      </c>
      <c r="I6317" s="26">
        <f t="shared" si="313"/>
        <v>0</v>
      </c>
      <c r="J6317" s="7" t="str">
        <f t="shared" si="314"/>
        <v>PAGADO</v>
      </c>
      <c r="K6317" s="33" t="s">
        <v>3819</v>
      </c>
    </row>
    <row r="6318" spans="1:13" x14ac:dyDescent="0.25">
      <c r="A6318" s="73">
        <v>46096</v>
      </c>
      <c r="C6318" s="9" t="s">
        <v>5818</v>
      </c>
      <c r="D6318" t="s">
        <v>80</v>
      </c>
      <c r="F6318" s="6">
        <v>90</v>
      </c>
      <c r="G6318" s="6">
        <f t="shared" si="312"/>
        <v>90</v>
      </c>
      <c r="H6318" s="6">
        <v>50</v>
      </c>
      <c r="I6318" s="26">
        <f t="shared" si="313"/>
        <v>40</v>
      </c>
      <c r="J6318" s="7" t="str">
        <f t="shared" si="314"/>
        <v>DEBE</v>
      </c>
      <c r="K6318" s="33" t="s">
        <v>3819</v>
      </c>
    </row>
    <row r="6319" spans="1:13" x14ac:dyDescent="0.25">
      <c r="A6319" s="73">
        <v>46096</v>
      </c>
      <c r="C6319" s="9" t="s">
        <v>5961</v>
      </c>
      <c r="D6319" t="s">
        <v>80</v>
      </c>
      <c r="F6319" s="6">
        <v>80</v>
      </c>
      <c r="G6319" s="6">
        <f t="shared" si="312"/>
        <v>80</v>
      </c>
      <c r="H6319" s="6">
        <f>50+20+10</f>
        <v>80</v>
      </c>
      <c r="I6319" s="26">
        <f t="shared" si="313"/>
        <v>0</v>
      </c>
      <c r="J6319" s="7" t="str">
        <f t="shared" si="314"/>
        <v>PAGADO</v>
      </c>
      <c r="K6319" t="s">
        <v>2754</v>
      </c>
    </row>
    <row r="6320" spans="1:13" x14ac:dyDescent="0.25">
      <c r="A6320" s="73">
        <v>46097</v>
      </c>
      <c r="C6320" t="s">
        <v>4650</v>
      </c>
      <c r="D6320" s="9" t="s">
        <v>5434</v>
      </c>
      <c r="F6320" s="6">
        <v>70</v>
      </c>
      <c r="G6320" s="6">
        <f t="shared" si="312"/>
        <v>70</v>
      </c>
      <c r="H6320" s="6">
        <v>70</v>
      </c>
      <c r="I6320" s="26">
        <f t="shared" si="313"/>
        <v>0</v>
      </c>
      <c r="J6320" s="7" t="str">
        <f t="shared" si="314"/>
        <v>PAGADO</v>
      </c>
    </row>
    <row r="6321" spans="1:11" x14ac:dyDescent="0.25">
      <c r="A6321" s="73">
        <v>46097</v>
      </c>
      <c r="C6321" s="9" t="s">
        <v>5962</v>
      </c>
      <c r="D6321" t="s">
        <v>3456</v>
      </c>
      <c r="F6321" s="6">
        <v>40</v>
      </c>
      <c r="G6321" s="6">
        <f t="shared" si="312"/>
        <v>40</v>
      </c>
      <c r="H6321" s="6">
        <v>40</v>
      </c>
      <c r="I6321" s="26">
        <f t="shared" si="313"/>
        <v>0</v>
      </c>
      <c r="J6321" s="7" t="str">
        <f t="shared" si="314"/>
        <v>PAGADO</v>
      </c>
    </row>
    <row r="6322" spans="1:11" x14ac:dyDescent="0.25">
      <c r="A6322" s="73">
        <v>46097</v>
      </c>
      <c r="C6322" s="9" t="s">
        <v>5012</v>
      </c>
      <c r="D6322" t="s">
        <v>5963</v>
      </c>
      <c r="F6322" s="6">
        <v>90</v>
      </c>
      <c r="G6322" s="6">
        <f t="shared" si="312"/>
        <v>90</v>
      </c>
      <c r="H6322" s="6">
        <f>45+45</f>
        <v>90</v>
      </c>
      <c r="I6322" s="26">
        <f t="shared" si="313"/>
        <v>0</v>
      </c>
      <c r="J6322" s="7" t="str">
        <f t="shared" si="314"/>
        <v>PAGADO</v>
      </c>
      <c r="K6322" s="33" t="s">
        <v>3819</v>
      </c>
    </row>
    <row r="6323" spans="1:11" x14ac:dyDescent="0.25">
      <c r="A6323" s="73">
        <v>46097</v>
      </c>
      <c r="C6323" s="9" t="s">
        <v>5964</v>
      </c>
      <c r="D6323" t="s">
        <v>5863</v>
      </c>
      <c r="F6323" s="6">
        <v>80</v>
      </c>
      <c r="G6323" s="6">
        <f t="shared" si="312"/>
        <v>80</v>
      </c>
      <c r="H6323" s="6">
        <v>80</v>
      </c>
      <c r="I6323" s="26">
        <f t="shared" si="313"/>
        <v>0</v>
      </c>
      <c r="J6323" s="7" t="str">
        <f t="shared" si="314"/>
        <v>PAGADO</v>
      </c>
    </row>
    <row r="6324" spans="1:11" x14ac:dyDescent="0.25">
      <c r="A6324" s="73">
        <v>46097</v>
      </c>
      <c r="C6324" s="9" t="s">
        <v>1690</v>
      </c>
      <c r="D6324" t="s">
        <v>5863</v>
      </c>
      <c r="F6324" s="6">
        <v>50</v>
      </c>
      <c r="G6324" s="6">
        <f t="shared" si="312"/>
        <v>50</v>
      </c>
      <c r="H6324" s="6">
        <v>50</v>
      </c>
      <c r="I6324" s="26">
        <f t="shared" si="313"/>
        <v>0</v>
      </c>
      <c r="J6324" s="7" t="str">
        <f t="shared" si="314"/>
        <v>PAGADO</v>
      </c>
    </row>
    <row r="6325" spans="1:11" x14ac:dyDescent="0.25">
      <c r="A6325" s="73">
        <v>46097</v>
      </c>
      <c r="C6325" s="9" t="s">
        <v>5965</v>
      </c>
      <c r="D6325" t="s">
        <v>5863</v>
      </c>
      <c r="F6325" s="6">
        <v>60</v>
      </c>
      <c r="G6325" s="6">
        <f t="shared" si="312"/>
        <v>60</v>
      </c>
      <c r="H6325" s="6">
        <v>60</v>
      </c>
      <c r="I6325" s="26">
        <f t="shared" si="313"/>
        <v>0</v>
      </c>
      <c r="J6325" s="7" t="str">
        <f t="shared" si="314"/>
        <v>PAGADO</v>
      </c>
    </row>
    <row r="6326" spans="1:11" x14ac:dyDescent="0.25">
      <c r="A6326" s="73">
        <v>46097</v>
      </c>
      <c r="C6326" s="9" t="s">
        <v>81</v>
      </c>
      <c r="D6326" t="s">
        <v>5863</v>
      </c>
      <c r="F6326" s="6">
        <v>50</v>
      </c>
      <c r="G6326" s="6">
        <f t="shared" si="312"/>
        <v>50</v>
      </c>
      <c r="H6326" s="6">
        <v>50</v>
      </c>
      <c r="I6326" s="26">
        <f t="shared" si="313"/>
        <v>0</v>
      </c>
      <c r="J6326" s="7" t="str">
        <f t="shared" si="314"/>
        <v>PAGADO</v>
      </c>
    </row>
    <row r="6327" spans="1:11" x14ac:dyDescent="0.25">
      <c r="A6327" s="73">
        <v>46098</v>
      </c>
      <c r="C6327" s="98" t="s">
        <v>1818</v>
      </c>
      <c r="D6327" s="98" t="s">
        <v>4172</v>
      </c>
      <c r="F6327" s="6">
        <v>80</v>
      </c>
      <c r="G6327" s="6">
        <f t="shared" si="312"/>
        <v>80</v>
      </c>
      <c r="H6327" s="6">
        <v>80</v>
      </c>
      <c r="I6327" s="26">
        <f t="shared" si="313"/>
        <v>0</v>
      </c>
      <c r="J6327" s="7" t="str">
        <f t="shared" si="314"/>
        <v>PAGADO</v>
      </c>
    </row>
    <row r="6328" spans="1:11" x14ac:dyDescent="0.25">
      <c r="A6328" s="73">
        <v>46098</v>
      </c>
      <c r="C6328" s="9" t="s">
        <v>5966</v>
      </c>
      <c r="D6328" t="s">
        <v>5967</v>
      </c>
      <c r="F6328" s="6">
        <v>90</v>
      </c>
      <c r="G6328" s="6">
        <f t="shared" si="312"/>
        <v>90</v>
      </c>
      <c r="H6328" s="6">
        <f>10+80</f>
        <v>90</v>
      </c>
      <c r="I6328" s="26">
        <f t="shared" si="313"/>
        <v>0</v>
      </c>
      <c r="J6328" s="7" t="str">
        <f t="shared" si="314"/>
        <v>PAGADO</v>
      </c>
    </row>
    <row r="6329" spans="1:11" x14ac:dyDescent="0.25">
      <c r="A6329" s="73">
        <v>46098</v>
      </c>
      <c r="C6329" t="s">
        <v>4658</v>
      </c>
      <c r="D6329" t="s">
        <v>5939</v>
      </c>
      <c r="F6329" s="6">
        <v>60</v>
      </c>
      <c r="G6329" s="6">
        <f t="shared" si="312"/>
        <v>60</v>
      </c>
      <c r="H6329" s="6">
        <v>60</v>
      </c>
      <c r="I6329" s="26">
        <f t="shared" si="313"/>
        <v>0</v>
      </c>
      <c r="J6329" s="7" t="str">
        <f t="shared" si="314"/>
        <v>PAGADO</v>
      </c>
    </row>
    <row r="6330" spans="1:11" x14ac:dyDescent="0.25">
      <c r="A6330" s="73">
        <v>46098</v>
      </c>
      <c r="C6330" t="s">
        <v>5968</v>
      </c>
      <c r="D6330" t="s">
        <v>5939</v>
      </c>
      <c r="F6330" s="6">
        <v>80</v>
      </c>
      <c r="G6330" s="6">
        <f t="shared" si="312"/>
        <v>80</v>
      </c>
      <c r="H6330" s="6">
        <v>80</v>
      </c>
      <c r="I6330" s="26">
        <f t="shared" si="313"/>
        <v>0</v>
      </c>
      <c r="J6330" s="7" t="str">
        <f t="shared" si="314"/>
        <v>PAGADO</v>
      </c>
    </row>
    <row r="6331" spans="1:11" x14ac:dyDescent="0.25">
      <c r="A6331" s="73">
        <v>46097</v>
      </c>
      <c r="C6331" t="s">
        <v>5850</v>
      </c>
      <c r="D6331" t="s">
        <v>5969</v>
      </c>
      <c r="F6331" s="6">
        <v>70</v>
      </c>
      <c r="G6331" s="6">
        <f t="shared" si="312"/>
        <v>70</v>
      </c>
      <c r="H6331" s="6">
        <v>35</v>
      </c>
      <c r="I6331" s="26">
        <f t="shared" si="313"/>
        <v>35</v>
      </c>
      <c r="J6331" s="7" t="str">
        <f t="shared" si="314"/>
        <v>DEBE</v>
      </c>
      <c r="K6331" t="s">
        <v>2754</v>
      </c>
    </row>
    <row r="6332" spans="1:11" x14ac:dyDescent="0.25">
      <c r="A6332" s="73">
        <v>46098</v>
      </c>
      <c r="C6332" t="s">
        <v>5970</v>
      </c>
      <c r="D6332" s="9" t="s">
        <v>4318</v>
      </c>
      <c r="F6332" s="6">
        <v>60</v>
      </c>
      <c r="G6332" s="6">
        <f t="shared" si="312"/>
        <v>60</v>
      </c>
      <c r="H6332" s="6">
        <v>60</v>
      </c>
      <c r="I6332" s="26">
        <f t="shared" si="313"/>
        <v>0</v>
      </c>
      <c r="J6332" s="7" t="str">
        <f t="shared" si="314"/>
        <v>PAGADO</v>
      </c>
    </row>
    <row r="6333" spans="1:11" x14ac:dyDescent="0.25">
      <c r="A6333" s="73">
        <v>46098</v>
      </c>
      <c r="C6333" t="s">
        <v>4109</v>
      </c>
      <c r="D6333" s="9" t="s">
        <v>5855</v>
      </c>
      <c r="F6333" s="6">
        <v>60</v>
      </c>
      <c r="G6333" s="6">
        <f t="shared" si="312"/>
        <v>60</v>
      </c>
      <c r="H6333" s="6">
        <v>60</v>
      </c>
      <c r="I6333" s="26">
        <f t="shared" si="313"/>
        <v>0</v>
      </c>
      <c r="J6333" s="7" t="str">
        <f t="shared" si="314"/>
        <v>PAGADO</v>
      </c>
    </row>
    <row r="6334" spans="1:11" x14ac:dyDescent="0.25">
      <c r="A6334" s="73">
        <v>46098</v>
      </c>
      <c r="C6334" s="9" t="s">
        <v>5971</v>
      </c>
      <c r="D6334" s="9" t="s">
        <v>18</v>
      </c>
      <c r="F6334" s="6">
        <v>20</v>
      </c>
      <c r="G6334" s="101">
        <f t="shared" ref="G6334:G6397" si="315">F6334-E6334</f>
        <v>20</v>
      </c>
      <c r="H6334" s="6">
        <v>20</v>
      </c>
      <c r="I6334" s="26">
        <f t="shared" si="313"/>
        <v>0</v>
      </c>
      <c r="J6334" s="7" t="str">
        <f t="shared" si="314"/>
        <v>PAGADO</v>
      </c>
    </row>
    <row r="6335" spans="1:11" x14ac:dyDescent="0.25">
      <c r="A6335" s="73">
        <v>46099</v>
      </c>
      <c r="C6335" s="9" t="s">
        <v>5972</v>
      </c>
      <c r="D6335" s="9" t="s">
        <v>2278</v>
      </c>
      <c r="F6335" s="6">
        <v>100</v>
      </c>
      <c r="G6335" s="6">
        <f t="shared" si="315"/>
        <v>100</v>
      </c>
      <c r="H6335" s="24">
        <v>100</v>
      </c>
      <c r="I6335" s="26">
        <f t="shared" si="313"/>
        <v>0</v>
      </c>
      <c r="J6335" s="7" t="str">
        <f t="shared" si="314"/>
        <v>PAGADO</v>
      </c>
      <c r="K6335" t="s">
        <v>570</v>
      </c>
    </row>
    <row r="6336" spans="1:11" x14ac:dyDescent="0.25">
      <c r="A6336" s="73">
        <v>46100</v>
      </c>
      <c r="C6336" s="9" t="s">
        <v>5973</v>
      </c>
      <c r="D6336" s="9" t="s">
        <v>5494</v>
      </c>
      <c r="F6336" s="6">
        <v>100</v>
      </c>
      <c r="G6336" s="6">
        <f t="shared" si="315"/>
        <v>100</v>
      </c>
      <c r="H6336" s="6">
        <f>10+90</f>
        <v>100</v>
      </c>
      <c r="I6336" s="26">
        <f t="shared" si="313"/>
        <v>0</v>
      </c>
      <c r="J6336" s="7" t="str">
        <f t="shared" si="314"/>
        <v>PAGADO</v>
      </c>
    </row>
    <row r="6337" spans="1:13" x14ac:dyDescent="0.25">
      <c r="A6337" s="124">
        <v>46099</v>
      </c>
      <c r="B6337" s="22"/>
      <c r="C6337" s="22" t="s">
        <v>3737</v>
      </c>
      <c r="D6337" s="22" t="s">
        <v>2548</v>
      </c>
      <c r="E6337" s="15"/>
      <c r="F6337" s="16">
        <v>80</v>
      </c>
      <c r="G6337" s="125">
        <f t="shared" si="315"/>
        <v>80</v>
      </c>
      <c r="H6337" s="63">
        <v>40</v>
      </c>
      <c r="I6337" s="16">
        <f t="shared" si="313"/>
        <v>40</v>
      </c>
      <c r="J6337" s="17" t="str">
        <f t="shared" si="314"/>
        <v>DEBE</v>
      </c>
      <c r="K6337" s="22" t="s">
        <v>5974</v>
      </c>
      <c r="L6337" s="22"/>
      <c r="M6337" s="126" t="s">
        <v>5975</v>
      </c>
    </row>
    <row r="6338" spans="1:13" x14ac:dyDescent="0.25">
      <c r="A6338" s="73">
        <v>46099</v>
      </c>
      <c r="C6338" t="s">
        <v>5976</v>
      </c>
      <c r="D6338" t="s">
        <v>2548</v>
      </c>
      <c r="F6338" s="6">
        <v>80</v>
      </c>
      <c r="G6338" s="11">
        <f t="shared" si="315"/>
        <v>80</v>
      </c>
      <c r="H6338" s="30">
        <v>40</v>
      </c>
      <c r="I6338" s="26">
        <f t="shared" si="313"/>
        <v>40</v>
      </c>
      <c r="J6338" s="7" t="str">
        <f t="shared" si="314"/>
        <v>DEBE</v>
      </c>
      <c r="K6338" t="s">
        <v>5974</v>
      </c>
      <c r="M6338" s="8" t="s">
        <v>5975</v>
      </c>
    </row>
    <row r="6339" spans="1:13" x14ac:dyDescent="0.25">
      <c r="A6339" s="73">
        <v>46099</v>
      </c>
      <c r="C6339" t="s">
        <v>5977</v>
      </c>
      <c r="D6339" t="s">
        <v>2548</v>
      </c>
      <c r="F6339" s="6">
        <v>60</v>
      </c>
      <c r="G6339" s="11">
        <f t="shared" si="315"/>
        <v>60</v>
      </c>
      <c r="H6339" s="30">
        <v>30</v>
      </c>
      <c r="I6339" s="26">
        <f t="shared" si="313"/>
        <v>30</v>
      </c>
      <c r="J6339" s="7" t="str">
        <f t="shared" si="314"/>
        <v>DEBE</v>
      </c>
      <c r="K6339" t="s">
        <v>5974</v>
      </c>
      <c r="M6339" s="8" t="s">
        <v>5978</v>
      </c>
    </row>
    <row r="6340" spans="1:13" x14ac:dyDescent="0.25">
      <c r="A6340" s="73">
        <v>46099</v>
      </c>
      <c r="C6340" t="s">
        <v>3459</v>
      </c>
      <c r="D6340" t="s">
        <v>2548</v>
      </c>
      <c r="F6340" s="6">
        <v>80</v>
      </c>
      <c r="G6340" s="11">
        <f t="shared" si="315"/>
        <v>80</v>
      </c>
      <c r="H6340" s="30">
        <v>40</v>
      </c>
      <c r="I6340" s="26">
        <f t="shared" si="313"/>
        <v>40</v>
      </c>
      <c r="J6340" s="7" t="str">
        <f t="shared" si="314"/>
        <v>DEBE</v>
      </c>
      <c r="K6340" t="s">
        <v>5974</v>
      </c>
      <c r="M6340" s="8" t="s">
        <v>5979</v>
      </c>
    </row>
    <row r="6341" spans="1:13" x14ac:dyDescent="0.25">
      <c r="A6341" s="73">
        <v>46099</v>
      </c>
      <c r="C6341" t="s">
        <v>5980</v>
      </c>
      <c r="D6341" t="s">
        <v>2105</v>
      </c>
      <c r="F6341" s="6">
        <v>50</v>
      </c>
      <c r="G6341" s="11">
        <f t="shared" si="315"/>
        <v>50</v>
      </c>
      <c r="H6341" s="11">
        <v>0</v>
      </c>
      <c r="I6341" s="26">
        <f t="shared" si="313"/>
        <v>50</v>
      </c>
      <c r="J6341" s="7" t="str">
        <f t="shared" si="314"/>
        <v>DEBE</v>
      </c>
      <c r="K6341" t="s">
        <v>5974</v>
      </c>
      <c r="M6341" s="8" t="s">
        <v>5981</v>
      </c>
    </row>
    <row r="6342" spans="1:13" x14ac:dyDescent="0.25">
      <c r="A6342" s="73">
        <v>46099</v>
      </c>
      <c r="C6342" t="s">
        <v>5982</v>
      </c>
      <c r="D6342" t="s">
        <v>2906</v>
      </c>
      <c r="F6342" s="6">
        <v>160</v>
      </c>
      <c r="G6342" s="11">
        <f t="shared" si="315"/>
        <v>160</v>
      </c>
      <c r="H6342" s="11">
        <v>80</v>
      </c>
      <c r="I6342" s="26">
        <f t="shared" si="313"/>
        <v>80</v>
      </c>
      <c r="J6342" s="7" t="str">
        <f t="shared" si="314"/>
        <v>DEBE</v>
      </c>
      <c r="K6342" t="s">
        <v>5974</v>
      </c>
      <c r="M6342" s="8" t="s">
        <v>5983</v>
      </c>
    </row>
    <row r="6343" spans="1:13" x14ac:dyDescent="0.25">
      <c r="A6343" s="73">
        <v>46099</v>
      </c>
      <c r="C6343" t="s">
        <v>5984</v>
      </c>
      <c r="D6343" t="s">
        <v>2906</v>
      </c>
      <c r="F6343" s="6">
        <v>160</v>
      </c>
      <c r="G6343" s="11">
        <f t="shared" si="315"/>
        <v>160</v>
      </c>
      <c r="H6343" s="11">
        <v>80</v>
      </c>
      <c r="I6343" s="26">
        <f t="shared" si="313"/>
        <v>80</v>
      </c>
      <c r="J6343" s="7" t="str">
        <f t="shared" si="314"/>
        <v>DEBE</v>
      </c>
      <c r="K6343" t="s">
        <v>5974</v>
      </c>
      <c r="M6343" s="8" t="s">
        <v>5983</v>
      </c>
    </row>
    <row r="6344" spans="1:13" x14ac:dyDescent="0.25">
      <c r="A6344" s="73">
        <v>46099</v>
      </c>
      <c r="C6344" t="s">
        <v>5985</v>
      </c>
      <c r="D6344" t="s">
        <v>2018</v>
      </c>
      <c r="F6344" s="6">
        <v>220</v>
      </c>
      <c r="G6344" s="11">
        <f t="shared" si="315"/>
        <v>220</v>
      </c>
      <c r="H6344" s="11">
        <v>110</v>
      </c>
      <c r="I6344" s="26">
        <f t="shared" si="313"/>
        <v>110</v>
      </c>
      <c r="J6344" s="7" t="str">
        <f t="shared" si="314"/>
        <v>DEBE</v>
      </c>
      <c r="K6344" t="s">
        <v>5974</v>
      </c>
      <c r="M6344" s="8" t="s">
        <v>5986</v>
      </c>
    </row>
    <row r="6345" spans="1:13" x14ac:dyDescent="0.25">
      <c r="A6345" s="73">
        <v>46099</v>
      </c>
      <c r="C6345" t="s">
        <v>5987</v>
      </c>
      <c r="D6345" t="s">
        <v>2018</v>
      </c>
      <c r="F6345" s="6">
        <v>60</v>
      </c>
      <c r="G6345" s="11">
        <f t="shared" si="315"/>
        <v>60</v>
      </c>
      <c r="H6345" s="11">
        <v>20</v>
      </c>
      <c r="I6345" s="26">
        <f t="shared" si="313"/>
        <v>40</v>
      </c>
      <c r="J6345" s="7" t="str">
        <f t="shared" si="314"/>
        <v>DEBE</v>
      </c>
      <c r="K6345" t="s">
        <v>5974</v>
      </c>
      <c r="M6345" s="8" t="s">
        <v>5988</v>
      </c>
    </row>
    <row r="6346" spans="1:13" x14ac:dyDescent="0.25">
      <c r="A6346" s="73">
        <v>46099</v>
      </c>
      <c r="C6346" t="s">
        <v>5989</v>
      </c>
      <c r="D6346" t="s">
        <v>2018</v>
      </c>
      <c r="F6346" s="6">
        <v>55</v>
      </c>
      <c r="G6346" s="11">
        <f t="shared" si="315"/>
        <v>55</v>
      </c>
      <c r="H6346" s="11">
        <v>0</v>
      </c>
      <c r="I6346" s="26">
        <f t="shared" si="313"/>
        <v>55</v>
      </c>
      <c r="J6346" s="7" t="str">
        <f t="shared" si="314"/>
        <v>DEBE</v>
      </c>
      <c r="K6346" t="s">
        <v>5974</v>
      </c>
      <c r="M6346" s="8" t="s">
        <v>5990</v>
      </c>
    </row>
    <row r="6347" spans="1:13" x14ac:dyDescent="0.25">
      <c r="A6347" s="73">
        <v>46099</v>
      </c>
      <c r="C6347" t="s">
        <v>5991</v>
      </c>
      <c r="D6347" t="s">
        <v>4665</v>
      </c>
      <c r="F6347" s="6">
        <v>80</v>
      </c>
      <c r="G6347" s="11">
        <f t="shared" si="315"/>
        <v>80</v>
      </c>
      <c r="H6347" s="11">
        <v>40</v>
      </c>
      <c r="I6347" s="26">
        <f t="shared" ref="I6347:I6410" si="316">F6347-H6347</f>
        <v>40</v>
      </c>
      <c r="J6347" s="7" t="str">
        <f t="shared" si="314"/>
        <v>DEBE</v>
      </c>
      <c r="K6347" t="s">
        <v>5974</v>
      </c>
      <c r="M6347" s="8" t="s">
        <v>5992</v>
      </c>
    </row>
    <row r="6348" spans="1:13" x14ac:dyDescent="0.25">
      <c r="A6348" s="73">
        <v>46099</v>
      </c>
      <c r="C6348" t="s">
        <v>5993</v>
      </c>
      <c r="D6348" t="s">
        <v>4665</v>
      </c>
      <c r="F6348" s="6">
        <v>80</v>
      </c>
      <c r="G6348" s="11">
        <f t="shared" si="315"/>
        <v>80</v>
      </c>
      <c r="H6348" s="11">
        <v>40</v>
      </c>
      <c r="I6348" s="26">
        <f t="shared" si="316"/>
        <v>40</v>
      </c>
      <c r="J6348" s="7" t="str">
        <f t="shared" si="314"/>
        <v>DEBE</v>
      </c>
      <c r="K6348" t="s">
        <v>5974</v>
      </c>
      <c r="M6348" s="8" t="s">
        <v>5994</v>
      </c>
    </row>
    <row r="6349" spans="1:13" x14ac:dyDescent="0.25">
      <c r="A6349" s="73">
        <v>46099</v>
      </c>
      <c r="C6349" t="s">
        <v>5995</v>
      </c>
      <c r="D6349" t="s">
        <v>238</v>
      </c>
      <c r="F6349" s="6">
        <v>70</v>
      </c>
      <c r="G6349" s="11">
        <f t="shared" si="315"/>
        <v>70</v>
      </c>
      <c r="H6349" s="11">
        <v>35</v>
      </c>
      <c r="I6349" s="26">
        <f t="shared" si="316"/>
        <v>35</v>
      </c>
      <c r="J6349" s="7" t="str">
        <f t="shared" si="314"/>
        <v>DEBE</v>
      </c>
      <c r="K6349" t="s">
        <v>5974</v>
      </c>
      <c r="M6349" s="8" t="s">
        <v>5996</v>
      </c>
    </row>
    <row r="6350" spans="1:13" x14ac:dyDescent="0.25">
      <c r="A6350" s="73">
        <v>46099</v>
      </c>
      <c r="C6350" t="s">
        <v>5997</v>
      </c>
      <c r="D6350" t="s">
        <v>5766</v>
      </c>
      <c r="F6350" s="6">
        <v>310</v>
      </c>
      <c r="G6350" s="11">
        <f t="shared" si="315"/>
        <v>310</v>
      </c>
      <c r="H6350" s="11">
        <v>155</v>
      </c>
      <c r="I6350" s="26">
        <f t="shared" si="316"/>
        <v>155</v>
      </c>
      <c r="J6350" s="7" t="str">
        <f t="shared" si="314"/>
        <v>DEBE</v>
      </c>
      <c r="K6350" t="s">
        <v>5974</v>
      </c>
      <c r="M6350" s="8" t="s">
        <v>5998</v>
      </c>
    </row>
    <row r="6351" spans="1:13" x14ac:dyDescent="0.25">
      <c r="A6351" s="73">
        <v>46099</v>
      </c>
      <c r="C6351" t="s">
        <v>5999</v>
      </c>
      <c r="D6351" t="s">
        <v>2360</v>
      </c>
      <c r="F6351" s="6">
        <v>70</v>
      </c>
      <c r="G6351" s="11">
        <f t="shared" si="315"/>
        <v>70</v>
      </c>
      <c r="H6351" s="11">
        <v>35</v>
      </c>
      <c r="I6351" s="26">
        <f t="shared" si="316"/>
        <v>35</v>
      </c>
      <c r="J6351" s="7" t="str">
        <f t="shared" ref="J6351:J6414" si="317">IF(I6351&gt;0,"DEBE","PAGADO")</f>
        <v>DEBE</v>
      </c>
      <c r="K6351" t="s">
        <v>5974</v>
      </c>
      <c r="M6351" s="8" t="s">
        <v>6000</v>
      </c>
    </row>
    <row r="6352" spans="1:13" x14ac:dyDescent="0.25">
      <c r="A6352" s="73">
        <v>46099</v>
      </c>
      <c r="C6352" s="41" t="s">
        <v>6001</v>
      </c>
      <c r="D6352" s="109" t="s">
        <v>4587</v>
      </c>
      <c r="E6352" s="87"/>
      <c r="F6352" s="58">
        <v>70</v>
      </c>
      <c r="G6352" s="58">
        <f t="shared" si="315"/>
        <v>70</v>
      </c>
      <c r="H6352" s="58">
        <v>35</v>
      </c>
      <c r="I6352" s="58">
        <f t="shared" si="316"/>
        <v>35</v>
      </c>
      <c r="J6352" s="88" t="str">
        <f t="shared" si="317"/>
        <v>DEBE</v>
      </c>
      <c r="K6352" s="41" t="s">
        <v>5974</v>
      </c>
      <c r="L6352" s="41"/>
      <c r="M6352" s="8" t="s">
        <v>6002</v>
      </c>
    </row>
    <row r="6353" spans="1:13" x14ac:dyDescent="0.25">
      <c r="A6353" s="73">
        <v>46099</v>
      </c>
      <c r="C6353" s="41" t="s">
        <v>6003</v>
      </c>
      <c r="D6353" s="109" t="s">
        <v>4587</v>
      </c>
      <c r="E6353" s="87"/>
      <c r="F6353" s="58">
        <v>70</v>
      </c>
      <c r="G6353" s="58">
        <f t="shared" si="315"/>
        <v>70</v>
      </c>
      <c r="H6353" s="58">
        <v>35</v>
      </c>
      <c r="I6353" s="58">
        <f t="shared" si="316"/>
        <v>35</v>
      </c>
      <c r="J6353" s="88" t="str">
        <f t="shared" si="317"/>
        <v>DEBE</v>
      </c>
      <c r="K6353" s="41" t="s">
        <v>5974</v>
      </c>
      <c r="L6353" s="41"/>
      <c r="M6353" s="8" t="s">
        <v>6004</v>
      </c>
    </row>
    <row r="6354" spans="1:13" x14ac:dyDescent="0.25">
      <c r="A6354" s="73">
        <v>46099</v>
      </c>
      <c r="C6354" s="41" t="s">
        <v>6005</v>
      </c>
      <c r="D6354" s="109" t="s">
        <v>4587</v>
      </c>
      <c r="E6354" s="87"/>
      <c r="F6354" s="58">
        <v>70</v>
      </c>
      <c r="G6354" s="58">
        <f t="shared" si="315"/>
        <v>70</v>
      </c>
      <c r="H6354" s="58">
        <v>35</v>
      </c>
      <c r="I6354" s="58">
        <f t="shared" si="316"/>
        <v>35</v>
      </c>
      <c r="J6354" s="88" t="str">
        <f t="shared" si="317"/>
        <v>DEBE</v>
      </c>
      <c r="K6354" s="41" t="s">
        <v>5974</v>
      </c>
      <c r="L6354" s="41"/>
      <c r="M6354" s="8" t="s">
        <v>6004</v>
      </c>
    </row>
    <row r="6355" spans="1:13" x14ac:dyDescent="0.25">
      <c r="A6355" s="73">
        <v>46099</v>
      </c>
      <c r="C6355" s="41" t="s">
        <v>6006</v>
      </c>
      <c r="D6355" s="109" t="s">
        <v>4587</v>
      </c>
      <c r="E6355" s="87"/>
      <c r="F6355" s="58">
        <v>70</v>
      </c>
      <c r="G6355" s="58">
        <f t="shared" si="315"/>
        <v>70</v>
      </c>
      <c r="H6355" s="58">
        <v>35</v>
      </c>
      <c r="I6355" s="58">
        <f t="shared" si="316"/>
        <v>35</v>
      </c>
      <c r="J6355" s="88" t="str">
        <f t="shared" si="317"/>
        <v>DEBE</v>
      </c>
      <c r="K6355" s="41" t="s">
        <v>5974</v>
      </c>
      <c r="L6355" s="41"/>
      <c r="M6355" s="8" t="s">
        <v>6007</v>
      </c>
    </row>
    <row r="6356" spans="1:13" x14ac:dyDescent="0.25">
      <c r="A6356" s="73">
        <v>46099</v>
      </c>
      <c r="C6356" t="s">
        <v>6008</v>
      </c>
      <c r="D6356" t="s">
        <v>5138</v>
      </c>
      <c r="F6356" s="6">
        <v>110</v>
      </c>
      <c r="G6356" s="11">
        <f t="shared" si="315"/>
        <v>110</v>
      </c>
      <c r="H6356" s="11">
        <v>55</v>
      </c>
      <c r="I6356" s="26">
        <f t="shared" si="316"/>
        <v>55</v>
      </c>
      <c r="J6356" s="7" t="str">
        <f t="shared" si="317"/>
        <v>DEBE</v>
      </c>
      <c r="K6356" t="s">
        <v>5974</v>
      </c>
      <c r="M6356" s="8" t="s">
        <v>6009</v>
      </c>
    </row>
    <row r="6357" spans="1:13" x14ac:dyDescent="0.25">
      <c r="A6357" s="73">
        <v>46099</v>
      </c>
      <c r="C6357" t="s">
        <v>6010</v>
      </c>
      <c r="D6357" t="s">
        <v>67</v>
      </c>
      <c r="F6357" s="6">
        <v>60</v>
      </c>
      <c r="G6357" s="11">
        <f t="shared" si="315"/>
        <v>60</v>
      </c>
      <c r="H6357" s="11">
        <v>30</v>
      </c>
      <c r="I6357" s="26">
        <f t="shared" si="316"/>
        <v>30</v>
      </c>
      <c r="J6357" s="7" t="str">
        <f t="shared" si="317"/>
        <v>DEBE</v>
      </c>
      <c r="K6357" t="s">
        <v>5974</v>
      </c>
      <c r="M6357" s="8" t="s">
        <v>6011</v>
      </c>
    </row>
    <row r="6358" spans="1:13" x14ac:dyDescent="0.25">
      <c r="A6358" s="73">
        <v>46099</v>
      </c>
      <c r="C6358" t="s">
        <v>6012</v>
      </c>
      <c r="D6358" t="s">
        <v>3198</v>
      </c>
      <c r="F6358" s="6">
        <v>150</v>
      </c>
      <c r="G6358" s="11">
        <f t="shared" si="315"/>
        <v>150</v>
      </c>
      <c r="H6358" s="11">
        <v>0</v>
      </c>
      <c r="I6358" s="26">
        <f t="shared" si="316"/>
        <v>150</v>
      </c>
      <c r="J6358" s="7" t="str">
        <f t="shared" si="317"/>
        <v>DEBE</v>
      </c>
      <c r="K6358" t="s">
        <v>5974</v>
      </c>
      <c r="M6358" s="8" t="s">
        <v>6013</v>
      </c>
    </row>
    <row r="6359" spans="1:13" x14ac:dyDescent="0.25">
      <c r="A6359" s="73">
        <v>46099</v>
      </c>
      <c r="C6359" t="s">
        <v>6014</v>
      </c>
      <c r="D6359" t="s">
        <v>3198</v>
      </c>
      <c r="F6359" s="6">
        <v>70</v>
      </c>
      <c r="G6359" s="11">
        <f t="shared" si="315"/>
        <v>70</v>
      </c>
      <c r="H6359" s="11">
        <v>0</v>
      </c>
      <c r="I6359" s="26">
        <f t="shared" si="316"/>
        <v>70</v>
      </c>
      <c r="J6359" s="7" t="str">
        <f t="shared" si="317"/>
        <v>DEBE</v>
      </c>
      <c r="K6359" t="s">
        <v>5974</v>
      </c>
      <c r="M6359" s="8" t="s">
        <v>6015</v>
      </c>
    </row>
    <row r="6360" spans="1:13" x14ac:dyDescent="0.25">
      <c r="A6360" s="73">
        <v>46099</v>
      </c>
      <c r="C6360" t="s">
        <v>6016</v>
      </c>
      <c r="D6360" t="s">
        <v>488</v>
      </c>
      <c r="F6360" s="6">
        <v>60</v>
      </c>
      <c r="G6360" s="11">
        <f t="shared" si="315"/>
        <v>60</v>
      </c>
      <c r="H6360" s="11">
        <v>30</v>
      </c>
      <c r="I6360" s="26">
        <f t="shared" si="316"/>
        <v>30</v>
      </c>
      <c r="J6360" s="7" t="str">
        <f t="shared" si="317"/>
        <v>DEBE</v>
      </c>
      <c r="K6360" t="s">
        <v>5974</v>
      </c>
      <c r="M6360" s="8" t="s">
        <v>6017</v>
      </c>
    </row>
    <row r="6361" spans="1:13" x14ac:dyDescent="0.25">
      <c r="A6361" s="73">
        <v>46099</v>
      </c>
      <c r="C6361" t="s">
        <v>6018</v>
      </c>
      <c r="D6361" t="s">
        <v>488</v>
      </c>
      <c r="F6361" s="6">
        <v>60</v>
      </c>
      <c r="G6361" s="11">
        <f t="shared" si="315"/>
        <v>60</v>
      </c>
      <c r="H6361" s="11">
        <v>30</v>
      </c>
      <c r="I6361" s="26">
        <f t="shared" si="316"/>
        <v>30</v>
      </c>
      <c r="J6361" s="7" t="str">
        <f t="shared" si="317"/>
        <v>DEBE</v>
      </c>
      <c r="K6361" t="s">
        <v>5974</v>
      </c>
      <c r="M6361" s="8" t="s">
        <v>6019</v>
      </c>
    </row>
    <row r="6362" spans="1:13" x14ac:dyDescent="0.25">
      <c r="A6362" s="73">
        <v>46099</v>
      </c>
      <c r="C6362" t="s">
        <v>6020</v>
      </c>
      <c r="D6362" t="s">
        <v>488</v>
      </c>
      <c r="F6362" s="6">
        <v>160</v>
      </c>
      <c r="G6362" s="11">
        <f t="shared" si="315"/>
        <v>160</v>
      </c>
      <c r="H6362" s="11">
        <v>80</v>
      </c>
      <c r="I6362" s="26">
        <f t="shared" si="316"/>
        <v>80</v>
      </c>
      <c r="J6362" s="7" t="str">
        <f t="shared" si="317"/>
        <v>DEBE</v>
      </c>
      <c r="K6362" t="s">
        <v>5974</v>
      </c>
      <c r="M6362" s="8" t="s">
        <v>6021</v>
      </c>
    </row>
    <row r="6363" spans="1:13" x14ac:dyDescent="0.25">
      <c r="A6363" s="73">
        <v>46099</v>
      </c>
      <c r="C6363" t="s">
        <v>6022</v>
      </c>
      <c r="D6363" t="s">
        <v>5755</v>
      </c>
      <c r="F6363" s="6">
        <v>50</v>
      </c>
      <c r="G6363" s="11">
        <f t="shared" si="315"/>
        <v>50</v>
      </c>
      <c r="H6363" s="11">
        <v>25</v>
      </c>
      <c r="I6363" s="26">
        <f t="shared" si="316"/>
        <v>25</v>
      </c>
      <c r="J6363" s="7" t="str">
        <f t="shared" si="317"/>
        <v>DEBE</v>
      </c>
      <c r="K6363" t="s">
        <v>5974</v>
      </c>
      <c r="M6363" s="8" t="s">
        <v>6011</v>
      </c>
    </row>
    <row r="6364" spans="1:13" x14ac:dyDescent="0.25">
      <c r="A6364" s="73">
        <v>46099</v>
      </c>
      <c r="C6364" t="s">
        <v>6023</v>
      </c>
      <c r="D6364" t="s">
        <v>5755</v>
      </c>
      <c r="F6364" s="6">
        <v>80</v>
      </c>
      <c r="G6364" s="11">
        <f t="shared" si="315"/>
        <v>80</v>
      </c>
      <c r="H6364" s="11">
        <v>40</v>
      </c>
      <c r="I6364" s="26">
        <f t="shared" si="316"/>
        <v>40</v>
      </c>
      <c r="J6364" s="7" t="str">
        <f t="shared" si="317"/>
        <v>DEBE</v>
      </c>
      <c r="K6364" t="s">
        <v>5974</v>
      </c>
      <c r="M6364" s="8" t="s">
        <v>5975</v>
      </c>
    </row>
    <row r="6365" spans="1:13" x14ac:dyDescent="0.25">
      <c r="A6365" s="73">
        <v>46099</v>
      </c>
      <c r="C6365" t="s">
        <v>6024</v>
      </c>
      <c r="D6365" t="s">
        <v>5755</v>
      </c>
      <c r="F6365" s="6">
        <v>90</v>
      </c>
      <c r="G6365" s="11">
        <f t="shared" si="315"/>
        <v>90</v>
      </c>
      <c r="H6365" s="11">
        <v>45</v>
      </c>
      <c r="I6365" s="26">
        <f t="shared" si="316"/>
        <v>45</v>
      </c>
      <c r="J6365" s="7" t="str">
        <f t="shared" si="317"/>
        <v>DEBE</v>
      </c>
      <c r="K6365" t="s">
        <v>5974</v>
      </c>
      <c r="M6365" s="8" t="s">
        <v>6007</v>
      </c>
    </row>
    <row r="6366" spans="1:13" x14ac:dyDescent="0.25">
      <c r="A6366" s="73">
        <v>46099</v>
      </c>
      <c r="C6366" t="s">
        <v>6025</v>
      </c>
      <c r="D6366" t="s">
        <v>5755</v>
      </c>
      <c r="F6366" s="6">
        <v>70</v>
      </c>
      <c r="G6366" s="11">
        <f t="shared" si="315"/>
        <v>70</v>
      </c>
      <c r="H6366" s="11">
        <v>35</v>
      </c>
      <c r="I6366" s="26">
        <f t="shared" si="316"/>
        <v>35</v>
      </c>
      <c r="J6366" s="7" t="str">
        <f t="shared" si="317"/>
        <v>DEBE</v>
      </c>
      <c r="K6366" t="s">
        <v>5974</v>
      </c>
      <c r="M6366" s="8" t="s">
        <v>6007</v>
      </c>
    </row>
    <row r="6367" spans="1:13" x14ac:dyDescent="0.25">
      <c r="A6367" s="73">
        <v>46099</v>
      </c>
      <c r="C6367" t="s">
        <v>6026</v>
      </c>
      <c r="D6367" s="9" t="s">
        <v>18</v>
      </c>
      <c r="F6367" s="6">
        <v>350</v>
      </c>
      <c r="G6367" s="11">
        <f t="shared" si="315"/>
        <v>350</v>
      </c>
      <c r="H6367" s="11">
        <f>100+100+100+50</f>
        <v>350</v>
      </c>
      <c r="I6367" s="26">
        <f t="shared" si="316"/>
        <v>0</v>
      </c>
      <c r="J6367" s="7" t="str">
        <f t="shared" si="317"/>
        <v>PAGADO</v>
      </c>
      <c r="K6367" t="s">
        <v>5974</v>
      </c>
      <c r="M6367" s="8" t="s">
        <v>6027</v>
      </c>
    </row>
    <row r="6368" spans="1:13" x14ac:dyDescent="0.25">
      <c r="A6368" s="73">
        <v>46099</v>
      </c>
      <c r="C6368" t="s">
        <v>6028</v>
      </c>
      <c r="D6368" t="s">
        <v>2278</v>
      </c>
      <c r="F6368" s="6">
        <v>60</v>
      </c>
      <c r="G6368" s="11">
        <f t="shared" si="315"/>
        <v>60</v>
      </c>
      <c r="H6368" s="11">
        <v>30</v>
      </c>
      <c r="I6368" s="26">
        <f t="shared" si="316"/>
        <v>30</v>
      </c>
      <c r="J6368" s="7" t="str">
        <f t="shared" si="317"/>
        <v>DEBE</v>
      </c>
      <c r="K6368" t="s">
        <v>5974</v>
      </c>
      <c r="M6368" s="8" t="s">
        <v>5988</v>
      </c>
    </row>
    <row r="6369" spans="1:13" x14ac:dyDescent="0.25">
      <c r="A6369" s="73">
        <v>46099</v>
      </c>
      <c r="C6369" s="9" t="s">
        <v>6029</v>
      </c>
      <c r="D6369" t="s">
        <v>2278</v>
      </c>
      <c r="F6369" s="6">
        <v>250</v>
      </c>
      <c r="G6369" s="11">
        <f t="shared" si="315"/>
        <v>250</v>
      </c>
      <c r="H6369" s="11">
        <v>125</v>
      </c>
      <c r="I6369" s="26">
        <f t="shared" si="316"/>
        <v>125</v>
      </c>
      <c r="J6369" s="7" t="str">
        <f t="shared" si="317"/>
        <v>DEBE</v>
      </c>
      <c r="K6369" t="s">
        <v>5974</v>
      </c>
      <c r="M6369" s="8" t="s">
        <v>6030</v>
      </c>
    </row>
    <row r="6370" spans="1:13" x14ac:dyDescent="0.25">
      <c r="A6370" s="73">
        <v>46099</v>
      </c>
      <c r="C6370" s="9" t="s">
        <v>6031</v>
      </c>
      <c r="D6370" t="s">
        <v>2278</v>
      </c>
      <c r="F6370" s="6">
        <v>230</v>
      </c>
      <c r="G6370" s="11">
        <f t="shared" si="315"/>
        <v>230</v>
      </c>
      <c r="H6370" s="11">
        <v>115</v>
      </c>
      <c r="I6370" s="26">
        <f t="shared" si="316"/>
        <v>115</v>
      </c>
      <c r="J6370" s="7" t="str">
        <f t="shared" si="317"/>
        <v>DEBE</v>
      </c>
      <c r="K6370" t="s">
        <v>5974</v>
      </c>
      <c r="M6370" s="82" t="s">
        <v>6027</v>
      </c>
    </row>
    <row r="6371" spans="1:13" x14ac:dyDescent="0.25">
      <c r="A6371" s="73">
        <v>46099</v>
      </c>
      <c r="C6371" t="s">
        <v>6032</v>
      </c>
      <c r="D6371" t="s">
        <v>5952</v>
      </c>
      <c r="F6371" s="6">
        <v>160</v>
      </c>
      <c r="G6371" s="11">
        <f t="shared" si="315"/>
        <v>160</v>
      </c>
      <c r="H6371" s="11">
        <v>80</v>
      </c>
      <c r="I6371" s="26">
        <f>F6371-H6371</f>
        <v>80</v>
      </c>
      <c r="J6371" s="7" t="str">
        <f>IF(I6371&gt;0,"DEBE","PAGADO")</f>
        <v>DEBE</v>
      </c>
      <c r="K6371" t="s">
        <v>5974</v>
      </c>
      <c r="M6371" s="8" t="s">
        <v>6033</v>
      </c>
    </row>
    <row r="6372" spans="1:13" x14ac:dyDescent="0.25">
      <c r="A6372" s="73">
        <v>46099</v>
      </c>
      <c r="C6372" t="s">
        <v>6034</v>
      </c>
      <c r="D6372" s="9" t="s">
        <v>2969</v>
      </c>
      <c r="F6372" s="6">
        <v>70</v>
      </c>
      <c r="G6372" s="11">
        <f t="shared" si="315"/>
        <v>70</v>
      </c>
      <c r="H6372" s="11">
        <v>70</v>
      </c>
      <c r="I6372" s="26">
        <f t="shared" si="316"/>
        <v>0</v>
      </c>
      <c r="J6372" s="7" t="str">
        <f t="shared" si="317"/>
        <v>PAGADO</v>
      </c>
      <c r="K6372" t="s">
        <v>5974</v>
      </c>
      <c r="M6372" s="8" t="s">
        <v>6035</v>
      </c>
    </row>
    <row r="6373" spans="1:13" x14ac:dyDescent="0.25">
      <c r="A6373" s="73">
        <v>46099</v>
      </c>
      <c r="C6373" t="s">
        <v>6036</v>
      </c>
      <c r="D6373" t="s">
        <v>2363</v>
      </c>
      <c r="F6373" s="6">
        <v>70</v>
      </c>
      <c r="G6373" s="11">
        <f t="shared" si="315"/>
        <v>70</v>
      </c>
      <c r="H6373" s="11">
        <v>35</v>
      </c>
      <c r="I6373" s="26">
        <f t="shared" si="316"/>
        <v>35</v>
      </c>
      <c r="J6373" s="7" t="str">
        <f t="shared" si="317"/>
        <v>DEBE</v>
      </c>
      <c r="K6373" t="s">
        <v>5974</v>
      </c>
      <c r="M6373" s="8" t="s">
        <v>6015</v>
      </c>
    </row>
    <row r="6374" spans="1:13" x14ac:dyDescent="0.25">
      <c r="A6374" s="73">
        <v>46099</v>
      </c>
      <c r="C6374" t="s">
        <v>6037</v>
      </c>
      <c r="D6374" t="s">
        <v>5643</v>
      </c>
      <c r="F6374" s="6">
        <v>90</v>
      </c>
      <c r="G6374" s="11">
        <f t="shared" si="315"/>
        <v>90</v>
      </c>
      <c r="H6374" s="11">
        <v>45</v>
      </c>
      <c r="I6374" s="26">
        <f t="shared" si="316"/>
        <v>45</v>
      </c>
      <c r="J6374" s="7" t="str">
        <f t="shared" si="317"/>
        <v>DEBE</v>
      </c>
      <c r="K6374" t="s">
        <v>5974</v>
      </c>
      <c r="M6374" s="8" t="s">
        <v>6038</v>
      </c>
    </row>
    <row r="6375" spans="1:13" x14ac:dyDescent="0.25">
      <c r="A6375" s="73">
        <v>46099</v>
      </c>
      <c r="C6375" t="s">
        <v>6039</v>
      </c>
      <c r="D6375" t="s">
        <v>5546</v>
      </c>
      <c r="F6375" s="6">
        <v>80</v>
      </c>
      <c r="G6375" s="11">
        <f t="shared" si="315"/>
        <v>80</v>
      </c>
      <c r="H6375" s="11">
        <v>40</v>
      </c>
      <c r="I6375" s="26">
        <f t="shared" si="316"/>
        <v>40</v>
      </c>
      <c r="J6375" s="7" t="str">
        <f t="shared" si="317"/>
        <v>DEBE</v>
      </c>
      <c r="K6375" t="s">
        <v>5974</v>
      </c>
      <c r="M6375" s="8" t="s">
        <v>5992</v>
      </c>
    </row>
    <row r="6376" spans="1:13" x14ac:dyDescent="0.25">
      <c r="A6376" s="73">
        <v>46099</v>
      </c>
      <c r="C6376" t="s">
        <v>6040</v>
      </c>
      <c r="D6376" t="s">
        <v>5546</v>
      </c>
      <c r="F6376" s="6">
        <v>100</v>
      </c>
      <c r="G6376" s="11">
        <f t="shared" si="315"/>
        <v>100</v>
      </c>
      <c r="H6376" s="11">
        <v>50</v>
      </c>
      <c r="I6376" s="26">
        <f t="shared" si="316"/>
        <v>50</v>
      </c>
      <c r="J6376" s="7" t="str">
        <f t="shared" si="317"/>
        <v>DEBE</v>
      </c>
      <c r="K6376" t="s">
        <v>5974</v>
      </c>
      <c r="M6376" s="8" t="s">
        <v>6041</v>
      </c>
    </row>
    <row r="6377" spans="1:13" x14ac:dyDescent="0.25">
      <c r="A6377" s="73">
        <v>46099</v>
      </c>
      <c r="C6377" t="s">
        <v>6042</v>
      </c>
      <c r="D6377" t="s">
        <v>5546</v>
      </c>
      <c r="F6377" s="6">
        <v>320</v>
      </c>
      <c r="G6377" s="11">
        <f t="shared" si="315"/>
        <v>320</v>
      </c>
      <c r="H6377" s="11">
        <v>160</v>
      </c>
      <c r="I6377" s="26">
        <f t="shared" si="316"/>
        <v>160</v>
      </c>
      <c r="J6377" s="7" t="str">
        <f t="shared" si="317"/>
        <v>DEBE</v>
      </c>
      <c r="K6377" t="s">
        <v>5974</v>
      </c>
      <c r="M6377" s="8" t="s">
        <v>6043</v>
      </c>
    </row>
    <row r="6378" spans="1:13" x14ac:dyDescent="0.25">
      <c r="A6378" s="73">
        <v>46099</v>
      </c>
      <c r="C6378" t="s">
        <v>6044</v>
      </c>
      <c r="D6378" t="s">
        <v>5546</v>
      </c>
      <c r="F6378" s="6">
        <v>80</v>
      </c>
      <c r="G6378" s="11">
        <f t="shared" si="315"/>
        <v>80</v>
      </c>
      <c r="H6378" s="11">
        <v>40</v>
      </c>
      <c r="I6378" s="26">
        <f t="shared" si="316"/>
        <v>40</v>
      </c>
      <c r="J6378" s="7" t="str">
        <f t="shared" si="317"/>
        <v>DEBE</v>
      </c>
      <c r="K6378" t="s">
        <v>5974</v>
      </c>
      <c r="M6378" s="8" t="s">
        <v>6045</v>
      </c>
    </row>
    <row r="6379" spans="1:13" x14ac:dyDescent="0.25">
      <c r="A6379" s="73">
        <v>46099</v>
      </c>
      <c r="C6379" t="s">
        <v>5989</v>
      </c>
      <c r="D6379" t="s">
        <v>5708</v>
      </c>
      <c r="F6379" s="6">
        <v>55</v>
      </c>
      <c r="G6379" s="11">
        <f t="shared" si="315"/>
        <v>55</v>
      </c>
      <c r="H6379" s="11">
        <v>30</v>
      </c>
      <c r="I6379" s="26">
        <f t="shared" si="316"/>
        <v>25</v>
      </c>
      <c r="J6379" s="7" t="str">
        <f t="shared" si="317"/>
        <v>DEBE</v>
      </c>
      <c r="K6379" t="s">
        <v>5974</v>
      </c>
      <c r="M6379" s="8" t="s">
        <v>5990</v>
      </c>
    </row>
    <row r="6380" spans="1:13" x14ac:dyDescent="0.25">
      <c r="A6380" s="73">
        <v>46099</v>
      </c>
      <c r="C6380" t="s">
        <v>6046</v>
      </c>
      <c r="D6380" t="s">
        <v>5708</v>
      </c>
      <c r="F6380" s="6">
        <v>65</v>
      </c>
      <c r="G6380" s="11">
        <f t="shared" si="315"/>
        <v>65</v>
      </c>
      <c r="H6380" s="11">
        <v>50</v>
      </c>
      <c r="I6380" s="26">
        <f t="shared" si="316"/>
        <v>15</v>
      </c>
      <c r="J6380" s="7" t="str">
        <f t="shared" si="317"/>
        <v>DEBE</v>
      </c>
      <c r="K6380" t="s">
        <v>5974</v>
      </c>
      <c r="M6380" s="8" t="s">
        <v>6047</v>
      </c>
    </row>
    <row r="6381" spans="1:13" x14ac:dyDescent="0.25">
      <c r="A6381" s="73">
        <v>46099</v>
      </c>
      <c r="C6381" t="s">
        <v>6048</v>
      </c>
      <c r="D6381" t="s">
        <v>5164</v>
      </c>
      <c r="F6381" s="6">
        <v>70</v>
      </c>
      <c r="G6381" s="11">
        <f t="shared" si="315"/>
        <v>70</v>
      </c>
      <c r="H6381" s="11">
        <v>35</v>
      </c>
      <c r="I6381" s="26">
        <f t="shared" si="316"/>
        <v>35</v>
      </c>
      <c r="J6381" s="7" t="str">
        <f t="shared" si="317"/>
        <v>DEBE</v>
      </c>
      <c r="K6381" t="s">
        <v>5974</v>
      </c>
      <c r="M6381" s="8" t="s">
        <v>6049</v>
      </c>
    </row>
    <row r="6382" spans="1:13" x14ac:dyDescent="0.25">
      <c r="A6382" s="73">
        <v>46099</v>
      </c>
      <c r="C6382" t="s">
        <v>6050</v>
      </c>
      <c r="D6382" t="s">
        <v>5939</v>
      </c>
      <c r="F6382" s="6">
        <v>80</v>
      </c>
      <c r="G6382" s="11">
        <f t="shared" si="315"/>
        <v>80</v>
      </c>
      <c r="H6382" s="11">
        <v>40</v>
      </c>
      <c r="I6382" s="26">
        <f t="shared" si="316"/>
        <v>40</v>
      </c>
      <c r="J6382" s="7" t="str">
        <f t="shared" si="317"/>
        <v>DEBE</v>
      </c>
      <c r="K6382" t="s">
        <v>5974</v>
      </c>
      <c r="M6382" s="8" t="s">
        <v>6051</v>
      </c>
    </row>
    <row r="6383" spans="1:13" x14ac:dyDescent="0.25">
      <c r="A6383" s="73">
        <v>46099</v>
      </c>
      <c r="C6383" t="s">
        <v>6052</v>
      </c>
      <c r="D6383" t="s">
        <v>6053</v>
      </c>
      <c r="F6383" s="6">
        <v>60</v>
      </c>
      <c r="G6383" s="11">
        <f t="shared" si="315"/>
        <v>60</v>
      </c>
      <c r="H6383" s="11">
        <v>60</v>
      </c>
      <c r="I6383" s="26">
        <f t="shared" si="316"/>
        <v>0</v>
      </c>
      <c r="J6383" s="7" t="str">
        <f t="shared" si="317"/>
        <v>PAGADO</v>
      </c>
      <c r="K6383" t="s">
        <v>5974</v>
      </c>
      <c r="M6383" s="8" t="s">
        <v>6054</v>
      </c>
    </row>
    <row r="6384" spans="1:13" x14ac:dyDescent="0.25">
      <c r="A6384" s="73">
        <v>46099</v>
      </c>
      <c r="C6384" t="s">
        <v>6055</v>
      </c>
      <c r="D6384" t="s">
        <v>4777</v>
      </c>
      <c r="F6384" s="6">
        <v>90</v>
      </c>
      <c r="G6384" s="11">
        <f t="shared" si="315"/>
        <v>90</v>
      </c>
      <c r="H6384" s="11">
        <v>45</v>
      </c>
      <c r="I6384" s="26">
        <f t="shared" si="316"/>
        <v>45</v>
      </c>
      <c r="J6384" s="7" t="str">
        <f t="shared" si="317"/>
        <v>DEBE</v>
      </c>
      <c r="K6384" t="s">
        <v>5974</v>
      </c>
      <c r="M6384" s="8" t="s">
        <v>6056</v>
      </c>
    </row>
    <row r="6385" spans="1:13" x14ac:dyDescent="0.25">
      <c r="A6385" s="73">
        <v>46099</v>
      </c>
      <c r="C6385" t="s">
        <v>6057</v>
      </c>
      <c r="D6385" t="s">
        <v>5164</v>
      </c>
      <c r="F6385" s="6">
        <v>25</v>
      </c>
      <c r="G6385" s="11">
        <f t="shared" si="315"/>
        <v>25</v>
      </c>
      <c r="H6385" s="11">
        <v>12.5</v>
      </c>
      <c r="I6385" s="26">
        <f t="shared" si="316"/>
        <v>12.5</v>
      </c>
      <c r="J6385" s="7" t="str">
        <f t="shared" si="317"/>
        <v>DEBE</v>
      </c>
      <c r="K6385" t="s">
        <v>5974</v>
      </c>
      <c r="M6385" s="8" t="s">
        <v>5981</v>
      </c>
    </row>
    <row r="6386" spans="1:13" x14ac:dyDescent="0.25">
      <c r="A6386" s="73">
        <v>46099</v>
      </c>
      <c r="C6386" t="s">
        <v>6058</v>
      </c>
      <c r="D6386" t="s">
        <v>5546</v>
      </c>
      <c r="F6386" s="6">
        <v>150</v>
      </c>
      <c r="G6386" s="11">
        <f t="shared" si="315"/>
        <v>150</v>
      </c>
      <c r="H6386" s="11">
        <v>75</v>
      </c>
      <c r="I6386" s="26">
        <f t="shared" si="316"/>
        <v>75</v>
      </c>
      <c r="J6386" s="7" t="str">
        <f t="shared" si="317"/>
        <v>DEBE</v>
      </c>
      <c r="K6386" t="s">
        <v>5974</v>
      </c>
      <c r="M6386" s="8" t="s">
        <v>6059</v>
      </c>
    </row>
    <row r="6387" spans="1:13" x14ac:dyDescent="0.25">
      <c r="A6387" s="73">
        <v>46099</v>
      </c>
      <c r="C6387" t="s">
        <v>6060</v>
      </c>
      <c r="D6387" t="s">
        <v>5967</v>
      </c>
      <c r="F6387" s="6">
        <v>65</v>
      </c>
      <c r="G6387" s="11">
        <f t="shared" si="315"/>
        <v>65</v>
      </c>
      <c r="H6387" s="11">
        <v>32.5</v>
      </c>
      <c r="I6387" s="26">
        <f t="shared" si="316"/>
        <v>32.5</v>
      </c>
      <c r="J6387" s="7" t="str">
        <f t="shared" si="317"/>
        <v>DEBE</v>
      </c>
      <c r="K6387" t="s">
        <v>5974</v>
      </c>
      <c r="M6387" s="8" t="s">
        <v>6061</v>
      </c>
    </row>
    <row r="6388" spans="1:13" x14ac:dyDescent="0.25">
      <c r="A6388" s="73">
        <v>46099</v>
      </c>
      <c r="C6388" t="s">
        <v>6062</v>
      </c>
      <c r="D6388" t="s">
        <v>5164</v>
      </c>
      <c r="F6388" s="6">
        <v>80</v>
      </c>
      <c r="G6388" s="11">
        <f t="shared" si="315"/>
        <v>80</v>
      </c>
      <c r="H6388" s="11">
        <v>40</v>
      </c>
      <c r="I6388" s="26">
        <f t="shared" si="316"/>
        <v>40</v>
      </c>
      <c r="J6388" s="7" t="str">
        <f t="shared" si="317"/>
        <v>DEBE</v>
      </c>
      <c r="K6388" t="s">
        <v>5974</v>
      </c>
      <c r="M6388" s="8" t="s">
        <v>6063</v>
      </c>
    </row>
    <row r="6389" spans="1:13" x14ac:dyDescent="0.25">
      <c r="A6389" s="73">
        <v>46099</v>
      </c>
      <c r="C6389" t="s">
        <v>6064</v>
      </c>
      <c r="D6389" t="s">
        <v>5794</v>
      </c>
      <c r="F6389" s="6">
        <v>50</v>
      </c>
      <c r="G6389" s="11">
        <f t="shared" si="315"/>
        <v>50</v>
      </c>
      <c r="H6389" s="11">
        <v>25</v>
      </c>
      <c r="I6389" s="26">
        <f t="shared" si="316"/>
        <v>25</v>
      </c>
      <c r="J6389" s="7" t="str">
        <f t="shared" si="317"/>
        <v>DEBE</v>
      </c>
      <c r="K6389" t="s">
        <v>5974</v>
      </c>
      <c r="M6389" s="8" t="s">
        <v>6047</v>
      </c>
    </row>
    <row r="6390" spans="1:13" x14ac:dyDescent="0.25">
      <c r="A6390" s="73">
        <v>46099</v>
      </c>
      <c r="C6390" t="s">
        <v>3737</v>
      </c>
      <c r="D6390" t="s">
        <v>5485</v>
      </c>
      <c r="F6390" s="6">
        <v>80</v>
      </c>
      <c r="G6390" s="11">
        <f t="shared" si="315"/>
        <v>80</v>
      </c>
      <c r="H6390" s="11">
        <v>40</v>
      </c>
      <c r="I6390" s="26">
        <f t="shared" si="316"/>
        <v>40</v>
      </c>
      <c r="J6390" s="7" t="str">
        <f t="shared" si="317"/>
        <v>DEBE</v>
      </c>
      <c r="K6390" t="s">
        <v>5974</v>
      </c>
      <c r="M6390" s="8" t="s">
        <v>6065</v>
      </c>
    </row>
    <row r="6391" spans="1:13" x14ac:dyDescent="0.25">
      <c r="A6391" s="73">
        <v>46099</v>
      </c>
      <c r="C6391" t="s">
        <v>6066</v>
      </c>
      <c r="D6391" t="s">
        <v>4974</v>
      </c>
      <c r="F6391" s="6">
        <v>75</v>
      </c>
      <c r="G6391" s="11">
        <f t="shared" si="315"/>
        <v>75</v>
      </c>
      <c r="H6391" s="11">
        <v>37.5</v>
      </c>
      <c r="I6391" s="26">
        <f t="shared" si="316"/>
        <v>37.5</v>
      </c>
      <c r="J6391" s="7" t="str">
        <f t="shared" si="317"/>
        <v>DEBE</v>
      </c>
      <c r="K6391" t="s">
        <v>5974</v>
      </c>
      <c r="M6391" s="8" t="s">
        <v>6013</v>
      </c>
    </row>
    <row r="6392" spans="1:13" x14ac:dyDescent="0.25">
      <c r="A6392" s="73">
        <v>46099</v>
      </c>
      <c r="C6392" t="s">
        <v>6067</v>
      </c>
      <c r="D6392" t="s">
        <v>5171</v>
      </c>
      <c r="F6392" s="6">
        <v>60</v>
      </c>
      <c r="G6392" s="11">
        <f t="shared" si="315"/>
        <v>60</v>
      </c>
      <c r="H6392" s="11">
        <v>30</v>
      </c>
      <c r="I6392" s="26">
        <f t="shared" si="316"/>
        <v>30</v>
      </c>
      <c r="J6392" s="7" t="str">
        <f t="shared" si="317"/>
        <v>DEBE</v>
      </c>
      <c r="K6392" t="s">
        <v>5974</v>
      </c>
      <c r="M6392" s="8" t="s">
        <v>6009</v>
      </c>
    </row>
    <row r="6393" spans="1:13" x14ac:dyDescent="0.25">
      <c r="A6393" s="73">
        <v>46099</v>
      </c>
      <c r="C6393" t="s">
        <v>6068</v>
      </c>
      <c r="D6393" t="s">
        <v>5171</v>
      </c>
      <c r="F6393" s="6">
        <v>60</v>
      </c>
      <c r="G6393" s="11">
        <f t="shared" si="315"/>
        <v>60</v>
      </c>
      <c r="H6393" s="11">
        <v>30</v>
      </c>
      <c r="I6393" s="26">
        <f t="shared" si="316"/>
        <v>30</v>
      </c>
      <c r="J6393" s="7" t="str">
        <f t="shared" si="317"/>
        <v>DEBE</v>
      </c>
      <c r="K6393" t="s">
        <v>5974</v>
      </c>
      <c r="M6393" s="8" t="s">
        <v>6009</v>
      </c>
    </row>
    <row r="6394" spans="1:13" x14ac:dyDescent="0.25">
      <c r="A6394" s="73">
        <v>46099</v>
      </c>
      <c r="C6394" t="s">
        <v>6001</v>
      </c>
      <c r="D6394" t="s">
        <v>5053</v>
      </c>
      <c r="F6394" s="6">
        <v>70</v>
      </c>
      <c r="G6394" s="11">
        <f t="shared" si="315"/>
        <v>70</v>
      </c>
      <c r="H6394" s="11">
        <v>35</v>
      </c>
      <c r="I6394" s="26">
        <f t="shared" si="316"/>
        <v>35</v>
      </c>
      <c r="J6394" s="7" t="str">
        <f t="shared" si="317"/>
        <v>DEBE</v>
      </c>
      <c r="K6394" t="s">
        <v>5974</v>
      </c>
      <c r="M6394" s="8" t="s">
        <v>6002</v>
      </c>
    </row>
    <row r="6395" spans="1:13" x14ac:dyDescent="0.25">
      <c r="A6395" s="73">
        <v>46099</v>
      </c>
      <c r="C6395" s="9" t="s">
        <v>6069</v>
      </c>
      <c r="D6395" t="s">
        <v>5218</v>
      </c>
      <c r="F6395" s="6">
        <v>120</v>
      </c>
      <c r="G6395" s="11">
        <f t="shared" si="315"/>
        <v>120</v>
      </c>
      <c r="H6395" s="11">
        <v>60</v>
      </c>
      <c r="I6395" s="26">
        <f t="shared" si="316"/>
        <v>60</v>
      </c>
      <c r="J6395" s="7" t="str">
        <f t="shared" si="317"/>
        <v>DEBE</v>
      </c>
      <c r="K6395" t="s">
        <v>5974</v>
      </c>
      <c r="M6395" s="8" t="s">
        <v>6017</v>
      </c>
    </row>
    <row r="6396" spans="1:13" x14ac:dyDescent="0.25">
      <c r="A6396" s="73">
        <v>46099</v>
      </c>
      <c r="C6396" t="s">
        <v>6070</v>
      </c>
      <c r="D6396" t="s">
        <v>5164</v>
      </c>
      <c r="F6396" s="6">
        <v>130</v>
      </c>
      <c r="G6396" s="11">
        <f t="shared" si="315"/>
        <v>130</v>
      </c>
      <c r="H6396" s="11">
        <v>65</v>
      </c>
      <c r="I6396" s="26">
        <f t="shared" si="316"/>
        <v>65</v>
      </c>
      <c r="J6396" s="7" t="str">
        <f t="shared" si="317"/>
        <v>DEBE</v>
      </c>
      <c r="K6396" t="s">
        <v>5974</v>
      </c>
      <c r="M6396" s="8" t="s">
        <v>6059</v>
      </c>
    </row>
    <row r="6397" spans="1:13" x14ac:dyDescent="0.25">
      <c r="A6397" s="73">
        <v>46099</v>
      </c>
      <c r="C6397" t="s">
        <v>6071</v>
      </c>
      <c r="D6397" t="s">
        <v>3012</v>
      </c>
      <c r="F6397" s="6">
        <v>60</v>
      </c>
      <c r="G6397" s="11">
        <f t="shared" si="315"/>
        <v>60</v>
      </c>
      <c r="H6397" s="11">
        <v>30</v>
      </c>
      <c r="I6397" s="26">
        <f t="shared" si="316"/>
        <v>30</v>
      </c>
      <c r="J6397" s="7" t="str">
        <f t="shared" si="317"/>
        <v>DEBE</v>
      </c>
      <c r="K6397" t="s">
        <v>5974</v>
      </c>
      <c r="M6397" s="8" t="s">
        <v>6017</v>
      </c>
    </row>
    <row r="6398" spans="1:13" x14ac:dyDescent="0.25">
      <c r="A6398" s="73">
        <v>46099</v>
      </c>
      <c r="C6398" t="s">
        <v>6072</v>
      </c>
      <c r="D6398" t="s">
        <v>4820</v>
      </c>
      <c r="F6398" s="6">
        <v>60</v>
      </c>
      <c r="G6398" s="11">
        <f t="shared" ref="G6398:G6461" si="318">F6398-E6398</f>
        <v>60</v>
      </c>
      <c r="H6398" s="11">
        <v>30</v>
      </c>
      <c r="I6398" s="26">
        <f t="shared" si="316"/>
        <v>30</v>
      </c>
      <c r="J6398" s="7" t="str">
        <f t="shared" si="317"/>
        <v>DEBE</v>
      </c>
      <c r="K6398" t="s">
        <v>5974</v>
      </c>
      <c r="M6398" s="8" t="s">
        <v>6051</v>
      </c>
    </row>
    <row r="6399" spans="1:13" x14ac:dyDescent="0.25">
      <c r="A6399" s="73">
        <v>46099</v>
      </c>
      <c r="C6399" t="s">
        <v>6073</v>
      </c>
      <c r="D6399" t="s">
        <v>2857</v>
      </c>
      <c r="F6399" s="6">
        <v>140</v>
      </c>
      <c r="G6399" s="11">
        <f t="shared" si="318"/>
        <v>140</v>
      </c>
      <c r="H6399" s="11">
        <v>70</v>
      </c>
      <c r="I6399" s="26">
        <f t="shared" si="316"/>
        <v>70</v>
      </c>
      <c r="J6399" s="7" t="str">
        <f t="shared" si="317"/>
        <v>DEBE</v>
      </c>
      <c r="K6399" t="s">
        <v>5974</v>
      </c>
      <c r="M6399" s="8" t="s">
        <v>6049</v>
      </c>
    </row>
    <row r="6400" spans="1:13" x14ac:dyDescent="0.25">
      <c r="A6400" s="73">
        <v>46099</v>
      </c>
      <c r="C6400" t="s">
        <v>6062</v>
      </c>
      <c r="D6400" t="s">
        <v>2360</v>
      </c>
      <c r="F6400" s="6">
        <v>80</v>
      </c>
      <c r="G6400" s="11">
        <f t="shared" si="318"/>
        <v>80</v>
      </c>
      <c r="H6400" s="11">
        <v>40</v>
      </c>
      <c r="I6400" s="26">
        <f t="shared" si="316"/>
        <v>40</v>
      </c>
      <c r="J6400" s="7" t="str">
        <f t="shared" si="317"/>
        <v>DEBE</v>
      </c>
      <c r="K6400" t="s">
        <v>5974</v>
      </c>
      <c r="M6400" s="8" t="s">
        <v>6074</v>
      </c>
    </row>
    <row r="6401" spans="1:13" x14ac:dyDescent="0.25">
      <c r="A6401" s="73">
        <v>46099</v>
      </c>
      <c r="C6401" t="s">
        <v>6075</v>
      </c>
      <c r="D6401" t="s">
        <v>3026</v>
      </c>
      <c r="F6401" s="6">
        <v>60</v>
      </c>
      <c r="G6401" s="11">
        <f t="shared" si="318"/>
        <v>60</v>
      </c>
      <c r="H6401" s="11">
        <v>60</v>
      </c>
      <c r="I6401" s="26">
        <f t="shared" si="316"/>
        <v>0</v>
      </c>
      <c r="J6401" s="7" t="str">
        <f t="shared" si="317"/>
        <v>PAGADO</v>
      </c>
      <c r="K6401" t="s">
        <v>5974</v>
      </c>
      <c r="M6401" s="8" t="s">
        <v>6019</v>
      </c>
    </row>
    <row r="6402" spans="1:13" x14ac:dyDescent="0.25">
      <c r="A6402" s="73">
        <v>46099</v>
      </c>
      <c r="C6402" t="s">
        <v>6076</v>
      </c>
      <c r="D6402" t="s">
        <v>2363</v>
      </c>
      <c r="F6402" s="6">
        <v>60</v>
      </c>
      <c r="G6402" s="11">
        <f t="shared" si="318"/>
        <v>60</v>
      </c>
      <c r="H6402" s="11">
        <v>30</v>
      </c>
      <c r="I6402" s="26">
        <f t="shared" si="316"/>
        <v>30</v>
      </c>
      <c r="J6402" s="7" t="str">
        <f t="shared" si="317"/>
        <v>DEBE</v>
      </c>
      <c r="K6402" t="s">
        <v>5974</v>
      </c>
      <c r="M6402" s="8" t="s">
        <v>6063</v>
      </c>
    </row>
    <row r="6403" spans="1:13" x14ac:dyDescent="0.25">
      <c r="A6403" s="73">
        <v>46099</v>
      </c>
      <c r="C6403" t="s">
        <v>6077</v>
      </c>
      <c r="D6403" t="s">
        <v>2363</v>
      </c>
      <c r="F6403" s="6">
        <v>80</v>
      </c>
      <c r="G6403" s="11">
        <f t="shared" si="318"/>
        <v>80</v>
      </c>
      <c r="H6403" s="11">
        <v>40</v>
      </c>
      <c r="I6403" s="26">
        <f t="shared" si="316"/>
        <v>40</v>
      </c>
      <c r="J6403" s="7" t="str">
        <f t="shared" si="317"/>
        <v>DEBE</v>
      </c>
      <c r="K6403" t="s">
        <v>5974</v>
      </c>
      <c r="M6403" s="8" t="s">
        <v>6063</v>
      </c>
    </row>
    <row r="6404" spans="1:13" x14ac:dyDescent="0.25">
      <c r="A6404" s="73">
        <v>46099</v>
      </c>
      <c r="C6404" t="s">
        <v>6078</v>
      </c>
      <c r="D6404" t="s">
        <v>2363</v>
      </c>
      <c r="F6404" s="6">
        <v>150</v>
      </c>
      <c r="G6404" s="11">
        <f t="shared" si="318"/>
        <v>150</v>
      </c>
      <c r="H6404" s="11">
        <v>75</v>
      </c>
      <c r="I6404" s="26">
        <f t="shared" si="316"/>
        <v>75</v>
      </c>
      <c r="J6404" s="7" t="str">
        <f t="shared" si="317"/>
        <v>DEBE</v>
      </c>
      <c r="K6404" t="s">
        <v>5974</v>
      </c>
      <c r="M6404" s="8" t="s">
        <v>5996</v>
      </c>
    </row>
    <row r="6405" spans="1:13" x14ac:dyDescent="0.25">
      <c r="A6405" s="73">
        <v>46099</v>
      </c>
      <c r="C6405" t="s">
        <v>6079</v>
      </c>
      <c r="D6405" t="s">
        <v>2278</v>
      </c>
      <c r="F6405" s="6">
        <v>70</v>
      </c>
      <c r="G6405" s="11">
        <f t="shared" si="318"/>
        <v>70</v>
      </c>
      <c r="H6405" s="11">
        <v>35</v>
      </c>
      <c r="I6405" s="26">
        <f t="shared" si="316"/>
        <v>35</v>
      </c>
      <c r="J6405" s="7" t="str">
        <f t="shared" si="317"/>
        <v>DEBE</v>
      </c>
      <c r="K6405" t="s">
        <v>5974</v>
      </c>
      <c r="M6405" s="8" t="s">
        <v>6007</v>
      </c>
    </row>
    <row r="6406" spans="1:13" x14ac:dyDescent="0.25">
      <c r="A6406" s="73">
        <v>46099</v>
      </c>
      <c r="C6406" t="s">
        <v>6080</v>
      </c>
      <c r="D6406" t="s">
        <v>67</v>
      </c>
      <c r="F6406" s="6">
        <v>80</v>
      </c>
      <c r="G6406" s="11">
        <f t="shared" si="318"/>
        <v>80</v>
      </c>
      <c r="H6406" s="11">
        <v>40</v>
      </c>
      <c r="I6406" s="26">
        <f t="shared" si="316"/>
        <v>40</v>
      </c>
      <c r="J6406" s="7" t="str">
        <f t="shared" si="317"/>
        <v>DEBE</v>
      </c>
      <c r="K6406" t="s">
        <v>5974</v>
      </c>
      <c r="M6406" s="8" t="s">
        <v>6045</v>
      </c>
    </row>
    <row r="6407" spans="1:13" x14ac:dyDescent="0.25">
      <c r="A6407" s="73">
        <v>46099</v>
      </c>
      <c r="C6407" t="s">
        <v>5991</v>
      </c>
      <c r="D6407" t="s">
        <v>67</v>
      </c>
      <c r="F6407" s="6">
        <v>80</v>
      </c>
      <c r="G6407" s="11">
        <f t="shared" si="318"/>
        <v>80</v>
      </c>
      <c r="H6407" s="11">
        <v>40</v>
      </c>
      <c r="I6407" s="26">
        <f t="shared" si="316"/>
        <v>40</v>
      </c>
      <c r="J6407" s="7" t="str">
        <f t="shared" si="317"/>
        <v>DEBE</v>
      </c>
      <c r="K6407" t="s">
        <v>5974</v>
      </c>
      <c r="M6407" s="8" t="s">
        <v>5992</v>
      </c>
    </row>
    <row r="6408" spans="1:13" x14ac:dyDescent="0.25">
      <c r="A6408" s="73">
        <v>46099</v>
      </c>
      <c r="C6408" t="s">
        <v>6081</v>
      </c>
      <c r="D6408" t="s">
        <v>2548</v>
      </c>
      <c r="F6408" s="6">
        <v>240</v>
      </c>
      <c r="G6408" s="11">
        <f t="shared" si="318"/>
        <v>240</v>
      </c>
      <c r="H6408" s="30">
        <v>120</v>
      </c>
      <c r="I6408" s="26">
        <f t="shared" si="316"/>
        <v>120</v>
      </c>
      <c r="J6408" s="7" t="str">
        <f t="shared" si="317"/>
        <v>DEBE</v>
      </c>
      <c r="K6408" t="s">
        <v>5974</v>
      </c>
      <c r="M6408" s="8" t="s">
        <v>5994</v>
      </c>
    </row>
    <row r="6409" spans="1:13" x14ac:dyDescent="0.25">
      <c r="A6409" s="73">
        <v>46099</v>
      </c>
      <c r="C6409" t="s">
        <v>6082</v>
      </c>
      <c r="D6409" t="s">
        <v>2548</v>
      </c>
      <c r="F6409" s="6">
        <v>230</v>
      </c>
      <c r="G6409" s="11">
        <f t="shared" si="318"/>
        <v>230</v>
      </c>
      <c r="H6409" s="30">
        <v>115</v>
      </c>
      <c r="I6409" s="26">
        <f t="shared" si="316"/>
        <v>115</v>
      </c>
      <c r="J6409" s="7" t="str">
        <f t="shared" si="317"/>
        <v>DEBE</v>
      </c>
      <c r="K6409" t="s">
        <v>5974</v>
      </c>
      <c r="M6409" s="8" t="s">
        <v>5986</v>
      </c>
    </row>
    <row r="6410" spans="1:13" x14ac:dyDescent="0.25">
      <c r="A6410" s="73">
        <v>46099</v>
      </c>
      <c r="C6410" t="s">
        <v>6083</v>
      </c>
      <c r="D6410" s="9" t="s">
        <v>1451</v>
      </c>
      <c r="F6410" s="6">
        <v>80</v>
      </c>
      <c r="G6410" s="11">
        <f t="shared" si="318"/>
        <v>80</v>
      </c>
      <c r="H6410" s="11">
        <v>80</v>
      </c>
      <c r="I6410" s="26">
        <f t="shared" si="316"/>
        <v>0</v>
      </c>
      <c r="J6410" s="7" t="str">
        <f t="shared" si="317"/>
        <v>PAGADO</v>
      </c>
      <c r="K6410" t="s">
        <v>5974</v>
      </c>
      <c r="M6410" s="8" t="s">
        <v>6084</v>
      </c>
    </row>
    <row r="6411" spans="1:13" x14ac:dyDescent="0.25">
      <c r="A6411" s="73">
        <v>46099</v>
      </c>
      <c r="C6411" t="s">
        <v>6085</v>
      </c>
      <c r="D6411" t="s">
        <v>5164</v>
      </c>
      <c r="F6411" s="6">
        <v>140</v>
      </c>
      <c r="G6411" s="11">
        <f t="shared" si="318"/>
        <v>140</v>
      </c>
      <c r="H6411" s="11">
        <v>70</v>
      </c>
      <c r="I6411" s="26">
        <f t="shared" ref="I6411:I6474" si="319">F6411-H6411</f>
        <v>70</v>
      </c>
      <c r="J6411" s="7" t="str">
        <f t="shared" si="317"/>
        <v>DEBE</v>
      </c>
      <c r="K6411" t="s">
        <v>5974</v>
      </c>
      <c r="M6411" s="8" t="s">
        <v>6086</v>
      </c>
    </row>
    <row r="6412" spans="1:13" x14ac:dyDescent="0.25">
      <c r="A6412" s="73">
        <v>46099</v>
      </c>
      <c r="C6412" t="s">
        <v>6081</v>
      </c>
      <c r="D6412" t="s">
        <v>67</v>
      </c>
      <c r="F6412" s="6">
        <v>240</v>
      </c>
      <c r="G6412" s="11">
        <f t="shared" si="318"/>
        <v>240</v>
      </c>
      <c r="H6412" s="11">
        <v>120</v>
      </c>
      <c r="I6412" s="26">
        <f t="shared" si="319"/>
        <v>120</v>
      </c>
      <c r="J6412" s="7" t="str">
        <f t="shared" si="317"/>
        <v>DEBE</v>
      </c>
      <c r="K6412" t="s">
        <v>5974</v>
      </c>
      <c r="M6412" s="8" t="s">
        <v>5994</v>
      </c>
    </row>
    <row r="6413" spans="1:13" x14ac:dyDescent="0.25">
      <c r="A6413" s="73">
        <v>46099</v>
      </c>
      <c r="C6413" t="s">
        <v>6087</v>
      </c>
      <c r="D6413" t="s">
        <v>1510</v>
      </c>
      <c r="F6413" s="6">
        <v>300</v>
      </c>
      <c r="G6413" s="11">
        <f t="shared" si="318"/>
        <v>300</v>
      </c>
      <c r="H6413" s="11">
        <v>150</v>
      </c>
      <c r="I6413" s="26">
        <f t="shared" si="319"/>
        <v>150</v>
      </c>
      <c r="J6413" s="7" t="str">
        <f t="shared" si="317"/>
        <v>DEBE</v>
      </c>
      <c r="K6413" t="s">
        <v>5974</v>
      </c>
      <c r="M6413" s="8" t="s">
        <v>5992</v>
      </c>
    </row>
    <row r="6414" spans="1:13" x14ac:dyDescent="0.25">
      <c r="A6414" s="73">
        <v>46099</v>
      </c>
      <c r="C6414" t="s">
        <v>6088</v>
      </c>
      <c r="D6414" t="s">
        <v>1510</v>
      </c>
      <c r="F6414" s="6">
        <v>160</v>
      </c>
      <c r="G6414" s="11">
        <f t="shared" si="318"/>
        <v>160</v>
      </c>
      <c r="H6414" s="11">
        <v>80</v>
      </c>
      <c r="I6414" s="26">
        <f t="shared" si="319"/>
        <v>80</v>
      </c>
      <c r="J6414" s="7" t="str">
        <f t="shared" si="317"/>
        <v>DEBE</v>
      </c>
      <c r="K6414" t="s">
        <v>5974</v>
      </c>
      <c r="M6414" s="8" t="s">
        <v>5992</v>
      </c>
    </row>
    <row r="6415" spans="1:13" x14ac:dyDescent="0.25">
      <c r="A6415" s="73">
        <v>46099</v>
      </c>
      <c r="C6415" t="s">
        <v>6023</v>
      </c>
      <c r="D6415" t="s">
        <v>1510</v>
      </c>
      <c r="F6415" s="6">
        <v>80</v>
      </c>
      <c r="G6415" s="11">
        <f t="shared" si="318"/>
        <v>80</v>
      </c>
      <c r="H6415" s="11">
        <v>40</v>
      </c>
      <c r="I6415" s="26">
        <f t="shared" si="319"/>
        <v>40</v>
      </c>
      <c r="J6415" s="7" t="str">
        <f t="shared" ref="J6415:J6478" si="320">IF(I6415&gt;0,"DEBE","PAGADO")</f>
        <v>DEBE</v>
      </c>
      <c r="K6415" t="s">
        <v>5974</v>
      </c>
      <c r="M6415" s="8" t="s">
        <v>6038</v>
      </c>
    </row>
    <row r="6416" spans="1:13" x14ac:dyDescent="0.25">
      <c r="A6416" s="73">
        <v>46099</v>
      </c>
      <c r="C6416" t="s">
        <v>6089</v>
      </c>
      <c r="D6416" t="s">
        <v>1510</v>
      </c>
      <c r="F6416" s="6">
        <v>70</v>
      </c>
      <c r="G6416" s="11">
        <f t="shared" si="318"/>
        <v>70</v>
      </c>
      <c r="H6416" s="11">
        <v>35</v>
      </c>
      <c r="I6416" s="26">
        <f t="shared" si="319"/>
        <v>35</v>
      </c>
      <c r="J6416" s="7" t="str">
        <f t="shared" si="320"/>
        <v>DEBE</v>
      </c>
      <c r="K6416" t="s">
        <v>5974</v>
      </c>
      <c r="M6416" s="8" t="s">
        <v>6090</v>
      </c>
    </row>
    <row r="6417" spans="1:13" x14ac:dyDescent="0.25">
      <c r="A6417" s="73">
        <v>46099</v>
      </c>
      <c r="C6417" t="s">
        <v>6091</v>
      </c>
      <c r="D6417" t="s">
        <v>1510</v>
      </c>
      <c r="F6417" s="6">
        <v>260</v>
      </c>
      <c r="G6417" s="11">
        <f t="shared" si="318"/>
        <v>260</v>
      </c>
      <c r="H6417" s="11">
        <v>130</v>
      </c>
      <c r="I6417" s="26">
        <f t="shared" si="319"/>
        <v>130</v>
      </c>
      <c r="J6417" s="7" t="str">
        <f t="shared" si="320"/>
        <v>DEBE</v>
      </c>
      <c r="K6417" t="s">
        <v>5974</v>
      </c>
      <c r="M6417" s="8" t="s">
        <v>6061</v>
      </c>
    </row>
    <row r="6418" spans="1:13" x14ac:dyDescent="0.25">
      <c r="A6418" s="73">
        <v>46099</v>
      </c>
      <c r="C6418" t="s">
        <v>6092</v>
      </c>
      <c r="D6418" t="s">
        <v>1510</v>
      </c>
      <c r="F6418" s="6">
        <v>150</v>
      </c>
      <c r="G6418" s="11">
        <f t="shared" si="318"/>
        <v>150</v>
      </c>
      <c r="H6418" s="11">
        <v>75</v>
      </c>
      <c r="I6418" s="26">
        <f t="shared" si="319"/>
        <v>75</v>
      </c>
      <c r="J6418" s="7" t="str">
        <f t="shared" si="320"/>
        <v>DEBE</v>
      </c>
      <c r="K6418" t="s">
        <v>5974</v>
      </c>
      <c r="M6418" s="8" t="s">
        <v>6013</v>
      </c>
    </row>
    <row r="6419" spans="1:13" x14ac:dyDescent="0.25">
      <c r="A6419" s="73">
        <v>46099</v>
      </c>
      <c r="C6419" t="s">
        <v>4347</v>
      </c>
      <c r="D6419" t="s">
        <v>1510</v>
      </c>
      <c r="F6419" s="6">
        <v>80</v>
      </c>
      <c r="G6419" s="11">
        <f t="shared" si="318"/>
        <v>80</v>
      </c>
      <c r="H6419" s="11">
        <v>40</v>
      </c>
      <c r="I6419" s="26">
        <f t="shared" si="319"/>
        <v>40</v>
      </c>
      <c r="J6419" s="7" t="str">
        <f t="shared" si="320"/>
        <v>DEBE</v>
      </c>
      <c r="K6419" t="s">
        <v>5974</v>
      </c>
      <c r="M6419" s="8" t="s">
        <v>6093</v>
      </c>
    </row>
    <row r="6420" spans="1:13" x14ac:dyDescent="0.25">
      <c r="A6420" s="73">
        <v>46099</v>
      </c>
      <c r="C6420" t="s">
        <v>5976</v>
      </c>
      <c r="D6420" t="s">
        <v>1510</v>
      </c>
      <c r="F6420" s="6">
        <v>80</v>
      </c>
      <c r="G6420" s="11">
        <f t="shared" si="318"/>
        <v>80</v>
      </c>
      <c r="H6420" s="11">
        <v>40</v>
      </c>
      <c r="I6420" s="26">
        <f t="shared" si="319"/>
        <v>40</v>
      </c>
      <c r="J6420" s="7" t="str">
        <f t="shared" si="320"/>
        <v>DEBE</v>
      </c>
      <c r="K6420" t="s">
        <v>5974</v>
      </c>
      <c r="M6420" s="8" t="s">
        <v>6093</v>
      </c>
    </row>
    <row r="6421" spans="1:13" x14ac:dyDescent="0.25">
      <c r="A6421" s="73">
        <v>46099</v>
      </c>
      <c r="C6421" t="s">
        <v>6094</v>
      </c>
      <c r="D6421" t="s">
        <v>1510</v>
      </c>
      <c r="F6421" s="6">
        <v>160</v>
      </c>
      <c r="G6421" s="11">
        <f t="shared" si="318"/>
        <v>160</v>
      </c>
      <c r="H6421" s="11">
        <v>80</v>
      </c>
      <c r="I6421" s="26">
        <f t="shared" si="319"/>
        <v>80</v>
      </c>
      <c r="J6421" s="7" t="str">
        <f t="shared" si="320"/>
        <v>DEBE</v>
      </c>
      <c r="K6421" t="s">
        <v>5974</v>
      </c>
      <c r="M6421" s="8" t="s">
        <v>6095</v>
      </c>
    </row>
    <row r="6422" spans="1:13" x14ac:dyDescent="0.25">
      <c r="A6422" s="73">
        <v>46099</v>
      </c>
      <c r="C6422" t="s">
        <v>6096</v>
      </c>
      <c r="D6422" t="s">
        <v>1510</v>
      </c>
      <c r="F6422" s="6">
        <v>80</v>
      </c>
      <c r="G6422" s="11">
        <f t="shared" si="318"/>
        <v>80</v>
      </c>
      <c r="H6422" s="11">
        <v>40</v>
      </c>
      <c r="I6422" s="26">
        <f t="shared" si="319"/>
        <v>40</v>
      </c>
      <c r="J6422" s="7" t="str">
        <f t="shared" si="320"/>
        <v>DEBE</v>
      </c>
      <c r="K6422" t="s">
        <v>5974</v>
      </c>
      <c r="M6422" s="8" t="s">
        <v>6041</v>
      </c>
    </row>
    <row r="6423" spans="1:13" x14ac:dyDescent="0.25">
      <c r="A6423" s="73">
        <v>46099</v>
      </c>
      <c r="C6423" t="s">
        <v>6097</v>
      </c>
      <c r="D6423" t="s">
        <v>1510</v>
      </c>
      <c r="F6423" s="6">
        <v>70</v>
      </c>
      <c r="G6423" s="11">
        <f t="shared" si="318"/>
        <v>70</v>
      </c>
      <c r="H6423" s="11">
        <v>35</v>
      </c>
      <c r="I6423" s="26">
        <f t="shared" si="319"/>
        <v>35</v>
      </c>
      <c r="J6423" s="7" t="str">
        <f t="shared" si="320"/>
        <v>DEBE</v>
      </c>
      <c r="K6423" t="s">
        <v>5974</v>
      </c>
      <c r="M6423" s="8" t="s">
        <v>5996</v>
      </c>
    </row>
    <row r="6424" spans="1:13" x14ac:dyDescent="0.25">
      <c r="A6424" s="73">
        <v>46099</v>
      </c>
      <c r="C6424" t="s">
        <v>6098</v>
      </c>
      <c r="D6424" t="s">
        <v>1510</v>
      </c>
      <c r="F6424" s="6">
        <v>140</v>
      </c>
      <c r="G6424" s="11">
        <f t="shared" si="318"/>
        <v>140</v>
      </c>
      <c r="H6424" s="11">
        <v>70</v>
      </c>
      <c r="I6424" s="26">
        <f t="shared" si="319"/>
        <v>70</v>
      </c>
      <c r="J6424" s="7" t="str">
        <f t="shared" si="320"/>
        <v>DEBE</v>
      </c>
      <c r="K6424" t="s">
        <v>5974</v>
      </c>
      <c r="M6424" s="8" t="s">
        <v>6051</v>
      </c>
    </row>
    <row r="6425" spans="1:13" x14ac:dyDescent="0.25">
      <c r="A6425" s="73">
        <v>46099</v>
      </c>
      <c r="C6425" s="9" t="s">
        <v>6099</v>
      </c>
      <c r="D6425" t="s">
        <v>1510</v>
      </c>
      <c r="F6425" s="6">
        <v>120</v>
      </c>
      <c r="G6425" s="11">
        <f t="shared" si="318"/>
        <v>120</v>
      </c>
      <c r="H6425" s="11">
        <v>60</v>
      </c>
      <c r="I6425" s="26">
        <f t="shared" si="319"/>
        <v>60</v>
      </c>
      <c r="J6425" s="7" t="str">
        <f t="shared" si="320"/>
        <v>DEBE</v>
      </c>
      <c r="K6425" t="s">
        <v>5974</v>
      </c>
      <c r="M6425" s="8" t="s">
        <v>6017</v>
      </c>
    </row>
    <row r="6426" spans="1:13" x14ac:dyDescent="0.25">
      <c r="A6426" s="73">
        <v>46099</v>
      </c>
      <c r="C6426" t="s">
        <v>6100</v>
      </c>
      <c r="D6426" s="9" t="s">
        <v>5836</v>
      </c>
      <c r="F6426" s="6">
        <v>130</v>
      </c>
      <c r="G6426" s="11">
        <f t="shared" si="318"/>
        <v>130</v>
      </c>
      <c r="H6426" s="11">
        <v>65</v>
      </c>
      <c r="I6426" s="26">
        <f t="shared" si="319"/>
        <v>65</v>
      </c>
      <c r="J6426" s="7" t="str">
        <f t="shared" si="320"/>
        <v>DEBE</v>
      </c>
      <c r="K6426" t="s">
        <v>5974</v>
      </c>
      <c r="M6426" s="8" t="s">
        <v>6101</v>
      </c>
    </row>
    <row r="6427" spans="1:13" x14ac:dyDescent="0.25">
      <c r="A6427" s="73">
        <v>46099</v>
      </c>
      <c r="C6427" t="s">
        <v>6102</v>
      </c>
      <c r="D6427" s="9" t="s">
        <v>1460</v>
      </c>
      <c r="F6427" s="6">
        <v>60</v>
      </c>
      <c r="G6427" s="11">
        <f t="shared" si="318"/>
        <v>60</v>
      </c>
      <c r="H6427" s="11">
        <f>30+30</f>
        <v>60</v>
      </c>
      <c r="I6427" s="26">
        <f t="shared" si="319"/>
        <v>0</v>
      </c>
      <c r="J6427" s="7" t="str">
        <f t="shared" si="320"/>
        <v>PAGADO</v>
      </c>
      <c r="K6427" t="s">
        <v>5974</v>
      </c>
      <c r="M6427" s="8" t="s">
        <v>6047</v>
      </c>
    </row>
    <row r="6428" spans="1:13" x14ac:dyDescent="0.25">
      <c r="A6428" s="73">
        <v>46099</v>
      </c>
      <c r="C6428" t="s">
        <v>6060</v>
      </c>
      <c r="D6428" s="9" t="s">
        <v>6103</v>
      </c>
      <c r="F6428" s="26">
        <v>65</v>
      </c>
      <c r="G6428" s="62">
        <f t="shared" si="318"/>
        <v>65</v>
      </c>
      <c r="H6428" s="11">
        <v>0</v>
      </c>
      <c r="I6428" s="26">
        <f t="shared" si="319"/>
        <v>65</v>
      </c>
      <c r="J6428" s="7" t="str">
        <f t="shared" si="320"/>
        <v>DEBE</v>
      </c>
      <c r="K6428" t="s">
        <v>5974</v>
      </c>
      <c r="M6428" s="8" t="s">
        <v>6061</v>
      </c>
    </row>
    <row r="6429" spans="1:13" x14ac:dyDescent="0.25">
      <c r="A6429" s="73">
        <v>46099</v>
      </c>
      <c r="C6429" t="s">
        <v>6001</v>
      </c>
      <c r="D6429" s="9" t="s">
        <v>4438</v>
      </c>
      <c r="F6429" s="6">
        <v>70</v>
      </c>
      <c r="G6429" s="11">
        <f t="shared" si="318"/>
        <v>70</v>
      </c>
      <c r="H6429" s="11">
        <v>35</v>
      </c>
      <c r="I6429" s="26">
        <f t="shared" si="319"/>
        <v>35</v>
      </c>
      <c r="J6429" s="7" t="str">
        <f t="shared" si="320"/>
        <v>DEBE</v>
      </c>
      <c r="K6429" t="s">
        <v>5974</v>
      </c>
      <c r="M6429" s="8" t="s">
        <v>6002</v>
      </c>
    </row>
    <row r="6430" spans="1:13" x14ac:dyDescent="0.25">
      <c r="A6430" s="73">
        <v>46099</v>
      </c>
      <c r="C6430" t="s">
        <v>6104</v>
      </c>
      <c r="D6430" s="9" t="s">
        <v>4263</v>
      </c>
      <c r="F6430" s="6">
        <v>50</v>
      </c>
      <c r="G6430" s="11">
        <f t="shared" si="318"/>
        <v>50</v>
      </c>
      <c r="H6430" s="11">
        <v>25</v>
      </c>
      <c r="I6430" s="26">
        <f t="shared" si="319"/>
        <v>25</v>
      </c>
      <c r="J6430" s="7" t="str">
        <f t="shared" si="320"/>
        <v>DEBE</v>
      </c>
      <c r="K6430" t="s">
        <v>5974</v>
      </c>
      <c r="M6430" s="8" t="s">
        <v>5981</v>
      </c>
    </row>
    <row r="6431" spans="1:13" x14ac:dyDescent="0.25">
      <c r="A6431" s="73">
        <v>46099</v>
      </c>
      <c r="C6431" t="s">
        <v>6105</v>
      </c>
      <c r="D6431" s="9" t="s">
        <v>2935</v>
      </c>
      <c r="F6431" s="6">
        <v>100</v>
      </c>
      <c r="G6431" s="11">
        <f t="shared" si="318"/>
        <v>100</v>
      </c>
      <c r="H6431" s="11">
        <v>50</v>
      </c>
      <c r="I6431" s="26">
        <f t="shared" si="319"/>
        <v>50</v>
      </c>
      <c r="J6431" s="7" t="str">
        <f t="shared" si="320"/>
        <v>DEBE</v>
      </c>
      <c r="K6431" t="s">
        <v>5974</v>
      </c>
      <c r="M6431" s="8" t="s">
        <v>5981</v>
      </c>
    </row>
    <row r="6432" spans="1:13" x14ac:dyDescent="0.25">
      <c r="A6432" s="73">
        <v>46100</v>
      </c>
      <c r="C6432" t="s">
        <v>6037</v>
      </c>
      <c r="D6432" t="s">
        <v>2105</v>
      </c>
      <c r="F6432" s="6">
        <v>90</v>
      </c>
      <c r="G6432" s="11">
        <f t="shared" si="318"/>
        <v>90</v>
      </c>
      <c r="H6432" s="11">
        <v>45</v>
      </c>
      <c r="I6432" s="26">
        <f t="shared" si="319"/>
        <v>45</v>
      </c>
      <c r="J6432" s="7" t="str">
        <f t="shared" si="320"/>
        <v>DEBE</v>
      </c>
      <c r="K6432" t="s">
        <v>5974</v>
      </c>
      <c r="M6432" s="8" t="s">
        <v>6106</v>
      </c>
    </row>
    <row r="6433" spans="1:13" x14ac:dyDescent="0.25">
      <c r="A6433" s="73">
        <v>46100</v>
      </c>
      <c r="C6433" t="s">
        <v>6107</v>
      </c>
      <c r="D6433" t="s">
        <v>2105</v>
      </c>
      <c r="F6433" s="6">
        <v>90</v>
      </c>
      <c r="G6433" s="11">
        <f t="shared" si="318"/>
        <v>90</v>
      </c>
      <c r="H6433" s="11">
        <v>45</v>
      </c>
      <c r="I6433" s="26">
        <f t="shared" si="319"/>
        <v>45</v>
      </c>
      <c r="J6433" s="7" t="str">
        <f t="shared" si="320"/>
        <v>DEBE</v>
      </c>
      <c r="K6433" t="s">
        <v>5974</v>
      </c>
      <c r="M6433" s="8" t="s">
        <v>6108</v>
      </c>
    </row>
    <row r="6434" spans="1:13" x14ac:dyDescent="0.25">
      <c r="A6434" s="73">
        <v>46100</v>
      </c>
      <c r="C6434" s="9" t="s">
        <v>6109</v>
      </c>
      <c r="D6434" t="s">
        <v>2105</v>
      </c>
      <c r="F6434" s="6">
        <v>80</v>
      </c>
      <c r="G6434" s="6">
        <f t="shared" si="318"/>
        <v>80</v>
      </c>
      <c r="H6434" s="11">
        <v>10</v>
      </c>
      <c r="I6434" s="26">
        <f t="shared" si="319"/>
        <v>70</v>
      </c>
      <c r="J6434" s="7" t="str">
        <f t="shared" si="320"/>
        <v>DEBE</v>
      </c>
      <c r="K6434" s="9" t="s">
        <v>2754</v>
      </c>
      <c r="M6434" s="82" t="s">
        <v>5364</v>
      </c>
    </row>
    <row r="6435" spans="1:13" x14ac:dyDescent="0.25">
      <c r="A6435" s="73">
        <v>46100</v>
      </c>
      <c r="C6435" s="9" t="s">
        <v>6110</v>
      </c>
      <c r="D6435" s="9" t="s">
        <v>5539</v>
      </c>
      <c r="F6435" s="6">
        <v>700</v>
      </c>
      <c r="G6435" s="6">
        <f t="shared" si="318"/>
        <v>700</v>
      </c>
      <c r="H6435" s="11">
        <v>350</v>
      </c>
      <c r="I6435" s="26">
        <f t="shared" si="319"/>
        <v>350</v>
      </c>
      <c r="J6435" s="7" t="str">
        <f t="shared" si="320"/>
        <v>DEBE</v>
      </c>
      <c r="K6435" s="9" t="s">
        <v>5974</v>
      </c>
      <c r="M6435" s="82" t="s">
        <v>6111</v>
      </c>
    </row>
    <row r="6436" spans="1:13" x14ac:dyDescent="0.25">
      <c r="A6436" s="73">
        <v>46099</v>
      </c>
      <c r="C6436" s="9" t="s">
        <v>6112</v>
      </c>
      <c r="D6436" s="9" t="s">
        <v>6113</v>
      </c>
      <c r="F6436" s="6">
        <v>230</v>
      </c>
      <c r="G6436" s="6">
        <f t="shared" si="318"/>
        <v>230</v>
      </c>
      <c r="H6436" s="11">
        <f>20+20</f>
        <v>40</v>
      </c>
      <c r="I6436" s="26">
        <f t="shared" si="319"/>
        <v>190</v>
      </c>
      <c r="J6436" s="7" t="str">
        <f t="shared" si="320"/>
        <v>DEBE</v>
      </c>
      <c r="K6436" s="9" t="s">
        <v>5974</v>
      </c>
      <c r="M6436" s="82" t="s">
        <v>5986</v>
      </c>
    </row>
    <row r="6437" spans="1:13" x14ac:dyDescent="0.25">
      <c r="A6437" s="73">
        <v>46100</v>
      </c>
      <c r="C6437" t="s">
        <v>5989</v>
      </c>
      <c r="D6437" t="s">
        <v>2757</v>
      </c>
      <c r="F6437" s="6">
        <v>55</v>
      </c>
      <c r="G6437" s="6">
        <f t="shared" si="318"/>
        <v>55</v>
      </c>
      <c r="H6437" s="11">
        <v>27.5</v>
      </c>
      <c r="I6437" s="26">
        <f t="shared" si="319"/>
        <v>27.5</v>
      </c>
      <c r="J6437" s="7" t="str">
        <f t="shared" si="320"/>
        <v>DEBE</v>
      </c>
      <c r="K6437" s="9" t="s">
        <v>5974</v>
      </c>
      <c r="M6437" s="82" t="s">
        <v>6101</v>
      </c>
    </row>
    <row r="6438" spans="1:13" x14ac:dyDescent="0.25">
      <c r="A6438" s="73">
        <v>46101</v>
      </c>
      <c r="C6438" s="9" t="s">
        <v>6114</v>
      </c>
      <c r="D6438" s="9" t="s">
        <v>2983</v>
      </c>
      <c r="F6438" s="6">
        <v>30</v>
      </c>
      <c r="G6438" s="6">
        <f t="shared" si="318"/>
        <v>30</v>
      </c>
      <c r="H6438" s="6">
        <v>30</v>
      </c>
      <c r="I6438" s="26">
        <f t="shared" si="319"/>
        <v>0</v>
      </c>
      <c r="J6438" s="7" t="str">
        <f t="shared" si="320"/>
        <v>PAGADO</v>
      </c>
    </row>
    <row r="6439" spans="1:13" x14ac:dyDescent="0.25">
      <c r="A6439" s="73">
        <v>46101</v>
      </c>
      <c r="C6439" s="9" t="s">
        <v>6115</v>
      </c>
      <c r="D6439" s="9" t="s">
        <v>5771</v>
      </c>
      <c r="F6439" s="6">
        <v>130</v>
      </c>
      <c r="G6439" s="6">
        <f t="shared" si="318"/>
        <v>130</v>
      </c>
      <c r="H6439" s="6">
        <v>130</v>
      </c>
      <c r="I6439" s="26">
        <f t="shared" si="319"/>
        <v>0</v>
      </c>
      <c r="J6439" s="7" t="str">
        <f t="shared" si="320"/>
        <v>PAGADO</v>
      </c>
    </row>
    <row r="6440" spans="1:13" x14ac:dyDescent="0.25">
      <c r="A6440" s="73">
        <v>46099</v>
      </c>
      <c r="C6440" s="9" t="s">
        <v>4681</v>
      </c>
      <c r="D6440" s="9" t="s">
        <v>4378</v>
      </c>
      <c r="F6440" s="6">
        <v>60</v>
      </c>
      <c r="G6440" s="6">
        <f t="shared" si="318"/>
        <v>60</v>
      </c>
      <c r="H6440" s="6">
        <v>60</v>
      </c>
      <c r="I6440" s="26">
        <f t="shared" si="319"/>
        <v>0</v>
      </c>
      <c r="J6440" s="7" t="str">
        <f t="shared" si="320"/>
        <v>PAGADO</v>
      </c>
    </row>
    <row r="6441" spans="1:13" x14ac:dyDescent="0.25">
      <c r="A6441" s="73">
        <v>46101</v>
      </c>
      <c r="C6441" s="9" t="s">
        <v>6116</v>
      </c>
      <c r="D6441" s="9" t="s">
        <v>6117</v>
      </c>
      <c r="F6441" s="6">
        <v>190</v>
      </c>
      <c r="G6441" s="6">
        <f t="shared" si="318"/>
        <v>190</v>
      </c>
      <c r="H6441" s="6">
        <v>40</v>
      </c>
      <c r="I6441" s="26">
        <f t="shared" si="319"/>
        <v>150</v>
      </c>
      <c r="J6441" s="7" t="str">
        <f t="shared" si="320"/>
        <v>DEBE</v>
      </c>
    </row>
    <row r="6442" spans="1:13" x14ac:dyDescent="0.25">
      <c r="A6442" s="73">
        <v>46101</v>
      </c>
      <c r="C6442" s="9" t="s">
        <v>6118</v>
      </c>
      <c r="D6442" s="9" t="s">
        <v>6117</v>
      </c>
      <c r="F6442" s="6">
        <v>190</v>
      </c>
      <c r="G6442" s="6">
        <f t="shared" si="318"/>
        <v>190</v>
      </c>
      <c r="H6442" s="6">
        <v>40</v>
      </c>
      <c r="I6442" s="26">
        <f t="shared" si="319"/>
        <v>150</v>
      </c>
      <c r="J6442" s="7" t="str">
        <f t="shared" si="320"/>
        <v>DEBE</v>
      </c>
    </row>
    <row r="6443" spans="1:13" x14ac:dyDescent="0.25">
      <c r="A6443" s="73">
        <v>46101</v>
      </c>
      <c r="C6443" t="s">
        <v>6119</v>
      </c>
      <c r="D6443" s="9" t="s">
        <v>4579</v>
      </c>
      <c r="F6443" s="6">
        <v>320</v>
      </c>
      <c r="G6443" s="6">
        <f t="shared" si="318"/>
        <v>320</v>
      </c>
      <c r="H6443" s="6">
        <f>100+60</f>
        <v>160</v>
      </c>
      <c r="I6443" s="26">
        <f t="shared" si="319"/>
        <v>160</v>
      </c>
      <c r="J6443" s="7" t="str">
        <f t="shared" si="320"/>
        <v>DEBE</v>
      </c>
      <c r="K6443" t="s">
        <v>5974</v>
      </c>
      <c r="M6443" s="8" t="s">
        <v>6120</v>
      </c>
    </row>
    <row r="6444" spans="1:13" x14ac:dyDescent="0.25">
      <c r="A6444" s="73">
        <v>46101</v>
      </c>
      <c r="C6444" s="9" t="s">
        <v>6121</v>
      </c>
      <c r="D6444" t="s">
        <v>5755</v>
      </c>
      <c r="F6444" s="6">
        <v>100</v>
      </c>
      <c r="G6444" s="6">
        <f t="shared" si="318"/>
        <v>100</v>
      </c>
      <c r="H6444" s="6">
        <v>50</v>
      </c>
      <c r="I6444" s="26">
        <f t="shared" si="319"/>
        <v>50</v>
      </c>
      <c r="J6444" s="7" t="str">
        <f t="shared" si="320"/>
        <v>DEBE</v>
      </c>
      <c r="K6444" s="9" t="s">
        <v>2754</v>
      </c>
      <c r="M6444" s="8" t="s">
        <v>5342</v>
      </c>
    </row>
    <row r="6445" spans="1:13" x14ac:dyDescent="0.25">
      <c r="A6445" s="73">
        <v>46101</v>
      </c>
      <c r="C6445" s="9" t="s">
        <v>6122</v>
      </c>
      <c r="D6445" t="s">
        <v>80</v>
      </c>
      <c r="F6445" s="6">
        <v>80</v>
      </c>
      <c r="G6445" s="6">
        <f t="shared" si="318"/>
        <v>80</v>
      </c>
      <c r="H6445" s="6">
        <v>80</v>
      </c>
      <c r="I6445" s="26">
        <f t="shared" si="319"/>
        <v>0</v>
      </c>
      <c r="J6445" s="7" t="str">
        <f t="shared" si="320"/>
        <v>PAGADO</v>
      </c>
      <c r="K6445" t="s">
        <v>5974</v>
      </c>
      <c r="M6445" s="8" t="s">
        <v>6013</v>
      </c>
    </row>
    <row r="6446" spans="1:13" x14ac:dyDescent="0.25">
      <c r="A6446" s="73">
        <v>46101</v>
      </c>
      <c r="C6446" s="119" t="s">
        <v>6122</v>
      </c>
      <c r="D6446" s="9" t="s">
        <v>5145</v>
      </c>
      <c r="F6446" s="6">
        <v>80</v>
      </c>
      <c r="G6446" s="6">
        <f t="shared" si="318"/>
        <v>80</v>
      </c>
      <c r="H6446" s="6">
        <v>40</v>
      </c>
      <c r="I6446" s="26">
        <f t="shared" si="319"/>
        <v>40</v>
      </c>
      <c r="J6446" s="7" t="str">
        <f t="shared" si="320"/>
        <v>DEBE</v>
      </c>
      <c r="K6446" t="s">
        <v>5974</v>
      </c>
      <c r="M6446" s="8" t="s">
        <v>6013</v>
      </c>
    </row>
    <row r="6447" spans="1:13" x14ac:dyDescent="0.25">
      <c r="A6447" s="73">
        <v>46101</v>
      </c>
      <c r="C6447" s="119" t="s">
        <v>6123</v>
      </c>
      <c r="D6447" s="9" t="s">
        <v>5145</v>
      </c>
      <c r="F6447" s="6">
        <v>50</v>
      </c>
      <c r="G6447" s="6">
        <f t="shared" si="318"/>
        <v>50</v>
      </c>
      <c r="H6447" s="6">
        <v>25</v>
      </c>
      <c r="I6447" s="26">
        <f t="shared" si="319"/>
        <v>25</v>
      </c>
      <c r="J6447" s="7" t="str">
        <f t="shared" si="320"/>
        <v>DEBE</v>
      </c>
      <c r="K6447" t="s">
        <v>5974</v>
      </c>
      <c r="M6447" s="8" t="s">
        <v>6101</v>
      </c>
    </row>
    <row r="6448" spans="1:13" x14ac:dyDescent="0.25">
      <c r="A6448" s="73">
        <v>46101</v>
      </c>
      <c r="C6448" s="41" t="s">
        <v>6124</v>
      </c>
      <c r="D6448" s="109" t="s">
        <v>4587</v>
      </c>
      <c r="E6448" s="87"/>
      <c r="F6448" s="58">
        <v>70</v>
      </c>
      <c r="G6448" s="58">
        <f t="shared" si="318"/>
        <v>70</v>
      </c>
      <c r="H6448" s="58">
        <v>0</v>
      </c>
      <c r="I6448" s="58">
        <f t="shared" si="319"/>
        <v>70</v>
      </c>
      <c r="J6448" s="88" t="str">
        <f t="shared" si="320"/>
        <v>DEBE</v>
      </c>
      <c r="K6448" s="41" t="s">
        <v>5974</v>
      </c>
      <c r="L6448" s="41"/>
      <c r="M6448" s="8" t="s">
        <v>6007</v>
      </c>
    </row>
    <row r="6449" spans="1:13" x14ac:dyDescent="0.25">
      <c r="A6449" s="73">
        <v>46101</v>
      </c>
      <c r="C6449" s="41" t="s">
        <v>6125</v>
      </c>
      <c r="D6449" s="109" t="s">
        <v>4587</v>
      </c>
      <c r="E6449" s="87"/>
      <c r="F6449" s="58">
        <v>120</v>
      </c>
      <c r="G6449" s="58">
        <f t="shared" si="318"/>
        <v>120</v>
      </c>
      <c r="H6449" s="58">
        <v>0</v>
      </c>
      <c r="I6449" s="58">
        <f t="shared" si="319"/>
        <v>120</v>
      </c>
      <c r="J6449" s="88" t="str">
        <f t="shared" si="320"/>
        <v>DEBE</v>
      </c>
      <c r="K6449" s="41" t="s">
        <v>5974</v>
      </c>
      <c r="L6449" s="41"/>
      <c r="M6449" s="8" t="s">
        <v>5990</v>
      </c>
    </row>
    <row r="6450" spans="1:13" x14ac:dyDescent="0.25">
      <c r="A6450" s="73">
        <v>46101</v>
      </c>
      <c r="C6450" s="41" t="s">
        <v>6126</v>
      </c>
      <c r="D6450" s="109" t="s">
        <v>4587</v>
      </c>
      <c r="E6450" s="87"/>
      <c r="F6450" s="58">
        <v>60</v>
      </c>
      <c r="G6450" s="58">
        <f t="shared" si="318"/>
        <v>60</v>
      </c>
      <c r="H6450" s="58">
        <v>30</v>
      </c>
      <c r="I6450" s="58">
        <f t="shared" si="319"/>
        <v>30</v>
      </c>
      <c r="J6450" s="88" t="str">
        <f t="shared" si="320"/>
        <v>DEBE</v>
      </c>
      <c r="K6450" s="41" t="s">
        <v>5974</v>
      </c>
      <c r="L6450" s="41"/>
      <c r="M6450" s="8" t="s">
        <v>6054</v>
      </c>
    </row>
    <row r="6451" spans="1:13" x14ac:dyDescent="0.25">
      <c r="A6451" s="73">
        <v>46101</v>
      </c>
      <c r="C6451" t="s">
        <v>6127</v>
      </c>
      <c r="D6451" t="s">
        <v>2906</v>
      </c>
      <c r="F6451" s="6">
        <v>150</v>
      </c>
      <c r="G6451" s="11">
        <f t="shared" si="318"/>
        <v>150</v>
      </c>
      <c r="H6451" s="11">
        <v>80</v>
      </c>
      <c r="I6451" s="26">
        <f t="shared" si="319"/>
        <v>70</v>
      </c>
      <c r="J6451" s="7" t="str">
        <f t="shared" si="320"/>
        <v>DEBE</v>
      </c>
      <c r="K6451" t="s">
        <v>5974</v>
      </c>
      <c r="M6451" s="8" t="s">
        <v>5983</v>
      </c>
    </row>
    <row r="6452" spans="1:13" x14ac:dyDescent="0.25">
      <c r="A6452" s="73">
        <v>46082</v>
      </c>
      <c r="C6452" s="9" t="s">
        <v>6128</v>
      </c>
      <c r="D6452" s="9" t="s">
        <v>1504</v>
      </c>
      <c r="F6452" s="6">
        <v>140</v>
      </c>
      <c r="G6452" s="6">
        <f t="shared" si="318"/>
        <v>140</v>
      </c>
      <c r="H6452" s="6">
        <v>0</v>
      </c>
      <c r="I6452" s="26">
        <f t="shared" si="319"/>
        <v>140</v>
      </c>
      <c r="J6452" s="7" t="str">
        <f t="shared" si="320"/>
        <v>DEBE</v>
      </c>
      <c r="K6452" t="s">
        <v>5974</v>
      </c>
    </row>
    <row r="6453" spans="1:13" x14ac:dyDescent="0.25">
      <c r="A6453" s="73">
        <v>46101</v>
      </c>
      <c r="C6453" s="9" t="s">
        <v>6107</v>
      </c>
      <c r="D6453" s="9" t="s">
        <v>1476</v>
      </c>
      <c r="F6453" s="6">
        <v>90</v>
      </c>
      <c r="G6453" s="6">
        <f t="shared" si="318"/>
        <v>90</v>
      </c>
      <c r="H6453" s="6">
        <v>0</v>
      </c>
      <c r="I6453" s="26">
        <f t="shared" si="319"/>
        <v>90</v>
      </c>
      <c r="J6453" s="7" t="str">
        <f t="shared" si="320"/>
        <v>DEBE</v>
      </c>
      <c r="K6453" t="s">
        <v>5974</v>
      </c>
    </row>
    <row r="6454" spans="1:13" x14ac:dyDescent="0.25">
      <c r="A6454" s="73">
        <v>46101</v>
      </c>
      <c r="C6454" s="9" t="s">
        <v>6129</v>
      </c>
      <c r="D6454" s="9" t="s">
        <v>4407</v>
      </c>
      <c r="F6454" s="6">
        <v>120</v>
      </c>
      <c r="G6454" s="6">
        <f t="shared" si="318"/>
        <v>120</v>
      </c>
      <c r="H6454" s="23">
        <v>120</v>
      </c>
      <c r="I6454" s="26">
        <f t="shared" si="319"/>
        <v>0</v>
      </c>
      <c r="J6454" s="7" t="str">
        <f t="shared" si="320"/>
        <v>PAGADO</v>
      </c>
      <c r="K6454" t="s">
        <v>5974</v>
      </c>
      <c r="M6454" s="8" t="s">
        <v>6130</v>
      </c>
    </row>
    <row r="6455" spans="1:13" x14ac:dyDescent="0.25">
      <c r="A6455" s="73">
        <v>46101</v>
      </c>
      <c r="C6455" s="9" t="s">
        <v>6131</v>
      </c>
      <c r="D6455" s="9" t="s">
        <v>6132</v>
      </c>
      <c r="F6455" s="6">
        <v>60</v>
      </c>
      <c r="G6455" s="6">
        <f t="shared" si="318"/>
        <v>60</v>
      </c>
      <c r="H6455" s="6">
        <v>60</v>
      </c>
      <c r="I6455" s="26">
        <f t="shared" si="319"/>
        <v>0</v>
      </c>
      <c r="J6455" s="7" t="str">
        <f t="shared" si="320"/>
        <v>PAGADO</v>
      </c>
    </row>
    <row r="6456" spans="1:13" x14ac:dyDescent="0.25">
      <c r="A6456" s="73">
        <v>46101</v>
      </c>
      <c r="C6456" s="9" t="s">
        <v>6133</v>
      </c>
      <c r="D6456" s="9" t="s">
        <v>6132</v>
      </c>
      <c r="F6456" s="6">
        <v>70</v>
      </c>
      <c r="G6456" s="6">
        <f t="shared" si="318"/>
        <v>70</v>
      </c>
      <c r="H6456" s="6">
        <v>70</v>
      </c>
      <c r="I6456" s="26">
        <f t="shared" si="319"/>
        <v>0</v>
      </c>
      <c r="J6456" s="7" t="str">
        <f t="shared" si="320"/>
        <v>PAGADO</v>
      </c>
    </row>
    <row r="6457" spans="1:13" x14ac:dyDescent="0.25">
      <c r="A6457" s="73">
        <v>46101</v>
      </c>
      <c r="C6457" t="s">
        <v>6134</v>
      </c>
      <c r="D6457" t="s">
        <v>5782</v>
      </c>
      <c r="F6457" s="6">
        <v>130</v>
      </c>
      <c r="G6457" s="6">
        <f t="shared" si="318"/>
        <v>130</v>
      </c>
      <c r="H6457" s="6">
        <v>130</v>
      </c>
      <c r="I6457" s="26">
        <f t="shared" si="319"/>
        <v>0</v>
      </c>
      <c r="J6457" s="7" t="str">
        <f t="shared" si="320"/>
        <v>PAGADO</v>
      </c>
    </row>
    <row r="6458" spans="1:13" x14ac:dyDescent="0.25">
      <c r="A6458" s="73">
        <v>46101</v>
      </c>
      <c r="C6458" t="s">
        <v>6135</v>
      </c>
      <c r="D6458" t="s">
        <v>6136</v>
      </c>
      <c r="F6458" s="6">
        <v>60</v>
      </c>
      <c r="G6458" s="6">
        <f t="shared" si="318"/>
        <v>60</v>
      </c>
      <c r="H6458" s="6">
        <f>10+50</f>
        <v>60</v>
      </c>
      <c r="I6458" s="26">
        <f t="shared" si="319"/>
        <v>0</v>
      </c>
      <c r="J6458" s="7" t="str">
        <f t="shared" si="320"/>
        <v>PAGADO</v>
      </c>
    </row>
    <row r="6459" spans="1:13" x14ac:dyDescent="0.25">
      <c r="A6459" s="73">
        <v>46101</v>
      </c>
      <c r="C6459" s="119" t="s">
        <v>6137</v>
      </c>
      <c r="D6459" t="s">
        <v>5527</v>
      </c>
      <c r="F6459" s="6">
        <v>180</v>
      </c>
      <c r="G6459" s="6">
        <f t="shared" si="318"/>
        <v>180</v>
      </c>
      <c r="H6459" s="6">
        <v>180</v>
      </c>
      <c r="I6459" s="26">
        <f t="shared" si="319"/>
        <v>0</v>
      </c>
      <c r="J6459" s="7" t="str">
        <f t="shared" si="320"/>
        <v>PAGADO</v>
      </c>
    </row>
    <row r="6460" spans="1:13" x14ac:dyDescent="0.25">
      <c r="A6460" s="73">
        <v>46102</v>
      </c>
      <c r="C6460" s="9" t="s">
        <v>6138</v>
      </c>
      <c r="D6460" s="9" t="s">
        <v>3376</v>
      </c>
      <c r="F6460" s="6">
        <v>20</v>
      </c>
      <c r="G6460" s="6">
        <f t="shared" si="318"/>
        <v>20</v>
      </c>
      <c r="H6460" s="65">
        <v>20</v>
      </c>
      <c r="I6460" s="26">
        <f t="shared" si="319"/>
        <v>0</v>
      </c>
      <c r="J6460" s="7" t="str">
        <f t="shared" si="320"/>
        <v>PAGADO</v>
      </c>
    </row>
    <row r="6461" spans="1:13" x14ac:dyDescent="0.25">
      <c r="A6461" s="73">
        <v>46102</v>
      </c>
      <c r="C6461" t="s">
        <v>6139</v>
      </c>
      <c r="D6461" t="s">
        <v>5703</v>
      </c>
      <c r="F6461" s="6">
        <v>70</v>
      </c>
      <c r="G6461" s="6">
        <f t="shared" si="318"/>
        <v>70</v>
      </c>
      <c r="H6461" s="6">
        <v>35</v>
      </c>
      <c r="I6461" s="26">
        <f t="shared" si="319"/>
        <v>35</v>
      </c>
      <c r="J6461" s="7" t="str">
        <f t="shared" si="320"/>
        <v>DEBE</v>
      </c>
      <c r="K6461" t="s">
        <v>5974</v>
      </c>
      <c r="M6461" s="8" t="s">
        <v>6015</v>
      </c>
    </row>
    <row r="6462" spans="1:13" x14ac:dyDescent="0.25">
      <c r="A6462" s="73">
        <v>46103</v>
      </c>
      <c r="C6462" t="s">
        <v>6140</v>
      </c>
      <c r="D6462" t="s">
        <v>5471</v>
      </c>
      <c r="F6462" s="6">
        <v>220</v>
      </c>
      <c r="G6462" s="6">
        <f t="shared" ref="G6462:G6525" si="321">F6462-E6462</f>
        <v>220</v>
      </c>
      <c r="H6462" s="6">
        <v>220</v>
      </c>
      <c r="I6462" s="26">
        <f t="shared" si="319"/>
        <v>0</v>
      </c>
      <c r="J6462" s="7" t="str">
        <f t="shared" si="320"/>
        <v>PAGADO</v>
      </c>
    </row>
    <row r="6463" spans="1:13" x14ac:dyDescent="0.25">
      <c r="A6463" s="73">
        <v>46103</v>
      </c>
      <c r="C6463" t="s">
        <v>6141</v>
      </c>
      <c r="D6463" t="s">
        <v>6142</v>
      </c>
      <c r="F6463" s="6">
        <v>130</v>
      </c>
      <c r="G6463" s="6">
        <f t="shared" si="321"/>
        <v>130</v>
      </c>
      <c r="H6463" s="6">
        <v>130</v>
      </c>
      <c r="I6463" s="26">
        <f t="shared" si="319"/>
        <v>0</v>
      </c>
      <c r="J6463" s="7" t="str">
        <f t="shared" si="320"/>
        <v>PAGADO</v>
      </c>
    </row>
    <row r="6464" spans="1:13" x14ac:dyDescent="0.25">
      <c r="A6464" s="73">
        <v>46103</v>
      </c>
      <c r="C6464" t="s">
        <v>6143</v>
      </c>
      <c r="D6464" t="s">
        <v>6142</v>
      </c>
      <c r="F6464" s="6">
        <v>230</v>
      </c>
      <c r="G6464" s="6">
        <f t="shared" si="321"/>
        <v>230</v>
      </c>
      <c r="H6464" s="6">
        <v>230</v>
      </c>
      <c r="I6464" s="26">
        <f t="shared" si="319"/>
        <v>0</v>
      </c>
      <c r="J6464" s="7" t="str">
        <f t="shared" si="320"/>
        <v>PAGADO</v>
      </c>
    </row>
    <row r="6465" spans="1:13" x14ac:dyDescent="0.25">
      <c r="A6465" s="73">
        <v>46103</v>
      </c>
      <c r="C6465" t="s">
        <v>6144</v>
      </c>
      <c r="D6465" t="s">
        <v>6145</v>
      </c>
      <c r="F6465" s="6">
        <v>190</v>
      </c>
      <c r="G6465" s="6">
        <f t="shared" si="321"/>
        <v>190</v>
      </c>
      <c r="H6465" s="6">
        <v>190</v>
      </c>
      <c r="I6465" s="26">
        <f t="shared" si="319"/>
        <v>0</v>
      </c>
      <c r="J6465" s="7" t="str">
        <f t="shared" si="320"/>
        <v>PAGADO</v>
      </c>
    </row>
    <row r="6466" spans="1:13" x14ac:dyDescent="0.25">
      <c r="A6466" s="73">
        <v>46103</v>
      </c>
      <c r="C6466" t="s">
        <v>6146</v>
      </c>
      <c r="D6466" t="s">
        <v>6145</v>
      </c>
      <c r="F6466" s="6">
        <v>55</v>
      </c>
      <c r="G6466" s="6">
        <f t="shared" si="321"/>
        <v>55</v>
      </c>
      <c r="H6466" s="6">
        <v>55</v>
      </c>
      <c r="I6466" s="26">
        <f t="shared" si="319"/>
        <v>0</v>
      </c>
      <c r="J6466" s="7" t="str">
        <f t="shared" si="320"/>
        <v>PAGADO</v>
      </c>
    </row>
    <row r="6467" spans="1:13" x14ac:dyDescent="0.25">
      <c r="A6467" s="73">
        <v>46103</v>
      </c>
      <c r="C6467" s="9" t="s">
        <v>6147</v>
      </c>
      <c r="D6467" s="9" t="s">
        <v>5494</v>
      </c>
      <c r="F6467" s="6">
        <v>70</v>
      </c>
      <c r="G6467" s="6">
        <f t="shared" si="321"/>
        <v>70</v>
      </c>
      <c r="H6467" s="6">
        <f>11+24+35</f>
        <v>70</v>
      </c>
      <c r="I6467" s="26">
        <f t="shared" si="319"/>
        <v>0</v>
      </c>
      <c r="J6467" s="7" t="str">
        <f t="shared" si="320"/>
        <v>PAGADO</v>
      </c>
    </row>
    <row r="6468" spans="1:13" x14ac:dyDescent="0.25">
      <c r="A6468" s="73">
        <v>46103</v>
      </c>
      <c r="C6468" s="9" t="s">
        <v>6148</v>
      </c>
      <c r="D6468" t="s">
        <v>1849</v>
      </c>
      <c r="F6468" s="6">
        <v>190</v>
      </c>
      <c r="G6468" s="6">
        <f t="shared" si="321"/>
        <v>190</v>
      </c>
      <c r="H6468" s="6">
        <f>90+100</f>
        <v>190</v>
      </c>
      <c r="I6468" s="26">
        <f t="shared" si="319"/>
        <v>0</v>
      </c>
      <c r="J6468" s="7" t="str">
        <f t="shared" si="320"/>
        <v>PAGADO</v>
      </c>
    </row>
    <row r="6469" spans="1:13" x14ac:dyDescent="0.25">
      <c r="A6469" s="73">
        <v>46103</v>
      </c>
      <c r="C6469" s="9" t="s">
        <v>4495</v>
      </c>
      <c r="D6469" t="s">
        <v>6149</v>
      </c>
      <c r="F6469" s="6">
        <v>70</v>
      </c>
      <c r="G6469" s="6">
        <f t="shared" si="321"/>
        <v>70</v>
      </c>
      <c r="H6469" s="6">
        <v>70</v>
      </c>
      <c r="I6469" s="26">
        <f t="shared" si="319"/>
        <v>0</v>
      </c>
      <c r="J6469" s="7" t="str">
        <f t="shared" si="320"/>
        <v>PAGADO</v>
      </c>
    </row>
    <row r="6470" spans="1:13" x14ac:dyDescent="0.25">
      <c r="A6470" s="73">
        <v>46103</v>
      </c>
      <c r="C6470" s="9" t="s">
        <v>4023</v>
      </c>
      <c r="D6470" t="s">
        <v>6149</v>
      </c>
      <c r="F6470" s="6">
        <v>100</v>
      </c>
      <c r="G6470" s="6">
        <f t="shared" si="321"/>
        <v>100</v>
      </c>
      <c r="H6470" s="6">
        <v>100</v>
      </c>
      <c r="I6470" s="26">
        <f t="shared" si="319"/>
        <v>0</v>
      </c>
      <c r="J6470" s="7" t="str">
        <f t="shared" si="320"/>
        <v>PAGADO</v>
      </c>
    </row>
    <row r="6471" spans="1:13" x14ac:dyDescent="0.25">
      <c r="A6471" s="73">
        <v>46103</v>
      </c>
      <c r="C6471" s="9" t="s">
        <v>6150</v>
      </c>
      <c r="D6471" t="s">
        <v>6149</v>
      </c>
      <c r="F6471" s="6">
        <v>65</v>
      </c>
      <c r="G6471" s="6">
        <f t="shared" si="321"/>
        <v>65</v>
      </c>
      <c r="H6471" s="6">
        <v>65</v>
      </c>
      <c r="I6471" s="26">
        <f t="shared" si="319"/>
        <v>0</v>
      </c>
      <c r="J6471" s="7" t="str">
        <f t="shared" si="320"/>
        <v>PAGADO</v>
      </c>
    </row>
    <row r="6472" spans="1:13" x14ac:dyDescent="0.25">
      <c r="A6472" s="73">
        <v>46103</v>
      </c>
      <c r="C6472" s="9" t="s">
        <v>5609</v>
      </c>
      <c r="D6472" t="s">
        <v>6149</v>
      </c>
      <c r="F6472" s="6">
        <v>65</v>
      </c>
      <c r="G6472" s="6">
        <f t="shared" si="321"/>
        <v>65</v>
      </c>
      <c r="H6472" s="6">
        <v>65</v>
      </c>
      <c r="I6472" s="26">
        <f t="shared" si="319"/>
        <v>0</v>
      </c>
      <c r="J6472" s="7" t="str">
        <f t="shared" si="320"/>
        <v>PAGADO</v>
      </c>
    </row>
    <row r="6473" spans="1:13" x14ac:dyDescent="0.25">
      <c r="A6473" s="73">
        <v>46103</v>
      </c>
      <c r="C6473" s="9" t="s">
        <v>6151</v>
      </c>
      <c r="D6473" t="s">
        <v>6149</v>
      </c>
      <c r="F6473" s="6">
        <v>65</v>
      </c>
      <c r="G6473" s="6">
        <f t="shared" si="321"/>
        <v>65</v>
      </c>
      <c r="H6473" s="6">
        <v>65</v>
      </c>
      <c r="I6473" s="26">
        <f t="shared" si="319"/>
        <v>0</v>
      </c>
      <c r="J6473" s="7" t="str">
        <f t="shared" si="320"/>
        <v>PAGADO</v>
      </c>
      <c r="K6473" s="33" t="s">
        <v>3819</v>
      </c>
    </row>
    <row r="6474" spans="1:13" x14ac:dyDescent="0.25">
      <c r="A6474" s="73">
        <v>46104</v>
      </c>
      <c r="C6474" t="s">
        <v>6152</v>
      </c>
      <c r="D6474" s="9" t="s">
        <v>1451</v>
      </c>
      <c r="F6474" s="6">
        <v>60</v>
      </c>
      <c r="G6474" s="11">
        <f t="shared" si="321"/>
        <v>60</v>
      </c>
      <c r="H6474" s="11">
        <v>60</v>
      </c>
      <c r="I6474" s="26">
        <f t="shared" si="319"/>
        <v>0</v>
      </c>
      <c r="J6474" s="7" t="str">
        <f t="shared" si="320"/>
        <v>PAGADO</v>
      </c>
      <c r="K6474" s="33" t="s">
        <v>2714</v>
      </c>
    </row>
    <row r="6475" spans="1:13" x14ac:dyDescent="0.25">
      <c r="A6475" s="73">
        <v>46104</v>
      </c>
      <c r="C6475" t="s">
        <v>3885</v>
      </c>
      <c r="D6475" s="9" t="s">
        <v>2548</v>
      </c>
      <c r="F6475" s="6">
        <v>30</v>
      </c>
      <c r="G6475" s="6">
        <f t="shared" si="321"/>
        <v>30</v>
      </c>
      <c r="H6475" s="6">
        <v>15</v>
      </c>
      <c r="I6475" s="26">
        <f t="shared" ref="I6475:I6538" si="322">F6475-H6475</f>
        <v>15</v>
      </c>
      <c r="J6475" s="7" t="str">
        <f t="shared" si="320"/>
        <v>DEBE</v>
      </c>
      <c r="K6475" s="34" t="s">
        <v>2754</v>
      </c>
    </row>
    <row r="6476" spans="1:13" x14ac:dyDescent="0.25">
      <c r="A6476" s="73">
        <v>46104</v>
      </c>
      <c r="C6476" t="s">
        <v>6153</v>
      </c>
      <c r="D6476" s="9" t="s">
        <v>6154</v>
      </c>
      <c r="F6476" s="6">
        <v>130</v>
      </c>
      <c r="G6476" s="6">
        <f t="shared" si="321"/>
        <v>130</v>
      </c>
      <c r="H6476" s="6">
        <v>130</v>
      </c>
      <c r="I6476" s="26">
        <f t="shared" si="322"/>
        <v>0</v>
      </c>
      <c r="J6476" s="7" t="str">
        <f t="shared" si="320"/>
        <v>PAGADO</v>
      </c>
    </row>
    <row r="6477" spans="1:13" x14ac:dyDescent="0.25">
      <c r="A6477" s="73">
        <v>46104</v>
      </c>
      <c r="C6477" t="s">
        <v>6155</v>
      </c>
      <c r="D6477" s="9" t="s">
        <v>5855</v>
      </c>
      <c r="F6477" s="6">
        <v>40</v>
      </c>
      <c r="G6477" s="6">
        <f t="shared" si="321"/>
        <v>40</v>
      </c>
      <c r="H6477" s="6">
        <v>40</v>
      </c>
      <c r="I6477" s="26">
        <f t="shared" si="322"/>
        <v>0</v>
      </c>
      <c r="J6477" s="7" t="str">
        <f t="shared" si="320"/>
        <v>PAGADO</v>
      </c>
    </row>
    <row r="6478" spans="1:13" x14ac:dyDescent="0.25">
      <c r="A6478" s="73">
        <v>46104</v>
      </c>
      <c r="C6478" s="9" t="s">
        <v>6156</v>
      </c>
      <c r="D6478" s="9" t="s">
        <v>6117</v>
      </c>
      <c r="F6478" s="6">
        <v>120</v>
      </c>
      <c r="G6478" s="6">
        <f t="shared" si="321"/>
        <v>120</v>
      </c>
      <c r="H6478" s="6">
        <v>60</v>
      </c>
      <c r="I6478" s="26">
        <f t="shared" si="322"/>
        <v>60</v>
      </c>
      <c r="J6478" s="7" t="str">
        <f t="shared" si="320"/>
        <v>DEBE</v>
      </c>
      <c r="K6478" s="9" t="s">
        <v>5974</v>
      </c>
      <c r="M6478" s="82" t="s">
        <v>6157</v>
      </c>
    </row>
    <row r="6479" spans="1:13" x14ac:dyDescent="0.25">
      <c r="A6479" s="73">
        <v>46104</v>
      </c>
      <c r="C6479" s="9" t="s">
        <v>6158</v>
      </c>
      <c r="D6479" s="9" t="s">
        <v>6117</v>
      </c>
      <c r="F6479" s="6">
        <v>150</v>
      </c>
      <c r="G6479" s="6">
        <f t="shared" si="321"/>
        <v>150</v>
      </c>
      <c r="H6479" s="6">
        <v>75</v>
      </c>
      <c r="I6479" s="26">
        <f t="shared" si="322"/>
        <v>75</v>
      </c>
      <c r="J6479" s="7" t="str">
        <f t="shared" ref="J6479:J6542" si="323">IF(I6479&gt;0,"DEBE","PAGADO")</f>
        <v>DEBE</v>
      </c>
      <c r="K6479" s="9" t="s">
        <v>5974</v>
      </c>
      <c r="M6479" s="82" t="s">
        <v>6157</v>
      </c>
    </row>
    <row r="6480" spans="1:13" x14ac:dyDescent="0.25">
      <c r="A6480" s="73">
        <v>46104</v>
      </c>
      <c r="C6480" s="9" t="s">
        <v>6159</v>
      </c>
      <c r="D6480" s="98" t="s">
        <v>4890</v>
      </c>
      <c r="F6480" s="6">
        <v>360</v>
      </c>
      <c r="G6480" s="6">
        <f t="shared" si="321"/>
        <v>360</v>
      </c>
      <c r="H6480" s="6">
        <v>360</v>
      </c>
      <c r="I6480" s="26">
        <f t="shared" si="322"/>
        <v>0</v>
      </c>
      <c r="J6480" s="7" t="str">
        <f t="shared" si="323"/>
        <v>PAGADO</v>
      </c>
    </row>
    <row r="6481" spans="1:13" x14ac:dyDescent="0.25">
      <c r="A6481" s="73">
        <v>46104</v>
      </c>
      <c r="C6481" s="9" t="s">
        <v>6160</v>
      </c>
      <c r="D6481" s="9" t="s">
        <v>6161</v>
      </c>
      <c r="F6481" s="6">
        <v>50</v>
      </c>
      <c r="G6481" s="6">
        <f t="shared" si="321"/>
        <v>50</v>
      </c>
      <c r="H6481" s="6">
        <v>50</v>
      </c>
      <c r="I6481" s="26">
        <f t="shared" si="322"/>
        <v>0</v>
      </c>
      <c r="J6481" s="7" t="str">
        <f t="shared" si="323"/>
        <v>PAGADO</v>
      </c>
      <c r="K6481" s="33" t="s">
        <v>3819</v>
      </c>
    </row>
    <row r="6482" spans="1:13" x14ac:dyDescent="0.25">
      <c r="A6482" s="73">
        <v>46104</v>
      </c>
      <c r="C6482" s="9" t="s">
        <v>6162</v>
      </c>
      <c r="D6482" s="9" t="s">
        <v>6163</v>
      </c>
      <c r="F6482" s="6">
        <v>90</v>
      </c>
      <c r="G6482" s="6">
        <f t="shared" si="321"/>
        <v>90</v>
      </c>
      <c r="H6482" s="6">
        <v>90</v>
      </c>
      <c r="I6482" s="26">
        <f t="shared" si="322"/>
        <v>0</v>
      </c>
      <c r="J6482" s="7" t="str">
        <f t="shared" si="323"/>
        <v>PAGADO</v>
      </c>
    </row>
    <row r="6483" spans="1:13" x14ac:dyDescent="0.25">
      <c r="A6483" s="73">
        <v>46104</v>
      </c>
      <c r="C6483" t="s">
        <v>6164</v>
      </c>
      <c r="D6483" s="9" t="s">
        <v>4270</v>
      </c>
      <c r="F6483" s="6">
        <v>160</v>
      </c>
      <c r="G6483" s="6">
        <f t="shared" si="321"/>
        <v>160</v>
      </c>
      <c r="H6483" s="6">
        <v>160</v>
      </c>
      <c r="I6483" s="26">
        <f t="shared" si="322"/>
        <v>0</v>
      </c>
      <c r="J6483" s="7" t="str">
        <f t="shared" si="323"/>
        <v>PAGADO</v>
      </c>
      <c r="K6483" t="s">
        <v>5162</v>
      </c>
    </row>
    <row r="6484" spans="1:13" x14ac:dyDescent="0.25">
      <c r="A6484" s="73">
        <v>46104</v>
      </c>
      <c r="C6484" t="s">
        <v>6165</v>
      </c>
      <c r="D6484" s="9" t="s">
        <v>6166</v>
      </c>
      <c r="F6484" s="6">
        <v>110</v>
      </c>
      <c r="G6484" s="6">
        <f t="shared" si="321"/>
        <v>110</v>
      </c>
      <c r="H6484" s="6">
        <v>110</v>
      </c>
      <c r="I6484" s="26">
        <f t="shared" si="322"/>
        <v>0</v>
      </c>
      <c r="J6484" s="7" t="str">
        <f t="shared" si="323"/>
        <v>PAGADO</v>
      </c>
    </row>
    <row r="6485" spans="1:13" x14ac:dyDescent="0.25">
      <c r="A6485" s="73">
        <v>46104</v>
      </c>
      <c r="C6485" s="9" t="s">
        <v>6167</v>
      </c>
      <c r="D6485" s="9" t="s">
        <v>1055</v>
      </c>
      <c r="F6485" s="6">
        <v>80</v>
      </c>
      <c r="G6485" s="6">
        <f t="shared" si="321"/>
        <v>80</v>
      </c>
      <c r="H6485" s="6">
        <v>40</v>
      </c>
      <c r="I6485" s="26">
        <f t="shared" si="322"/>
        <v>40</v>
      </c>
      <c r="J6485" s="7" t="str">
        <f t="shared" si="323"/>
        <v>DEBE</v>
      </c>
      <c r="K6485" s="33" t="s">
        <v>5974</v>
      </c>
      <c r="M6485" s="8" t="s">
        <v>5992</v>
      </c>
    </row>
    <row r="6486" spans="1:13" x14ac:dyDescent="0.25">
      <c r="A6486" s="73">
        <v>46105</v>
      </c>
      <c r="C6486" t="s">
        <v>6168</v>
      </c>
      <c r="D6486" t="s">
        <v>3012</v>
      </c>
      <c r="F6486" s="6">
        <v>240</v>
      </c>
      <c r="G6486" s="11">
        <f t="shared" si="321"/>
        <v>240</v>
      </c>
      <c r="H6486" s="11">
        <v>240</v>
      </c>
      <c r="I6486" s="26">
        <f t="shared" si="322"/>
        <v>0</v>
      </c>
      <c r="J6486" s="7" t="str">
        <f t="shared" si="323"/>
        <v>PAGADO</v>
      </c>
    </row>
    <row r="6487" spans="1:13" x14ac:dyDescent="0.25">
      <c r="A6487" s="73">
        <v>46106</v>
      </c>
      <c r="C6487" t="s">
        <v>6169</v>
      </c>
      <c r="D6487" t="s">
        <v>6170</v>
      </c>
      <c r="F6487" s="6">
        <v>80</v>
      </c>
      <c r="G6487" s="6">
        <f t="shared" si="321"/>
        <v>80</v>
      </c>
      <c r="H6487" s="6">
        <f>40+40</f>
        <v>80</v>
      </c>
      <c r="I6487" s="26">
        <f t="shared" si="322"/>
        <v>0</v>
      </c>
      <c r="J6487" s="7" t="str">
        <f t="shared" si="323"/>
        <v>PAGADO</v>
      </c>
    </row>
    <row r="6488" spans="1:13" x14ac:dyDescent="0.25">
      <c r="A6488" s="73">
        <v>46106</v>
      </c>
      <c r="C6488" t="s">
        <v>6171</v>
      </c>
      <c r="D6488" t="s">
        <v>6170</v>
      </c>
      <c r="F6488" s="6">
        <v>60</v>
      </c>
      <c r="G6488" s="6">
        <f t="shared" si="321"/>
        <v>60</v>
      </c>
      <c r="H6488" s="6">
        <f>30+30</f>
        <v>60</v>
      </c>
      <c r="I6488" s="26">
        <f t="shared" si="322"/>
        <v>0</v>
      </c>
      <c r="J6488" s="7" t="str">
        <f t="shared" si="323"/>
        <v>PAGADO</v>
      </c>
    </row>
    <row r="6489" spans="1:13" x14ac:dyDescent="0.25">
      <c r="A6489" s="73">
        <v>46106</v>
      </c>
      <c r="C6489" s="9" t="s">
        <v>745</v>
      </c>
      <c r="D6489" s="9" t="s">
        <v>5558</v>
      </c>
      <c r="F6489" s="6">
        <v>70</v>
      </c>
      <c r="G6489" s="6">
        <f t="shared" si="321"/>
        <v>70</v>
      </c>
      <c r="H6489" s="6">
        <f>35+35</f>
        <v>70</v>
      </c>
      <c r="I6489" s="63">
        <f t="shared" si="322"/>
        <v>0</v>
      </c>
      <c r="J6489" s="7" t="str">
        <f t="shared" si="323"/>
        <v>PAGADO</v>
      </c>
      <c r="K6489" s="33" t="s">
        <v>3819</v>
      </c>
    </row>
    <row r="6490" spans="1:13" x14ac:dyDescent="0.25">
      <c r="A6490" s="73">
        <v>46106</v>
      </c>
      <c r="C6490" t="s">
        <v>4507</v>
      </c>
      <c r="D6490" t="s">
        <v>5790</v>
      </c>
      <c r="F6490" s="6">
        <v>80</v>
      </c>
      <c r="G6490" s="6">
        <f t="shared" si="321"/>
        <v>80</v>
      </c>
      <c r="H6490" s="6">
        <v>80</v>
      </c>
      <c r="I6490" s="26">
        <f t="shared" si="322"/>
        <v>0</v>
      </c>
      <c r="J6490" s="7" t="str">
        <f t="shared" si="323"/>
        <v>PAGADO</v>
      </c>
      <c r="K6490" s="33" t="s">
        <v>3819</v>
      </c>
    </row>
    <row r="6491" spans="1:13" x14ac:dyDescent="0.25">
      <c r="A6491" s="73">
        <v>46106</v>
      </c>
      <c r="C6491" s="9" t="s">
        <v>6109</v>
      </c>
      <c r="D6491" t="s">
        <v>3570</v>
      </c>
      <c r="F6491" s="6">
        <v>80</v>
      </c>
      <c r="G6491" s="6">
        <f t="shared" si="321"/>
        <v>80</v>
      </c>
      <c r="H6491" s="6">
        <v>40</v>
      </c>
      <c r="I6491" s="26">
        <f t="shared" si="322"/>
        <v>40</v>
      </c>
      <c r="J6491" s="7" t="str">
        <f t="shared" si="323"/>
        <v>DEBE</v>
      </c>
      <c r="K6491" s="33" t="s">
        <v>2754</v>
      </c>
    </row>
    <row r="6492" spans="1:13" x14ac:dyDescent="0.25">
      <c r="A6492" s="73">
        <v>46106</v>
      </c>
      <c r="C6492" s="9" t="s">
        <v>6107</v>
      </c>
      <c r="D6492" t="s">
        <v>3570</v>
      </c>
      <c r="F6492" s="6">
        <v>90</v>
      </c>
      <c r="G6492" s="6">
        <f t="shared" si="321"/>
        <v>90</v>
      </c>
      <c r="H6492" s="6">
        <v>45</v>
      </c>
      <c r="I6492" s="26">
        <f t="shared" si="322"/>
        <v>45</v>
      </c>
      <c r="J6492" s="7" t="str">
        <f t="shared" si="323"/>
        <v>DEBE</v>
      </c>
      <c r="K6492" s="33" t="s">
        <v>5974</v>
      </c>
      <c r="M6492" s="8" t="s">
        <v>6108</v>
      </c>
    </row>
    <row r="6493" spans="1:13" x14ac:dyDescent="0.25">
      <c r="A6493" s="73">
        <v>46106</v>
      </c>
      <c r="C6493" s="9" t="s">
        <v>4619</v>
      </c>
      <c r="D6493" t="s">
        <v>3570</v>
      </c>
      <c r="F6493" s="6">
        <v>90</v>
      </c>
      <c r="G6493" s="6">
        <f t="shared" si="321"/>
        <v>90</v>
      </c>
      <c r="H6493" s="6">
        <v>90</v>
      </c>
      <c r="I6493" s="26">
        <f t="shared" si="322"/>
        <v>0</v>
      </c>
      <c r="J6493" s="7" t="str">
        <f t="shared" si="323"/>
        <v>PAGADO</v>
      </c>
    </row>
    <row r="6494" spans="1:13" x14ac:dyDescent="0.25">
      <c r="A6494" s="73">
        <v>46106</v>
      </c>
      <c r="C6494" s="9" t="s">
        <v>6172</v>
      </c>
      <c r="D6494" t="s">
        <v>6173</v>
      </c>
      <c r="F6494" s="6">
        <v>80</v>
      </c>
      <c r="G6494" s="6">
        <f t="shared" si="321"/>
        <v>80</v>
      </c>
      <c r="H6494" s="6">
        <v>40</v>
      </c>
      <c r="I6494" s="26">
        <f t="shared" si="322"/>
        <v>40</v>
      </c>
      <c r="J6494" s="7" t="str">
        <f t="shared" si="323"/>
        <v>DEBE</v>
      </c>
      <c r="K6494" s="33" t="s">
        <v>5974</v>
      </c>
      <c r="M6494" s="8" t="s">
        <v>6174</v>
      </c>
    </row>
    <row r="6495" spans="1:13" x14ac:dyDescent="0.25">
      <c r="A6495" s="73">
        <v>46106</v>
      </c>
      <c r="C6495" s="9" t="s">
        <v>6175</v>
      </c>
      <c r="D6495" t="s">
        <v>6176</v>
      </c>
      <c r="F6495" s="6">
        <v>100</v>
      </c>
      <c r="G6495" s="6">
        <f t="shared" si="321"/>
        <v>100</v>
      </c>
      <c r="H6495" s="6">
        <f>50+50</f>
        <v>100</v>
      </c>
      <c r="I6495" s="26">
        <f t="shared" si="322"/>
        <v>0</v>
      </c>
      <c r="J6495" s="7" t="str">
        <f t="shared" si="323"/>
        <v>PAGADO</v>
      </c>
    </row>
    <row r="6496" spans="1:13" x14ac:dyDescent="0.25">
      <c r="A6496" s="73">
        <v>46106</v>
      </c>
      <c r="C6496" s="9" t="s">
        <v>5167</v>
      </c>
      <c r="D6496" t="s">
        <v>6176</v>
      </c>
      <c r="F6496" s="6">
        <v>100</v>
      </c>
      <c r="G6496" s="6">
        <f t="shared" si="321"/>
        <v>100</v>
      </c>
      <c r="H6496" s="6">
        <f>50+50</f>
        <v>100</v>
      </c>
      <c r="I6496" s="26">
        <f t="shared" si="322"/>
        <v>0</v>
      </c>
      <c r="J6496" s="7" t="str">
        <f t="shared" si="323"/>
        <v>PAGADO</v>
      </c>
      <c r="K6496" s="33"/>
    </row>
    <row r="6497" spans="1:13" x14ac:dyDescent="0.25">
      <c r="A6497" s="73">
        <v>46106</v>
      </c>
      <c r="C6497" s="9" t="s">
        <v>6177</v>
      </c>
      <c r="D6497" t="s">
        <v>6176</v>
      </c>
      <c r="F6497" s="6">
        <v>70</v>
      </c>
      <c r="G6497" s="6">
        <f t="shared" si="321"/>
        <v>70</v>
      </c>
      <c r="H6497" s="6">
        <v>40</v>
      </c>
      <c r="I6497" s="26">
        <f t="shared" si="322"/>
        <v>30</v>
      </c>
      <c r="J6497" s="7" t="str">
        <f t="shared" si="323"/>
        <v>DEBE</v>
      </c>
      <c r="K6497" t="s">
        <v>2754</v>
      </c>
      <c r="M6497" s="8" t="s">
        <v>5247</v>
      </c>
    </row>
    <row r="6498" spans="1:13" x14ac:dyDescent="0.25">
      <c r="A6498" s="73">
        <v>46106</v>
      </c>
      <c r="C6498" s="9" t="s">
        <v>2266</v>
      </c>
      <c r="D6498" t="s">
        <v>3012</v>
      </c>
      <c r="F6498" s="6">
        <v>70</v>
      </c>
      <c r="G6498" s="6">
        <f t="shared" si="321"/>
        <v>70</v>
      </c>
      <c r="H6498" s="6">
        <v>70</v>
      </c>
      <c r="I6498" s="26">
        <f t="shared" si="322"/>
        <v>0</v>
      </c>
      <c r="J6498" s="7" t="str">
        <f t="shared" si="323"/>
        <v>PAGADO</v>
      </c>
      <c r="K6498" s="9" t="s">
        <v>3819</v>
      </c>
    </row>
    <row r="6499" spans="1:13" x14ac:dyDescent="0.25">
      <c r="A6499" s="73">
        <v>46107</v>
      </c>
      <c r="C6499" t="s">
        <v>6178</v>
      </c>
      <c r="D6499" s="9" t="s">
        <v>4502</v>
      </c>
      <c r="F6499" s="6">
        <v>390</v>
      </c>
      <c r="G6499" s="6">
        <f t="shared" si="321"/>
        <v>390</v>
      </c>
      <c r="H6499" s="6">
        <v>390</v>
      </c>
      <c r="I6499" s="26">
        <f t="shared" si="322"/>
        <v>0</v>
      </c>
      <c r="J6499" s="7" t="str">
        <f t="shared" si="323"/>
        <v>PAGADO</v>
      </c>
    </row>
    <row r="6500" spans="1:13" x14ac:dyDescent="0.25">
      <c r="A6500" s="73">
        <v>46107</v>
      </c>
      <c r="C6500" t="s">
        <v>6179</v>
      </c>
      <c r="D6500" s="9" t="s">
        <v>6180</v>
      </c>
      <c r="F6500" s="6">
        <v>150</v>
      </c>
      <c r="G6500" s="6">
        <f t="shared" si="321"/>
        <v>150</v>
      </c>
      <c r="H6500" s="6">
        <v>70</v>
      </c>
      <c r="I6500" s="26">
        <f t="shared" si="322"/>
        <v>80</v>
      </c>
      <c r="J6500" s="7" t="str">
        <f t="shared" si="323"/>
        <v>DEBE</v>
      </c>
      <c r="K6500" s="33" t="s">
        <v>5974</v>
      </c>
      <c r="M6500" s="8" t="s">
        <v>6084</v>
      </c>
    </row>
    <row r="6501" spans="1:13" x14ac:dyDescent="0.25">
      <c r="A6501" s="73">
        <v>46107</v>
      </c>
      <c r="C6501" s="9" t="s">
        <v>6181</v>
      </c>
      <c r="D6501" t="s">
        <v>6173</v>
      </c>
      <c r="F6501" s="6">
        <v>80</v>
      </c>
      <c r="G6501" s="6">
        <f t="shared" si="321"/>
        <v>80</v>
      </c>
      <c r="H6501" s="6">
        <v>80</v>
      </c>
      <c r="I6501" s="26">
        <f t="shared" si="322"/>
        <v>0</v>
      </c>
      <c r="J6501" s="7" t="str">
        <f t="shared" si="323"/>
        <v>PAGADO</v>
      </c>
    </row>
    <row r="6502" spans="1:13" x14ac:dyDescent="0.25">
      <c r="A6502" s="73">
        <v>46108</v>
      </c>
      <c r="C6502" t="s">
        <v>6182</v>
      </c>
      <c r="D6502" t="s">
        <v>2363</v>
      </c>
      <c r="F6502" s="6">
        <v>70</v>
      </c>
      <c r="G6502" s="11">
        <f t="shared" si="321"/>
        <v>70</v>
      </c>
      <c r="H6502" s="11">
        <v>35</v>
      </c>
      <c r="I6502" s="26">
        <f t="shared" si="322"/>
        <v>35</v>
      </c>
      <c r="J6502" s="7" t="str">
        <f t="shared" si="323"/>
        <v>DEBE</v>
      </c>
      <c r="K6502" s="34" t="s">
        <v>2754</v>
      </c>
      <c r="M6502" s="8" t="s">
        <v>5251</v>
      </c>
    </row>
    <row r="6503" spans="1:13" x14ac:dyDescent="0.25">
      <c r="A6503" s="73">
        <v>46108</v>
      </c>
      <c r="C6503" t="s">
        <v>6183</v>
      </c>
      <c r="D6503" t="s">
        <v>2363</v>
      </c>
      <c r="F6503" s="6">
        <v>160</v>
      </c>
      <c r="G6503" s="11">
        <f t="shared" si="321"/>
        <v>160</v>
      </c>
      <c r="H6503" s="11">
        <v>160</v>
      </c>
      <c r="I6503" s="26">
        <f t="shared" si="322"/>
        <v>0</v>
      </c>
      <c r="J6503" s="7" t="str">
        <f t="shared" si="323"/>
        <v>PAGADO</v>
      </c>
      <c r="K6503" t="s">
        <v>6184</v>
      </c>
    </row>
    <row r="6504" spans="1:13" x14ac:dyDescent="0.25">
      <c r="A6504" s="73">
        <v>46108</v>
      </c>
      <c r="C6504" t="s">
        <v>4764</v>
      </c>
      <c r="D6504" t="s">
        <v>6185</v>
      </c>
      <c r="F6504" s="6">
        <v>90</v>
      </c>
      <c r="G6504" s="6">
        <f t="shared" si="321"/>
        <v>90</v>
      </c>
      <c r="H6504" s="6">
        <f>10+80</f>
        <v>90</v>
      </c>
      <c r="I6504" s="26">
        <f t="shared" si="322"/>
        <v>0</v>
      </c>
      <c r="J6504" s="7" t="str">
        <f t="shared" si="323"/>
        <v>PAGADO</v>
      </c>
    </row>
    <row r="6505" spans="1:13" x14ac:dyDescent="0.25">
      <c r="A6505" s="73">
        <v>46108</v>
      </c>
      <c r="C6505" s="41" t="s">
        <v>6186</v>
      </c>
      <c r="D6505" s="109" t="s">
        <v>4587</v>
      </c>
      <c r="E6505" s="87"/>
      <c r="F6505" s="58">
        <v>65</v>
      </c>
      <c r="G6505" s="58">
        <f t="shared" si="321"/>
        <v>65</v>
      </c>
      <c r="H6505" s="58">
        <v>65</v>
      </c>
      <c r="I6505" s="58">
        <f t="shared" si="322"/>
        <v>0</v>
      </c>
      <c r="J6505" s="88" t="str">
        <f t="shared" si="323"/>
        <v>PAGADO</v>
      </c>
    </row>
    <row r="6506" spans="1:13" x14ac:dyDescent="0.25">
      <c r="A6506" s="73">
        <v>46108</v>
      </c>
      <c r="C6506" s="9" t="s">
        <v>6187</v>
      </c>
      <c r="D6506" s="9" t="s">
        <v>3434</v>
      </c>
      <c r="F6506" s="6">
        <v>60</v>
      </c>
      <c r="G6506" s="6">
        <f t="shared" si="321"/>
        <v>60</v>
      </c>
      <c r="H6506" s="6">
        <v>60</v>
      </c>
      <c r="I6506" s="26">
        <f t="shared" si="322"/>
        <v>0</v>
      </c>
      <c r="J6506" s="7" t="str">
        <f t="shared" si="323"/>
        <v>PAGADO</v>
      </c>
    </row>
    <row r="6507" spans="1:13" x14ac:dyDescent="0.25">
      <c r="A6507" s="73">
        <v>46108</v>
      </c>
      <c r="C6507" s="9" t="s">
        <v>6188</v>
      </c>
      <c r="D6507" s="9" t="s">
        <v>6189</v>
      </c>
      <c r="F6507" s="6">
        <v>40</v>
      </c>
      <c r="G6507" s="6">
        <f t="shared" si="321"/>
        <v>40</v>
      </c>
      <c r="H6507" s="6">
        <v>40</v>
      </c>
      <c r="I6507" s="26">
        <f t="shared" si="322"/>
        <v>0</v>
      </c>
      <c r="J6507" s="7" t="str">
        <f t="shared" si="323"/>
        <v>PAGADO</v>
      </c>
    </row>
    <row r="6508" spans="1:13" x14ac:dyDescent="0.25">
      <c r="A6508" s="73">
        <v>46109</v>
      </c>
      <c r="C6508" s="9" t="s">
        <v>6190</v>
      </c>
      <c r="D6508" s="9" t="s">
        <v>1191</v>
      </c>
      <c r="F6508" s="6">
        <v>25</v>
      </c>
      <c r="G6508" s="6">
        <f t="shared" si="321"/>
        <v>25</v>
      </c>
      <c r="H6508" s="6">
        <v>25</v>
      </c>
      <c r="I6508" s="6">
        <f t="shared" si="322"/>
        <v>0</v>
      </c>
      <c r="J6508" s="7" t="str">
        <f t="shared" si="323"/>
        <v>PAGADO</v>
      </c>
    </row>
    <row r="6509" spans="1:13" x14ac:dyDescent="0.25">
      <c r="A6509" s="73">
        <v>46109</v>
      </c>
      <c r="C6509" t="s">
        <v>6191</v>
      </c>
      <c r="D6509" s="9" t="s">
        <v>5805</v>
      </c>
      <c r="F6509" s="6">
        <v>80</v>
      </c>
      <c r="G6509" s="6">
        <f t="shared" si="321"/>
        <v>80</v>
      </c>
      <c r="H6509" s="6">
        <v>80</v>
      </c>
      <c r="I6509" s="26">
        <f t="shared" si="322"/>
        <v>0</v>
      </c>
      <c r="J6509" s="7" t="str">
        <f t="shared" si="323"/>
        <v>PAGADO</v>
      </c>
    </row>
    <row r="6510" spans="1:13" x14ac:dyDescent="0.25">
      <c r="A6510" s="73">
        <v>46110</v>
      </c>
      <c r="C6510" s="9" t="s">
        <v>4354</v>
      </c>
      <c r="D6510" t="s">
        <v>80</v>
      </c>
      <c r="F6510" s="6">
        <v>90</v>
      </c>
      <c r="G6510" s="6">
        <f t="shared" si="321"/>
        <v>90</v>
      </c>
      <c r="H6510" s="6">
        <v>90</v>
      </c>
      <c r="I6510" s="26">
        <f t="shared" si="322"/>
        <v>0</v>
      </c>
      <c r="J6510" s="7" t="str">
        <f t="shared" si="323"/>
        <v>PAGADO</v>
      </c>
    </row>
    <row r="6511" spans="1:13" x14ac:dyDescent="0.25">
      <c r="A6511" s="73">
        <v>46110</v>
      </c>
      <c r="C6511" t="s">
        <v>6192</v>
      </c>
      <c r="D6511" s="9" t="s">
        <v>5636</v>
      </c>
      <c r="F6511" s="6">
        <v>70</v>
      </c>
      <c r="G6511" s="6">
        <f t="shared" si="321"/>
        <v>70</v>
      </c>
      <c r="H6511" s="6">
        <v>70</v>
      </c>
      <c r="I6511" s="26">
        <f t="shared" si="322"/>
        <v>0</v>
      </c>
      <c r="J6511" s="7" t="str">
        <f t="shared" si="323"/>
        <v>PAGADO</v>
      </c>
    </row>
    <row r="6512" spans="1:13" x14ac:dyDescent="0.25">
      <c r="A6512" s="73">
        <v>46110</v>
      </c>
      <c r="C6512" t="s">
        <v>5972</v>
      </c>
      <c r="D6512" s="9" t="s">
        <v>5636</v>
      </c>
      <c r="F6512" s="6">
        <v>100</v>
      </c>
      <c r="G6512" s="6">
        <f t="shared" si="321"/>
        <v>100</v>
      </c>
      <c r="H6512" s="6">
        <v>100</v>
      </c>
      <c r="I6512" s="26">
        <f t="shared" si="322"/>
        <v>0</v>
      </c>
      <c r="J6512" s="7" t="str">
        <f t="shared" si="323"/>
        <v>PAGADO</v>
      </c>
    </row>
    <row r="6513" spans="1:13" x14ac:dyDescent="0.25">
      <c r="A6513" s="73">
        <v>46110</v>
      </c>
      <c r="C6513" t="s">
        <v>4619</v>
      </c>
      <c r="D6513" s="9" t="s">
        <v>5636</v>
      </c>
      <c r="F6513" s="6">
        <v>90</v>
      </c>
      <c r="G6513" s="6">
        <f t="shared" si="321"/>
        <v>90</v>
      </c>
      <c r="H6513" s="6">
        <v>90</v>
      </c>
      <c r="I6513" s="26">
        <f t="shared" si="322"/>
        <v>0</v>
      </c>
      <c r="J6513" s="7" t="str">
        <f t="shared" si="323"/>
        <v>PAGADO</v>
      </c>
    </row>
    <row r="6514" spans="1:13" x14ac:dyDescent="0.25">
      <c r="A6514" s="73">
        <v>46110</v>
      </c>
      <c r="C6514" t="s">
        <v>6193</v>
      </c>
      <c r="D6514" t="s">
        <v>2360</v>
      </c>
      <c r="F6514" s="6">
        <v>65</v>
      </c>
      <c r="G6514" s="6">
        <f t="shared" si="321"/>
        <v>65</v>
      </c>
      <c r="H6514" s="6">
        <v>65</v>
      </c>
      <c r="I6514" s="26">
        <f t="shared" si="322"/>
        <v>0</v>
      </c>
      <c r="J6514" s="7" t="str">
        <f t="shared" si="323"/>
        <v>PAGADO</v>
      </c>
    </row>
    <row r="6515" spans="1:13" x14ac:dyDescent="0.25">
      <c r="A6515" s="73">
        <v>46110</v>
      </c>
      <c r="C6515" t="s">
        <v>6194</v>
      </c>
      <c r="D6515" t="s">
        <v>2360</v>
      </c>
      <c r="F6515" s="6">
        <v>50</v>
      </c>
      <c r="G6515" s="6">
        <f t="shared" si="321"/>
        <v>50</v>
      </c>
      <c r="H6515" s="6">
        <v>50</v>
      </c>
      <c r="I6515" s="26">
        <f t="shared" si="322"/>
        <v>0</v>
      </c>
      <c r="J6515" s="7" t="str">
        <f t="shared" si="323"/>
        <v>PAGADO</v>
      </c>
    </row>
    <row r="6516" spans="1:13" x14ac:dyDescent="0.25">
      <c r="A6516" s="73">
        <v>46110</v>
      </c>
      <c r="C6516" s="9" t="s">
        <v>4880</v>
      </c>
      <c r="D6516" s="9" t="s">
        <v>3980</v>
      </c>
      <c r="F6516" s="6">
        <v>120</v>
      </c>
      <c r="G6516" s="6">
        <f t="shared" si="321"/>
        <v>120</v>
      </c>
      <c r="H6516" s="6">
        <v>120</v>
      </c>
      <c r="I6516" s="26">
        <f t="shared" si="322"/>
        <v>0</v>
      </c>
      <c r="J6516" s="7" t="str">
        <f t="shared" si="323"/>
        <v>PAGADO</v>
      </c>
      <c r="K6516" s="9" t="s">
        <v>2714</v>
      </c>
    </row>
    <row r="6517" spans="1:13" x14ac:dyDescent="0.25">
      <c r="A6517" s="73">
        <v>46111</v>
      </c>
      <c r="C6517" s="9" t="s">
        <v>6195</v>
      </c>
      <c r="D6517" s="9" t="s">
        <v>597</v>
      </c>
      <c r="F6517" s="6">
        <v>200</v>
      </c>
      <c r="G6517" s="6">
        <f t="shared" si="321"/>
        <v>200</v>
      </c>
      <c r="H6517" s="6">
        <v>200</v>
      </c>
      <c r="I6517" s="26">
        <f t="shared" si="322"/>
        <v>0</v>
      </c>
      <c r="J6517" s="7" t="str">
        <f t="shared" si="323"/>
        <v>PAGADO</v>
      </c>
      <c r="K6517" t="s">
        <v>5974</v>
      </c>
      <c r="M6517" s="8" t="s">
        <v>5979</v>
      </c>
    </row>
    <row r="6518" spans="1:13" x14ac:dyDescent="0.25">
      <c r="A6518" s="73">
        <v>46111</v>
      </c>
      <c r="C6518" s="9" t="s">
        <v>6196</v>
      </c>
      <c r="D6518" s="9" t="s">
        <v>597</v>
      </c>
      <c r="F6518" s="6">
        <v>160</v>
      </c>
      <c r="G6518" s="6">
        <f t="shared" si="321"/>
        <v>160</v>
      </c>
      <c r="H6518" s="6">
        <v>160</v>
      </c>
      <c r="I6518" s="26">
        <f t="shared" si="322"/>
        <v>0</v>
      </c>
      <c r="J6518" s="7" t="str">
        <f t="shared" si="323"/>
        <v>PAGADO</v>
      </c>
      <c r="K6518" t="s">
        <v>5974</v>
      </c>
      <c r="M6518" s="8" t="s">
        <v>6033</v>
      </c>
    </row>
    <row r="6519" spans="1:13" x14ac:dyDescent="0.25">
      <c r="A6519" s="73">
        <v>46111</v>
      </c>
      <c r="C6519" s="9" t="s">
        <v>5881</v>
      </c>
      <c r="D6519" s="9" t="s">
        <v>6197</v>
      </c>
      <c r="F6519" s="6">
        <v>120</v>
      </c>
      <c r="G6519" s="6">
        <f t="shared" si="321"/>
        <v>120</v>
      </c>
      <c r="H6519" s="6">
        <v>120</v>
      </c>
      <c r="I6519" s="26">
        <f t="shared" si="322"/>
        <v>0</v>
      </c>
      <c r="J6519" s="7" t="str">
        <f t="shared" si="323"/>
        <v>PAGADO</v>
      </c>
    </row>
    <row r="6520" spans="1:13" x14ac:dyDescent="0.25">
      <c r="A6520" s="73">
        <v>46111</v>
      </c>
      <c r="C6520" s="9" t="s">
        <v>6198</v>
      </c>
      <c r="D6520" t="s">
        <v>3012</v>
      </c>
      <c r="F6520" s="6">
        <v>60</v>
      </c>
      <c r="G6520" s="6">
        <f t="shared" si="321"/>
        <v>60</v>
      </c>
      <c r="H6520" s="6">
        <v>60</v>
      </c>
      <c r="I6520" s="26">
        <f t="shared" si="322"/>
        <v>0</v>
      </c>
      <c r="J6520" s="7" t="str">
        <f t="shared" si="323"/>
        <v>PAGADO</v>
      </c>
    </row>
    <row r="6521" spans="1:13" x14ac:dyDescent="0.25">
      <c r="A6521" s="73">
        <v>46111</v>
      </c>
      <c r="C6521" s="9" t="s">
        <v>6199</v>
      </c>
      <c r="D6521" t="s">
        <v>3012</v>
      </c>
      <c r="F6521" s="6">
        <v>120</v>
      </c>
      <c r="G6521" s="6">
        <f t="shared" si="321"/>
        <v>120</v>
      </c>
      <c r="H6521" s="6">
        <v>120</v>
      </c>
      <c r="I6521" s="26">
        <f t="shared" si="322"/>
        <v>0</v>
      </c>
      <c r="J6521" s="7" t="str">
        <f t="shared" si="323"/>
        <v>PAGADO</v>
      </c>
    </row>
    <row r="6522" spans="1:13" x14ac:dyDescent="0.25">
      <c r="A6522" s="73">
        <v>46111</v>
      </c>
      <c r="C6522" t="s">
        <v>6200</v>
      </c>
      <c r="D6522" t="s">
        <v>5471</v>
      </c>
      <c r="F6522" s="6">
        <v>120</v>
      </c>
      <c r="G6522" s="6">
        <f t="shared" si="321"/>
        <v>120</v>
      </c>
      <c r="H6522" s="6">
        <v>120</v>
      </c>
      <c r="I6522" s="26">
        <f t="shared" si="322"/>
        <v>0</v>
      </c>
      <c r="J6522" s="7" t="str">
        <f t="shared" si="323"/>
        <v>PAGADO</v>
      </c>
    </row>
    <row r="6523" spans="1:13" x14ac:dyDescent="0.25">
      <c r="A6523" s="73">
        <v>46111</v>
      </c>
      <c r="C6523" t="s">
        <v>6198</v>
      </c>
      <c r="D6523" t="s">
        <v>5471</v>
      </c>
      <c r="F6523" s="6">
        <v>60</v>
      </c>
      <c r="G6523" s="6">
        <f t="shared" si="321"/>
        <v>60</v>
      </c>
      <c r="H6523" s="6">
        <v>60</v>
      </c>
      <c r="I6523" s="26">
        <f t="shared" si="322"/>
        <v>0</v>
      </c>
      <c r="J6523" s="7" t="str">
        <f t="shared" si="323"/>
        <v>PAGADO</v>
      </c>
    </row>
    <row r="6524" spans="1:13" x14ac:dyDescent="0.25">
      <c r="A6524" s="73">
        <v>46111</v>
      </c>
      <c r="C6524" s="9" t="s">
        <v>6201</v>
      </c>
      <c r="D6524" s="9" t="s">
        <v>680</v>
      </c>
      <c r="F6524" s="6">
        <v>60</v>
      </c>
      <c r="G6524" s="6">
        <f t="shared" si="321"/>
        <v>60</v>
      </c>
      <c r="H6524" s="6">
        <v>60</v>
      </c>
      <c r="I6524" s="26">
        <f t="shared" si="322"/>
        <v>0</v>
      </c>
      <c r="J6524" s="7" t="str">
        <f t="shared" si="323"/>
        <v>PAGADO</v>
      </c>
    </row>
    <row r="6525" spans="1:13" x14ac:dyDescent="0.25">
      <c r="A6525" s="73">
        <v>46111</v>
      </c>
      <c r="C6525" s="9" t="s">
        <v>532</v>
      </c>
      <c r="D6525" s="9" t="s">
        <v>3479</v>
      </c>
      <c r="F6525" s="6">
        <v>15</v>
      </c>
      <c r="G6525" s="6">
        <f t="shared" si="321"/>
        <v>15</v>
      </c>
      <c r="H6525" s="6">
        <v>15</v>
      </c>
      <c r="I6525" s="26">
        <f t="shared" si="322"/>
        <v>0</v>
      </c>
      <c r="J6525" s="7" t="str">
        <f t="shared" si="323"/>
        <v>PAGADO</v>
      </c>
    </row>
    <row r="6526" spans="1:13" x14ac:dyDescent="0.25">
      <c r="A6526" s="73">
        <v>46112</v>
      </c>
      <c r="C6526" s="9" t="s">
        <v>6202</v>
      </c>
      <c r="D6526" s="9" t="s">
        <v>2878</v>
      </c>
      <c r="F6526" s="6">
        <v>48</v>
      </c>
      <c r="G6526" s="6">
        <f t="shared" ref="G6526:G6589" si="324">F6526-E6526</f>
        <v>48</v>
      </c>
      <c r="H6526" s="6">
        <v>48</v>
      </c>
      <c r="I6526" s="26">
        <f t="shared" si="322"/>
        <v>0</v>
      </c>
      <c r="J6526" s="7" t="str">
        <f t="shared" si="323"/>
        <v>PAGADO</v>
      </c>
    </row>
    <row r="6527" spans="1:13" x14ac:dyDescent="0.25">
      <c r="A6527" s="73">
        <v>46112</v>
      </c>
      <c r="C6527" s="9" t="s">
        <v>6203</v>
      </c>
      <c r="D6527" s="9" t="s">
        <v>2878</v>
      </c>
      <c r="F6527" s="6">
        <v>12</v>
      </c>
      <c r="G6527" s="6">
        <f t="shared" si="324"/>
        <v>12</v>
      </c>
      <c r="H6527" s="6">
        <v>12</v>
      </c>
      <c r="I6527" s="26">
        <f t="shared" si="322"/>
        <v>0</v>
      </c>
      <c r="J6527" s="7" t="str">
        <f t="shared" si="323"/>
        <v>PAGADO</v>
      </c>
    </row>
    <row r="6528" spans="1:13" x14ac:dyDescent="0.25">
      <c r="A6528" s="73">
        <v>46112</v>
      </c>
      <c r="C6528" s="9" t="s">
        <v>6204</v>
      </c>
      <c r="D6528" s="9" t="s">
        <v>2878</v>
      </c>
      <c r="F6528" s="6">
        <v>70</v>
      </c>
      <c r="G6528" s="6">
        <f t="shared" si="324"/>
        <v>70</v>
      </c>
      <c r="H6528" s="6">
        <v>70</v>
      </c>
      <c r="I6528" s="26">
        <f t="shared" si="322"/>
        <v>0</v>
      </c>
      <c r="J6528" s="7" t="str">
        <f t="shared" si="323"/>
        <v>PAGADO</v>
      </c>
    </row>
    <row r="6529" spans="1:13" x14ac:dyDescent="0.25">
      <c r="A6529" s="73">
        <v>46112</v>
      </c>
      <c r="C6529" s="9" t="s">
        <v>6205</v>
      </c>
      <c r="D6529" s="9" t="s">
        <v>2878</v>
      </c>
      <c r="F6529" s="6">
        <v>200</v>
      </c>
      <c r="G6529" s="6">
        <f t="shared" si="324"/>
        <v>200</v>
      </c>
      <c r="H6529" s="6">
        <v>200</v>
      </c>
      <c r="I6529" s="26">
        <f t="shared" si="322"/>
        <v>0</v>
      </c>
      <c r="J6529" s="7" t="str">
        <f t="shared" si="323"/>
        <v>PAGADO</v>
      </c>
    </row>
    <row r="6530" spans="1:13" x14ac:dyDescent="0.25">
      <c r="A6530" s="73">
        <v>46112</v>
      </c>
      <c r="C6530" s="9" t="s">
        <v>6206</v>
      </c>
      <c r="D6530" s="9" t="s">
        <v>2878</v>
      </c>
      <c r="F6530" s="6">
        <v>100</v>
      </c>
      <c r="G6530" s="6">
        <f t="shared" si="324"/>
        <v>100</v>
      </c>
      <c r="H6530" s="6">
        <v>100</v>
      </c>
      <c r="I6530" s="26">
        <f t="shared" si="322"/>
        <v>0</v>
      </c>
      <c r="J6530" s="7" t="str">
        <f t="shared" si="323"/>
        <v>PAGADO</v>
      </c>
    </row>
    <row r="6531" spans="1:13" x14ac:dyDescent="0.25">
      <c r="A6531" s="73">
        <v>46112</v>
      </c>
      <c r="C6531" s="9" t="s">
        <v>6207</v>
      </c>
      <c r="D6531" s="9" t="s">
        <v>2878</v>
      </c>
      <c r="F6531" s="6">
        <v>60</v>
      </c>
      <c r="G6531" s="6">
        <f t="shared" si="324"/>
        <v>60</v>
      </c>
      <c r="H6531" s="6">
        <v>60</v>
      </c>
      <c r="I6531" s="26">
        <f t="shared" si="322"/>
        <v>0</v>
      </c>
      <c r="J6531" s="7" t="str">
        <f t="shared" si="323"/>
        <v>PAGADO</v>
      </c>
    </row>
    <row r="6532" spans="1:13" x14ac:dyDescent="0.25">
      <c r="A6532" s="73">
        <v>46112</v>
      </c>
      <c r="C6532" s="9" t="s">
        <v>6208</v>
      </c>
      <c r="D6532" s="9" t="s">
        <v>2878</v>
      </c>
      <c r="F6532" s="6">
        <v>10</v>
      </c>
      <c r="G6532" s="6">
        <f t="shared" si="324"/>
        <v>10</v>
      </c>
      <c r="H6532" s="6">
        <v>10</v>
      </c>
      <c r="I6532" s="26">
        <f t="shared" si="322"/>
        <v>0</v>
      </c>
      <c r="J6532" s="7" t="str">
        <f t="shared" si="323"/>
        <v>PAGADO</v>
      </c>
    </row>
    <row r="6533" spans="1:13" x14ac:dyDescent="0.25">
      <c r="A6533" s="73">
        <v>46112</v>
      </c>
      <c r="C6533" t="s">
        <v>4828</v>
      </c>
      <c r="D6533" t="s">
        <v>5471</v>
      </c>
      <c r="F6533" s="6">
        <v>120</v>
      </c>
      <c r="G6533" s="6">
        <f t="shared" si="324"/>
        <v>120</v>
      </c>
      <c r="H6533" s="6">
        <v>120</v>
      </c>
      <c r="I6533" s="26">
        <f t="shared" si="322"/>
        <v>0</v>
      </c>
      <c r="J6533" s="7" t="str">
        <f t="shared" si="323"/>
        <v>PAGADO</v>
      </c>
    </row>
    <row r="6534" spans="1:13" x14ac:dyDescent="0.25">
      <c r="A6534" s="73">
        <v>46111</v>
      </c>
      <c r="C6534" s="9" t="s">
        <v>6209</v>
      </c>
      <c r="D6534" s="9" t="s">
        <v>6197</v>
      </c>
      <c r="F6534" s="6">
        <v>50</v>
      </c>
      <c r="G6534" s="6">
        <f t="shared" si="324"/>
        <v>50</v>
      </c>
      <c r="H6534" s="6">
        <v>50</v>
      </c>
      <c r="I6534" s="26">
        <f t="shared" si="322"/>
        <v>0</v>
      </c>
      <c r="J6534" s="7" t="str">
        <f t="shared" si="323"/>
        <v>PAGADO</v>
      </c>
    </row>
    <row r="6535" spans="1:13" x14ac:dyDescent="0.25">
      <c r="A6535" s="73">
        <v>46112</v>
      </c>
      <c r="C6535" s="9" t="s">
        <v>5504</v>
      </c>
      <c r="D6535" s="9" t="s">
        <v>6210</v>
      </c>
      <c r="F6535" s="6">
        <v>70</v>
      </c>
      <c r="G6535" s="6">
        <f t="shared" si="324"/>
        <v>70</v>
      </c>
      <c r="H6535" s="6">
        <v>70</v>
      </c>
      <c r="I6535" s="26">
        <f t="shared" si="322"/>
        <v>0</v>
      </c>
      <c r="J6535" s="7" t="str">
        <f t="shared" si="323"/>
        <v>PAGADO</v>
      </c>
    </row>
    <row r="6536" spans="1:13" x14ac:dyDescent="0.25">
      <c r="A6536" s="73">
        <v>46111</v>
      </c>
      <c r="C6536" s="119" t="s">
        <v>6137</v>
      </c>
      <c r="D6536" t="s">
        <v>5527</v>
      </c>
      <c r="F6536" s="6">
        <v>180</v>
      </c>
      <c r="G6536" s="6">
        <f t="shared" si="324"/>
        <v>180</v>
      </c>
      <c r="H6536" s="6">
        <v>180</v>
      </c>
      <c r="I6536" s="26">
        <f t="shared" si="322"/>
        <v>0</v>
      </c>
      <c r="J6536" s="7" t="str">
        <f t="shared" si="323"/>
        <v>PAGADO</v>
      </c>
    </row>
    <row r="6537" spans="1:13" x14ac:dyDescent="0.25">
      <c r="A6537" s="73">
        <v>46112</v>
      </c>
      <c r="C6537" s="9" t="s">
        <v>6211</v>
      </c>
      <c r="D6537" t="s">
        <v>6212</v>
      </c>
      <c r="F6537" s="6">
        <v>200</v>
      </c>
      <c r="G6537" s="6">
        <f t="shared" si="324"/>
        <v>200</v>
      </c>
      <c r="H6537" s="6">
        <v>200</v>
      </c>
      <c r="I6537" s="26">
        <f t="shared" si="322"/>
        <v>0</v>
      </c>
      <c r="J6537" s="7" t="str">
        <f t="shared" si="323"/>
        <v>PAGADO</v>
      </c>
    </row>
    <row r="6538" spans="1:13" x14ac:dyDescent="0.25">
      <c r="A6538" s="73">
        <v>46111</v>
      </c>
      <c r="C6538" s="9" t="s">
        <v>4658</v>
      </c>
      <c r="D6538" t="s">
        <v>3012</v>
      </c>
      <c r="F6538" s="6">
        <v>60</v>
      </c>
      <c r="G6538" s="6">
        <f t="shared" si="324"/>
        <v>60</v>
      </c>
      <c r="H6538" s="6">
        <v>60</v>
      </c>
      <c r="I6538" s="26">
        <f t="shared" si="322"/>
        <v>0</v>
      </c>
      <c r="J6538" s="7" t="str">
        <f t="shared" si="323"/>
        <v>PAGADO</v>
      </c>
    </row>
    <row r="6539" spans="1:13" x14ac:dyDescent="0.25">
      <c r="A6539" s="73">
        <v>46111</v>
      </c>
      <c r="C6539" s="9" t="s">
        <v>6213</v>
      </c>
      <c r="D6539" t="s">
        <v>3012</v>
      </c>
      <c r="F6539" s="6">
        <v>50</v>
      </c>
      <c r="G6539" s="6">
        <f t="shared" si="324"/>
        <v>50</v>
      </c>
      <c r="H6539" s="6">
        <v>50</v>
      </c>
      <c r="I6539" s="26">
        <f t="shared" ref="I6539:I6602" si="325">F6539-H6539</f>
        <v>0</v>
      </c>
      <c r="J6539" s="7" t="str">
        <f t="shared" si="323"/>
        <v>PAGADO</v>
      </c>
    </row>
    <row r="6540" spans="1:13" x14ac:dyDescent="0.25">
      <c r="A6540" s="73">
        <v>46112</v>
      </c>
      <c r="C6540" t="s">
        <v>6214</v>
      </c>
      <c r="D6540" s="9" t="s">
        <v>6180</v>
      </c>
      <c r="F6540" s="6">
        <v>120</v>
      </c>
      <c r="G6540" s="6">
        <f t="shared" si="324"/>
        <v>120</v>
      </c>
      <c r="H6540" s="6">
        <v>120</v>
      </c>
      <c r="I6540" s="26">
        <f t="shared" si="325"/>
        <v>0</v>
      </c>
      <c r="J6540" s="7" t="str">
        <f t="shared" si="323"/>
        <v>PAGADO</v>
      </c>
    </row>
    <row r="6541" spans="1:13" x14ac:dyDescent="0.25">
      <c r="A6541" s="73">
        <v>46112</v>
      </c>
      <c r="C6541" s="9" t="s">
        <v>6215</v>
      </c>
      <c r="D6541" s="9" t="s">
        <v>3262</v>
      </c>
      <c r="F6541" s="6">
        <v>60</v>
      </c>
      <c r="G6541" s="6">
        <f t="shared" si="324"/>
        <v>60</v>
      </c>
      <c r="H6541" s="6">
        <v>60</v>
      </c>
      <c r="I6541" s="26">
        <f t="shared" si="325"/>
        <v>0</v>
      </c>
      <c r="J6541" s="7" t="str">
        <f t="shared" si="323"/>
        <v>PAGADO</v>
      </c>
      <c r="K6541" s="33" t="s">
        <v>5974</v>
      </c>
      <c r="M6541" s="8" t="s">
        <v>6047</v>
      </c>
    </row>
    <row r="6542" spans="1:13" x14ac:dyDescent="0.25">
      <c r="A6542" s="73">
        <v>46112</v>
      </c>
      <c r="C6542" s="9" t="s">
        <v>5972</v>
      </c>
      <c r="D6542" s="9" t="s">
        <v>6216</v>
      </c>
      <c r="F6542" s="6">
        <v>100</v>
      </c>
      <c r="G6542" s="6">
        <f t="shared" si="324"/>
        <v>100</v>
      </c>
      <c r="H6542" s="6">
        <f>50+50</f>
        <v>100</v>
      </c>
      <c r="I6542" s="26">
        <f t="shared" si="325"/>
        <v>0</v>
      </c>
      <c r="J6542" s="7" t="str">
        <f t="shared" si="323"/>
        <v>PAGADO</v>
      </c>
    </row>
    <row r="6543" spans="1:13" x14ac:dyDescent="0.25">
      <c r="A6543" s="73">
        <v>46113</v>
      </c>
      <c r="C6543" t="s">
        <v>6217</v>
      </c>
      <c r="D6543" s="9" t="s">
        <v>4905</v>
      </c>
      <c r="F6543" s="6">
        <v>180</v>
      </c>
      <c r="G6543" s="6">
        <f t="shared" si="324"/>
        <v>180</v>
      </c>
      <c r="H6543" s="6">
        <v>180</v>
      </c>
      <c r="I6543" s="26">
        <f t="shared" si="325"/>
        <v>0</v>
      </c>
      <c r="J6543" s="7" t="str">
        <f t="shared" ref="J6543:J6606" si="326">IF(I6543&gt;0,"DEBE","PAGADO")</f>
        <v>PAGADO</v>
      </c>
      <c r="K6543" s="9" t="s">
        <v>2754</v>
      </c>
    </row>
    <row r="6544" spans="1:13" x14ac:dyDescent="0.25">
      <c r="A6544" s="73">
        <v>46113</v>
      </c>
      <c r="C6544" t="s">
        <v>6218</v>
      </c>
      <c r="D6544" s="9" t="s">
        <v>4905</v>
      </c>
      <c r="F6544" s="6">
        <v>260</v>
      </c>
      <c r="G6544" s="6">
        <f t="shared" si="324"/>
        <v>260</v>
      </c>
      <c r="H6544" s="6">
        <v>260</v>
      </c>
      <c r="I6544" s="26">
        <f t="shared" si="325"/>
        <v>0</v>
      </c>
      <c r="J6544" s="7" t="str">
        <f t="shared" si="326"/>
        <v>PAGADO</v>
      </c>
    </row>
    <row r="6545" spans="1:13" x14ac:dyDescent="0.25">
      <c r="A6545" s="73">
        <v>46113</v>
      </c>
      <c r="C6545" t="s">
        <v>1819</v>
      </c>
      <c r="D6545" s="9" t="s">
        <v>5831</v>
      </c>
      <c r="F6545" s="6">
        <v>70</v>
      </c>
      <c r="G6545" s="6">
        <f t="shared" si="324"/>
        <v>70</v>
      </c>
      <c r="H6545" s="6">
        <v>70</v>
      </c>
      <c r="I6545" s="26">
        <f t="shared" si="325"/>
        <v>0</v>
      </c>
      <c r="J6545" s="7" t="str">
        <f t="shared" si="326"/>
        <v>PAGADO</v>
      </c>
    </row>
    <row r="6546" spans="1:13" x14ac:dyDescent="0.25">
      <c r="A6546" s="73">
        <v>46113</v>
      </c>
      <c r="C6546" t="s">
        <v>6219</v>
      </c>
      <c r="D6546" s="9" t="s">
        <v>5831</v>
      </c>
      <c r="F6546" s="6">
        <v>30</v>
      </c>
      <c r="G6546" s="6">
        <f t="shared" si="324"/>
        <v>30</v>
      </c>
      <c r="H6546" s="6">
        <v>30</v>
      </c>
      <c r="I6546" s="26">
        <f t="shared" si="325"/>
        <v>0</v>
      </c>
      <c r="J6546" s="7" t="str">
        <f t="shared" si="326"/>
        <v>PAGADO</v>
      </c>
    </row>
    <row r="6547" spans="1:13" x14ac:dyDescent="0.25">
      <c r="A6547" s="73">
        <v>46114</v>
      </c>
      <c r="C6547" t="s">
        <v>4495</v>
      </c>
      <c r="D6547" t="s">
        <v>5739</v>
      </c>
      <c r="F6547" s="6">
        <v>80</v>
      </c>
      <c r="G6547" s="6">
        <f t="shared" si="324"/>
        <v>80</v>
      </c>
      <c r="H6547" s="6">
        <f>10+70</f>
        <v>80</v>
      </c>
      <c r="I6547" s="26">
        <f t="shared" si="325"/>
        <v>0</v>
      </c>
      <c r="J6547" s="7" t="str">
        <f t="shared" si="326"/>
        <v>PAGADO</v>
      </c>
    </row>
    <row r="6548" spans="1:13" x14ac:dyDescent="0.25">
      <c r="A6548" s="73">
        <v>46116</v>
      </c>
      <c r="C6548" t="s">
        <v>4650</v>
      </c>
      <c r="D6548" s="9" t="s">
        <v>3711</v>
      </c>
      <c r="F6548" s="6">
        <v>70</v>
      </c>
      <c r="G6548" s="6">
        <f t="shared" si="324"/>
        <v>70</v>
      </c>
      <c r="H6548" s="6">
        <v>70</v>
      </c>
      <c r="I6548" s="26">
        <f t="shared" si="325"/>
        <v>0</v>
      </c>
      <c r="J6548" s="7" t="str">
        <f t="shared" si="326"/>
        <v>PAGADO</v>
      </c>
    </row>
    <row r="6549" spans="1:13" x14ac:dyDescent="0.25">
      <c r="A6549" s="73">
        <v>46116</v>
      </c>
      <c r="C6549" s="9" t="s">
        <v>5934</v>
      </c>
      <c r="D6549" s="9" t="s">
        <v>3591</v>
      </c>
      <c r="F6549" s="6">
        <v>100</v>
      </c>
      <c r="G6549" s="6">
        <f t="shared" si="324"/>
        <v>100</v>
      </c>
      <c r="H6549" s="6">
        <v>100</v>
      </c>
      <c r="I6549" s="26">
        <f t="shared" si="325"/>
        <v>0</v>
      </c>
      <c r="J6549" s="7" t="str">
        <f t="shared" si="326"/>
        <v>PAGADO</v>
      </c>
    </row>
    <row r="6550" spans="1:13" x14ac:dyDescent="0.25">
      <c r="A6550" s="73">
        <v>46116</v>
      </c>
      <c r="C6550" s="9" t="s">
        <v>535</v>
      </c>
      <c r="D6550" s="9" t="s">
        <v>3591</v>
      </c>
      <c r="F6550" s="6">
        <v>80</v>
      </c>
      <c r="G6550" s="6">
        <f t="shared" si="324"/>
        <v>80</v>
      </c>
      <c r="H6550" s="6">
        <v>80</v>
      </c>
      <c r="I6550" s="26">
        <f t="shared" si="325"/>
        <v>0</v>
      </c>
      <c r="J6550" s="7" t="str">
        <f t="shared" si="326"/>
        <v>PAGADO</v>
      </c>
    </row>
    <row r="6551" spans="1:13" x14ac:dyDescent="0.25">
      <c r="A6551" s="73">
        <v>46116</v>
      </c>
      <c r="C6551" s="9" t="s">
        <v>6220</v>
      </c>
      <c r="D6551" s="9" t="s">
        <v>6221</v>
      </c>
      <c r="F6551" s="6">
        <v>90</v>
      </c>
      <c r="G6551" s="6">
        <f t="shared" si="324"/>
        <v>90</v>
      </c>
      <c r="H6551" s="6">
        <v>90</v>
      </c>
      <c r="I6551" s="26">
        <f t="shared" si="325"/>
        <v>0</v>
      </c>
      <c r="J6551" s="7" t="str">
        <f t="shared" si="326"/>
        <v>PAGADO</v>
      </c>
    </row>
    <row r="6552" spans="1:13" x14ac:dyDescent="0.25">
      <c r="A6552" s="73">
        <v>46116</v>
      </c>
      <c r="C6552" t="s">
        <v>6222</v>
      </c>
      <c r="D6552" s="9" t="s">
        <v>5886</v>
      </c>
      <c r="F6552" s="6">
        <v>80</v>
      </c>
      <c r="G6552" s="6">
        <f t="shared" si="324"/>
        <v>80</v>
      </c>
      <c r="H6552" s="6">
        <v>80</v>
      </c>
      <c r="I6552" s="26">
        <f t="shared" si="325"/>
        <v>0</v>
      </c>
      <c r="J6552" s="7" t="str">
        <f t="shared" si="326"/>
        <v>PAGADO</v>
      </c>
    </row>
    <row r="6553" spans="1:13" x14ac:dyDescent="0.25">
      <c r="A6553" s="73">
        <v>46116</v>
      </c>
      <c r="C6553" t="s">
        <v>4922</v>
      </c>
      <c r="D6553" s="9" t="s">
        <v>5886</v>
      </c>
      <c r="F6553" s="6">
        <v>80</v>
      </c>
      <c r="G6553" s="6">
        <f t="shared" si="324"/>
        <v>80</v>
      </c>
      <c r="H6553" s="6">
        <v>80</v>
      </c>
      <c r="I6553" s="26">
        <f t="shared" si="325"/>
        <v>0</v>
      </c>
      <c r="J6553" s="7" t="str">
        <f t="shared" si="326"/>
        <v>PAGADO</v>
      </c>
      <c r="K6553" t="s">
        <v>5974</v>
      </c>
      <c r="M6553" s="8" t="s">
        <v>6093</v>
      </c>
    </row>
    <row r="6554" spans="1:13" x14ac:dyDescent="0.25">
      <c r="A6554" s="73">
        <v>46116</v>
      </c>
      <c r="C6554" t="s">
        <v>3224</v>
      </c>
      <c r="D6554" s="9" t="s">
        <v>5886</v>
      </c>
      <c r="F6554" s="6">
        <v>60</v>
      </c>
      <c r="G6554" s="6">
        <f t="shared" si="324"/>
        <v>60</v>
      </c>
      <c r="H6554" s="6">
        <v>60</v>
      </c>
      <c r="I6554" s="26">
        <f t="shared" si="325"/>
        <v>0</v>
      </c>
      <c r="J6554" s="7" t="str">
        <f t="shared" si="326"/>
        <v>PAGADO</v>
      </c>
      <c r="K6554" t="s">
        <v>5974</v>
      </c>
      <c r="M6554" s="8" t="s">
        <v>6090</v>
      </c>
    </row>
    <row r="6555" spans="1:13" x14ac:dyDescent="0.25">
      <c r="A6555" s="73">
        <v>46116</v>
      </c>
      <c r="C6555" s="9" t="s">
        <v>629</v>
      </c>
      <c r="D6555" t="s">
        <v>6176</v>
      </c>
      <c r="F6555" s="6">
        <v>65</v>
      </c>
      <c r="G6555" s="6">
        <f t="shared" si="324"/>
        <v>65</v>
      </c>
      <c r="H6555" s="6">
        <v>65</v>
      </c>
      <c r="I6555" s="26">
        <f t="shared" si="325"/>
        <v>0</v>
      </c>
      <c r="J6555" s="7" t="str">
        <f t="shared" si="326"/>
        <v>PAGADO</v>
      </c>
    </row>
    <row r="6556" spans="1:13" x14ac:dyDescent="0.25">
      <c r="A6556" s="73">
        <v>46116</v>
      </c>
      <c r="C6556" t="s">
        <v>4927</v>
      </c>
      <c r="D6556" s="9" t="s">
        <v>4503</v>
      </c>
      <c r="F6556" s="6">
        <v>60</v>
      </c>
      <c r="G6556" s="6">
        <f t="shared" si="324"/>
        <v>60</v>
      </c>
      <c r="H6556" s="6">
        <v>60</v>
      </c>
      <c r="I6556" s="26">
        <f t="shared" si="325"/>
        <v>0</v>
      </c>
      <c r="J6556" s="7" t="str">
        <f t="shared" si="326"/>
        <v>PAGADO</v>
      </c>
    </row>
    <row r="6557" spans="1:13" x14ac:dyDescent="0.25">
      <c r="A6557" s="73">
        <v>46116</v>
      </c>
      <c r="C6557" t="s">
        <v>4764</v>
      </c>
      <c r="D6557" s="9" t="s">
        <v>6223</v>
      </c>
      <c r="F6557" s="6">
        <v>100</v>
      </c>
      <c r="G6557" s="6">
        <f t="shared" si="324"/>
        <v>100</v>
      </c>
      <c r="H6557" s="6">
        <v>100</v>
      </c>
      <c r="I6557" s="26">
        <f t="shared" si="325"/>
        <v>0</v>
      </c>
      <c r="J6557" s="7" t="str">
        <f t="shared" si="326"/>
        <v>PAGADO</v>
      </c>
    </row>
    <row r="6558" spans="1:13" x14ac:dyDescent="0.25">
      <c r="A6558" s="73">
        <v>46116</v>
      </c>
      <c r="C6558" t="s">
        <v>6224</v>
      </c>
      <c r="D6558" s="9" t="s">
        <v>1510</v>
      </c>
      <c r="F6558" s="6">
        <v>90</v>
      </c>
      <c r="G6558" s="6">
        <f t="shared" si="324"/>
        <v>90</v>
      </c>
      <c r="H6558" s="6">
        <v>45</v>
      </c>
      <c r="I6558" s="26">
        <f t="shared" si="325"/>
        <v>45</v>
      </c>
      <c r="J6558" s="7" t="str">
        <f t="shared" si="326"/>
        <v>DEBE</v>
      </c>
      <c r="K6558" t="s">
        <v>5974</v>
      </c>
      <c r="M6558" s="8" t="s">
        <v>6074</v>
      </c>
    </row>
    <row r="6559" spans="1:13" x14ac:dyDescent="0.25">
      <c r="A6559" s="73">
        <v>46116</v>
      </c>
      <c r="C6559" t="s">
        <v>6225</v>
      </c>
      <c r="D6559" s="9" t="s">
        <v>1510</v>
      </c>
      <c r="F6559" s="6">
        <v>70</v>
      </c>
      <c r="G6559" s="6">
        <f t="shared" si="324"/>
        <v>70</v>
      </c>
      <c r="H6559" s="6">
        <v>35</v>
      </c>
      <c r="I6559" s="26">
        <f t="shared" si="325"/>
        <v>35</v>
      </c>
      <c r="J6559" s="7" t="str">
        <f t="shared" si="326"/>
        <v>DEBE</v>
      </c>
      <c r="K6559" t="s">
        <v>5974</v>
      </c>
      <c r="M6559" s="8" t="s">
        <v>6015</v>
      </c>
    </row>
    <row r="6560" spans="1:13" x14ac:dyDescent="0.25">
      <c r="A6560" s="73">
        <v>46116</v>
      </c>
      <c r="C6560" t="s">
        <v>6226</v>
      </c>
      <c r="D6560" s="9" t="s">
        <v>1510</v>
      </c>
      <c r="F6560" s="6">
        <v>180</v>
      </c>
      <c r="G6560" s="6">
        <f t="shared" si="324"/>
        <v>180</v>
      </c>
      <c r="H6560" s="6">
        <v>90</v>
      </c>
      <c r="I6560" s="26">
        <f t="shared" si="325"/>
        <v>90</v>
      </c>
      <c r="J6560" s="7" t="str">
        <f t="shared" si="326"/>
        <v>DEBE</v>
      </c>
      <c r="K6560" t="s">
        <v>5974</v>
      </c>
      <c r="M6560" s="8" t="s">
        <v>6000</v>
      </c>
    </row>
    <row r="6561" spans="1:13" x14ac:dyDescent="0.25">
      <c r="A6561" s="73">
        <v>46116</v>
      </c>
      <c r="C6561" t="s">
        <v>6025</v>
      </c>
      <c r="D6561" s="9" t="s">
        <v>1510</v>
      </c>
      <c r="F6561" s="6">
        <v>70</v>
      </c>
      <c r="G6561" s="6">
        <f t="shared" si="324"/>
        <v>70</v>
      </c>
      <c r="H6561" s="6">
        <v>35</v>
      </c>
      <c r="I6561" s="26">
        <f t="shared" si="325"/>
        <v>35</v>
      </c>
      <c r="J6561" s="7" t="str">
        <f t="shared" si="326"/>
        <v>DEBE</v>
      </c>
      <c r="K6561" t="s">
        <v>5974</v>
      </c>
      <c r="M6561" s="8" t="s">
        <v>6038</v>
      </c>
    </row>
    <row r="6562" spans="1:13" x14ac:dyDescent="0.25">
      <c r="A6562" s="73">
        <v>46116</v>
      </c>
      <c r="C6562" t="s">
        <v>6227</v>
      </c>
      <c r="D6562" s="9" t="s">
        <v>1510</v>
      </c>
      <c r="F6562" s="6">
        <v>70</v>
      </c>
      <c r="G6562" s="6">
        <f t="shared" si="324"/>
        <v>70</v>
      </c>
      <c r="H6562" s="6">
        <v>35</v>
      </c>
      <c r="I6562" s="26">
        <f t="shared" si="325"/>
        <v>35</v>
      </c>
      <c r="J6562" s="7" t="str">
        <f t="shared" si="326"/>
        <v>DEBE</v>
      </c>
      <c r="K6562" t="s">
        <v>5974</v>
      </c>
      <c r="M6562" s="8" t="s">
        <v>6038</v>
      </c>
    </row>
    <row r="6563" spans="1:13" x14ac:dyDescent="0.25">
      <c r="A6563" s="73">
        <v>46116</v>
      </c>
      <c r="C6563" t="s">
        <v>6228</v>
      </c>
      <c r="D6563" s="9" t="s">
        <v>1510</v>
      </c>
      <c r="F6563" s="6">
        <v>60</v>
      </c>
      <c r="G6563" s="6">
        <f t="shared" si="324"/>
        <v>60</v>
      </c>
      <c r="H6563" s="6">
        <v>30</v>
      </c>
      <c r="I6563" s="26">
        <f t="shared" si="325"/>
        <v>30</v>
      </c>
      <c r="J6563" s="7" t="str">
        <f t="shared" si="326"/>
        <v>DEBE</v>
      </c>
      <c r="K6563" t="s">
        <v>5974</v>
      </c>
      <c r="M6563" s="8" t="s">
        <v>6038</v>
      </c>
    </row>
    <row r="6564" spans="1:13" x14ac:dyDescent="0.25">
      <c r="A6564" s="73">
        <v>46116</v>
      </c>
      <c r="C6564" t="s">
        <v>5934</v>
      </c>
      <c r="D6564" s="9" t="s">
        <v>6229</v>
      </c>
      <c r="F6564" s="26">
        <v>110</v>
      </c>
      <c r="G6564" s="26">
        <f t="shared" si="324"/>
        <v>110</v>
      </c>
      <c r="H6564" s="26">
        <v>110</v>
      </c>
      <c r="I6564" s="26">
        <f t="shared" si="325"/>
        <v>0</v>
      </c>
      <c r="J6564" s="7" t="str">
        <f t="shared" si="326"/>
        <v>PAGADO</v>
      </c>
    </row>
    <row r="6565" spans="1:13" x14ac:dyDescent="0.25">
      <c r="A6565" s="73">
        <v>46116</v>
      </c>
      <c r="C6565" t="s">
        <v>6230</v>
      </c>
      <c r="D6565" s="9" t="s">
        <v>6231</v>
      </c>
      <c r="F6565" s="6">
        <v>400</v>
      </c>
      <c r="G6565" s="6">
        <f t="shared" si="324"/>
        <v>400</v>
      </c>
      <c r="H6565" s="6">
        <f>10+390</f>
        <v>400</v>
      </c>
      <c r="I6565" s="26">
        <f t="shared" si="325"/>
        <v>0</v>
      </c>
      <c r="J6565" s="7" t="str">
        <f t="shared" si="326"/>
        <v>PAGADO</v>
      </c>
    </row>
    <row r="6566" spans="1:13" x14ac:dyDescent="0.25">
      <c r="A6566" s="73">
        <v>46117</v>
      </c>
      <c r="C6566" t="s">
        <v>1819</v>
      </c>
      <c r="D6566" s="9" t="s">
        <v>6232</v>
      </c>
      <c r="F6566" s="26">
        <v>70</v>
      </c>
      <c r="G6566" s="26">
        <f t="shared" si="324"/>
        <v>70</v>
      </c>
      <c r="H6566" s="26">
        <v>70</v>
      </c>
      <c r="I6566" s="26">
        <f t="shared" si="325"/>
        <v>0</v>
      </c>
      <c r="J6566" s="7" t="str">
        <f t="shared" si="326"/>
        <v>PAGADO</v>
      </c>
    </row>
    <row r="6567" spans="1:13" x14ac:dyDescent="0.25">
      <c r="A6567" s="73">
        <v>46117</v>
      </c>
      <c r="C6567" t="s">
        <v>6233</v>
      </c>
      <c r="D6567" s="9" t="s">
        <v>6234</v>
      </c>
      <c r="F6567" s="6">
        <v>60</v>
      </c>
      <c r="G6567" s="6">
        <f t="shared" si="324"/>
        <v>60</v>
      </c>
      <c r="H6567" s="6">
        <v>60</v>
      </c>
      <c r="I6567" s="26">
        <f t="shared" si="325"/>
        <v>0</v>
      </c>
      <c r="J6567" s="7" t="str">
        <f t="shared" si="326"/>
        <v>PAGADO</v>
      </c>
    </row>
    <row r="6568" spans="1:13" x14ac:dyDescent="0.25">
      <c r="A6568" s="73">
        <v>46117</v>
      </c>
      <c r="C6568" t="s">
        <v>6235</v>
      </c>
      <c r="D6568" s="9" t="s">
        <v>6234</v>
      </c>
      <c r="F6568" s="6">
        <v>65</v>
      </c>
      <c r="G6568" s="6">
        <f t="shared" si="324"/>
        <v>65</v>
      </c>
      <c r="H6568" s="6">
        <v>65</v>
      </c>
      <c r="I6568" s="26">
        <f t="shared" si="325"/>
        <v>0</v>
      </c>
      <c r="J6568" s="7" t="str">
        <f t="shared" si="326"/>
        <v>PAGADO</v>
      </c>
    </row>
    <row r="6569" spans="1:13" x14ac:dyDescent="0.25">
      <c r="A6569" s="73">
        <v>46118</v>
      </c>
      <c r="C6569" t="s">
        <v>6236</v>
      </c>
      <c r="D6569" t="s">
        <v>5218</v>
      </c>
      <c r="F6569" s="6">
        <v>30</v>
      </c>
      <c r="G6569" s="11">
        <f t="shared" si="324"/>
        <v>30</v>
      </c>
      <c r="H6569" s="11">
        <v>15</v>
      </c>
      <c r="I6569" s="26">
        <f t="shared" si="325"/>
        <v>15</v>
      </c>
      <c r="J6569" s="7" t="str">
        <f t="shared" si="326"/>
        <v>DEBE</v>
      </c>
      <c r="K6569" t="s">
        <v>2754</v>
      </c>
      <c r="M6569" s="8" t="s">
        <v>5910</v>
      </c>
    </row>
    <row r="6570" spans="1:13" x14ac:dyDescent="0.25">
      <c r="A6570" s="73">
        <v>46118</v>
      </c>
      <c r="C6570" t="s">
        <v>6237</v>
      </c>
      <c r="D6570" t="s">
        <v>5218</v>
      </c>
      <c r="F6570" s="6">
        <v>15</v>
      </c>
      <c r="G6570" s="11">
        <f t="shared" si="324"/>
        <v>15</v>
      </c>
      <c r="H6570" s="11">
        <v>7.5</v>
      </c>
      <c r="I6570" s="26">
        <f t="shared" si="325"/>
        <v>7.5</v>
      </c>
      <c r="J6570" s="7" t="str">
        <f t="shared" si="326"/>
        <v>DEBE</v>
      </c>
      <c r="K6570" t="s">
        <v>2754</v>
      </c>
      <c r="M6570" s="8" t="s">
        <v>5910</v>
      </c>
    </row>
    <row r="6571" spans="1:13" x14ac:dyDescent="0.25">
      <c r="A6571" s="73">
        <v>46118</v>
      </c>
      <c r="C6571" t="s">
        <v>4767</v>
      </c>
      <c r="D6571" s="9" t="s">
        <v>5855</v>
      </c>
      <c r="F6571" s="6">
        <v>160</v>
      </c>
      <c r="G6571" s="6">
        <f t="shared" si="324"/>
        <v>160</v>
      </c>
      <c r="H6571" s="6">
        <v>80</v>
      </c>
      <c r="I6571" s="26">
        <f t="shared" si="325"/>
        <v>80</v>
      </c>
      <c r="J6571" s="7" t="str">
        <f t="shared" si="326"/>
        <v>DEBE</v>
      </c>
      <c r="K6571" t="s">
        <v>5305</v>
      </c>
    </row>
    <row r="6572" spans="1:13" x14ac:dyDescent="0.25">
      <c r="A6572" s="73">
        <v>46118</v>
      </c>
      <c r="C6572" t="s">
        <v>5508</v>
      </c>
      <c r="D6572" s="9" t="s">
        <v>5855</v>
      </c>
      <c r="F6572" s="6">
        <v>150</v>
      </c>
      <c r="G6572" s="6">
        <f t="shared" si="324"/>
        <v>150</v>
      </c>
      <c r="H6572" s="6">
        <v>75</v>
      </c>
      <c r="I6572" s="26">
        <f t="shared" si="325"/>
        <v>75</v>
      </c>
      <c r="J6572" s="7" t="str">
        <f t="shared" si="326"/>
        <v>DEBE</v>
      </c>
      <c r="K6572" t="s">
        <v>5296</v>
      </c>
    </row>
    <row r="6573" spans="1:13" x14ac:dyDescent="0.25">
      <c r="A6573" s="73">
        <v>46118</v>
      </c>
      <c r="C6573" t="s">
        <v>6238</v>
      </c>
      <c r="D6573" t="s">
        <v>3270</v>
      </c>
      <c r="F6573" s="6">
        <v>120</v>
      </c>
      <c r="G6573" s="6">
        <f t="shared" si="324"/>
        <v>120</v>
      </c>
      <c r="H6573" s="6">
        <v>60</v>
      </c>
      <c r="I6573" s="26">
        <f t="shared" si="325"/>
        <v>60</v>
      </c>
      <c r="J6573" s="7" t="str">
        <f t="shared" si="326"/>
        <v>DEBE</v>
      </c>
      <c r="K6573" t="s">
        <v>5974</v>
      </c>
      <c r="M6573" t="s">
        <v>6009</v>
      </c>
    </row>
    <row r="6574" spans="1:13" x14ac:dyDescent="0.25">
      <c r="A6574" s="73">
        <v>46118</v>
      </c>
      <c r="C6574" t="s">
        <v>6239</v>
      </c>
      <c r="D6574" t="s">
        <v>5084</v>
      </c>
      <c r="F6574" s="6">
        <v>80</v>
      </c>
      <c r="G6574" s="6">
        <f t="shared" si="324"/>
        <v>80</v>
      </c>
      <c r="H6574" s="6">
        <v>40</v>
      </c>
      <c r="I6574" s="26">
        <f t="shared" si="325"/>
        <v>40</v>
      </c>
      <c r="J6574" s="7" t="str">
        <f t="shared" si="326"/>
        <v>DEBE</v>
      </c>
      <c r="K6574" t="s">
        <v>5974</v>
      </c>
      <c r="M6574" s="8" t="s">
        <v>6043</v>
      </c>
    </row>
    <row r="6575" spans="1:13" x14ac:dyDescent="0.25">
      <c r="A6575" s="73">
        <v>46118</v>
      </c>
      <c r="C6575" t="s">
        <v>5067</v>
      </c>
      <c r="D6575" s="9" t="s">
        <v>3114</v>
      </c>
      <c r="F6575" s="6">
        <v>70</v>
      </c>
      <c r="G6575" s="6">
        <f t="shared" si="324"/>
        <v>70</v>
      </c>
      <c r="H6575" s="6">
        <v>35</v>
      </c>
      <c r="I6575" s="26">
        <f t="shared" si="325"/>
        <v>35</v>
      </c>
      <c r="J6575" s="7" t="str">
        <f t="shared" si="326"/>
        <v>DEBE</v>
      </c>
      <c r="K6575" t="s">
        <v>2714</v>
      </c>
    </row>
    <row r="6576" spans="1:13" x14ac:dyDescent="0.25">
      <c r="A6576" s="73">
        <v>46118</v>
      </c>
      <c r="C6576" s="98" t="s">
        <v>3850</v>
      </c>
      <c r="D6576" s="98" t="s">
        <v>4881</v>
      </c>
      <c r="F6576" s="6">
        <v>70</v>
      </c>
      <c r="G6576" s="6">
        <f t="shared" si="324"/>
        <v>70</v>
      </c>
      <c r="H6576" s="6">
        <v>70</v>
      </c>
      <c r="I6576" s="26">
        <f t="shared" si="325"/>
        <v>0</v>
      </c>
      <c r="J6576" s="7" t="str">
        <f t="shared" si="326"/>
        <v>PAGADO</v>
      </c>
      <c r="K6576" t="s">
        <v>5974</v>
      </c>
      <c r="M6576" s="8" t="s">
        <v>6051</v>
      </c>
    </row>
    <row r="6577" spans="1:13" x14ac:dyDescent="0.25">
      <c r="A6577" s="73">
        <v>46118</v>
      </c>
      <c r="C6577" t="s">
        <v>6240</v>
      </c>
      <c r="D6577" t="s">
        <v>2278</v>
      </c>
      <c r="F6577" s="6">
        <v>60</v>
      </c>
      <c r="G6577" s="11">
        <f t="shared" si="324"/>
        <v>60</v>
      </c>
      <c r="H6577" s="11">
        <v>60</v>
      </c>
      <c r="I6577" s="26">
        <f t="shared" si="325"/>
        <v>0</v>
      </c>
      <c r="J6577" s="7" t="str">
        <f t="shared" si="326"/>
        <v>PAGADO</v>
      </c>
    </row>
    <row r="6578" spans="1:13" x14ac:dyDescent="0.25">
      <c r="A6578" s="73">
        <v>46118</v>
      </c>
      <c r="C6578" s="9" t="s">
        <v>5718</v>
      </c>
      <c r="D6578" s="9" t="s">
        <v>1145</v>
      </c>
      <c r="F6578" s="6">
        <v>120</v>
      </c>
      <c r="G6578" s="6">
        <f t="shared" si="324"/>
        <v>120</v>
      </c>
      <c r="H6578" s="6">
        <v>5.6</v>
      </c>
      <c r="I6578" s="26">
        <f t="shared" si="325"/>
        <v>114.4</v>
      </c>
      <c r="J6578" s="7" t="str">
        <f t="shared" si="326"/>
        <v>DEBE</v>
      </c>
    </row>
    <row r="6579" spans="1:13" x14ac:dyDescent="0.25">
      <c r="A6579" s="73">
        <v>46118</v>
      </c>
      <c r="C6579" s="9" t="s">
        <v>6060</v>
      </c>
      <c r="D6579" s="9" t="s">
        <v>1145</v>
      </c>
      <c r="F6579" s="6">
        <v>65</v>
      </c>
      <c r="G6579" s="6">
        <f t="shared" si="324"/>
        <v>65</v>
      </c>
      <c r="H6579" s="6">
        <v>0</v>
      </c>
      <c r="I6579" s="26">
        <f t="shared" si="325"/>
        <v>65</v>
      </c>
      <c r="J6579" s="7" t="str">
        <f t="shared" si="326"/>
        <v>DEBE</v>
      </c>
      <c r="K6579" s="33" t="s">
        <v>5974</v>
      </c>
      <c r="M6579" s="8" t="s">
        <v>6035</v>
      </c>
    </row>
    <row r="6580" spans="1:13" x14ac:dyDescent="0.25">
      <c r="A6580" s="73">
        <v>46118</v>
      </c>
      <c r="C6580" s="9" t="s">
        <v>6241</v>
      </c>
      <c r="D6580" s="9" t="s">
        <v>1145</v>
      </c>
      <c r="F6580" s="6">
        <v>35</v>
      </c>
      <c r="G6580" s="6">
        <f t="shared" si="324"/>
        <v>35</v>
      </c>
      <c r="H6580" s="6">
        <v>0</v>
      </c>
      <c r="I6580" s="26">
        <f t="shared" si="325"/>
        <v>35</v>
      </c>
      <c r="J6580" s="7" t="str">
        <f t="shared" si="326"/>
        <v>DEBE</v>
      </c>
      <c r="K6580" s="33" t="s">
        <v>5974</v>
      </c>
      <c r="M6580" s="8" t="s">
        <v>5981</v>
      </c>
    </row>
    <row r="6581" spans="1:13" x14ac:dyDescent="0.25">
      <c r="A6581" s="73">
        <v>46118</v>
      </c>
      <c r="C6581" s="9" t="s">
        <v>6242</v>
      </c>
      <c r="D6581" s="9" t="s">
        <v>1145</v>
      </c>
      <c r="F6581" s="6">
        <v>90</v>
      </c>
      <c r="G6581" s="6">
        <f t="shared" si="324"/>
        <v>90</v>
      </c>
      <c r="H6581" s="6">
        <v>0</v>
      </c>
      <c r="I6581" s="26">
        <f t="shared" si="325"/>
        <v>90</v>
      </c>
      <c r="J6581" s="7" t="str">
        <f t="shared" si="326"/>
        <v>DEBE</v>
      </c>
      <c r="K6581" s="33" t="s">
        <v>5974</v>
      </c>
      <c r="M6581" s="8" t="s">
        <v>6243</v>
      </c>
    </row>
    <row r="6582" spans="1:13" x14ac:dyDescent="0.25">
      <c r="A6582" s="73">
        <v>46118</v>
      </c>
      <c r="C6582" s="119" t="s">
        <v>4109</v>
      </c>
      <c r="D6582" s="9" t="s">
        <v>5145</v>
      </c>
      <c r="F6582" s="6">
        <v>55</v>
      </c>
      <c r="G6582" s="6">
        <f t="shared" si="324"/>
        <v>55</v>
      </c>
      <c r="H6582" s="6">
        <v>55</v>
      </c>
      <c r="I6582" s="26">
        <f t="shared" si="325"/>
        <v>0</v>
      </c>
      <c r="J6582" s="7" t="str">
        <f t="shared" si="326"/>
        <v>PAGADO</v>
      </c>
      <c r="K6582" s="28" t="s">
        <v>2714</v>
      </c>
    </row>
    <row r="6583" spans="1:13" x14ac:dyDescent="0.25">
      <c r="A6583" s="73">
        <v>46118</v>
      </c>
      <c r="C6583" s="119" t="s">
        <v>6244</v>
      </c>
      <c r="D6583" s="9" t="s">
        <v>5145</v>
      </c>
      <c r="F6583" s="6">
        <v>55</v>
      </c>
      <c r="G6583" s="6">
        <f t="shared" si="324"/>
        <v>55</v>
      </c>
      <c r="H6583" s="6">
        <v>55</v>
      </c>
      <c r="I6583" s="26">
        <f t="shared" si="325"/>
        <v>0</v>
      </c>
      <c r="J6583" s="7" t="str">
        <f t="shared" si="326"/>
        <v>PAGADO</v>
      </c>
      <c r="K6583" s="28" t="s">
        <v>2714</v>
      </c>
    </row>
    <row r="6584" spans="1:13" x14ac:dyDescent="0.25">
      <c r="A6584" s="73">
        <v>46118</v>
      </c>
      <c r="C6584" t="s">
        <v>6245</v>
      </c>
      <c r="D6584" s="9" t="s">
        <v>3818</v>
      </c>
      <c r="F6584" s="6">
        <v>80</v>
      </c>
      <c r="G6584" s="6">
        <f t="shared" si="324"/>
        <v>80</v>
      </c>
      <c r="H6584" s="6">
        <v>40</v>
      </c>
      <c r="I6584" s="26">
        <f t="shared" si="325"/>
        <v>40</v>
      </c>
      <c r="J6584" s="7" t="str">
        <f t="shared" si="326"/>
        <v>DEBE</v>
      </c>
      <c r="K6584" t="s">
        <v>5974</v>
      </c>
      <c r="M6584" s="8" t="s">
        <v>6246</v>
      </c>
    </row>
    <row r="6585" spans="1:13" x14ac:dyDescent="0.25">
      <c r="A6585" s="73">
        <v>46118</v>
      </c>
      <c r="C6585" t="s">
        <v>6247</v>
      </c>
      <c r="D6585" s="9" t="s">
        <v>4381</v>
      </c>
      <c r="F6585" s="6">
        <v>80</v>
      </c>
      <c r="G6585" s="6">
        <f t="shared" si="324"/>
        <v>80</v>
      </c>
      <c r="H6585" s="6">
        <v>40</v>
      </c>
      <c r="I6585" s="26">
        <f t="shared" si="325"/>
        <v>40</v>
      </c>
      <c r="J6585" s="7" t="str">
        <f t="shared" si="326"/>
        <v>DEBE</v>
      </c>
      <c r="K6585" t="s">
        <v>5974</v>
      </c>
      <c r="M6585" s="8" t="s">
        <v>6246</v>
      </c>
    </row>
    <row r="6586" spans="1:13" x14ac:dyDescent="0.25">
      <c r="A6586" s="73">
        <v>46118</v>
      </c>
      <c r="C6586" s="9" t="s">
        <v>6248</v>
      </c>
      <c r="D6586" s="9" t="s">
        <v>5836</v>
      </c>
      <c r="F6586" s="6">
        <v>60</v>
      </c>
      <c r="G6586" s="11">
        <f t="shared" si="324"/>
        <v>60</v>
      </c>
      <c r="H6586" s="11">
        <v>60</v>
      </c>
      <c r="I6586" s="26">
        <f t="shared" si="325"/>
        <v>0</v>
      </c>
      <c r="J6586" s="7" t="str">
        <f t="shared" si="326"/>
        <v>PAGADO</v>
      </c>
    </row>
    <row r="6587" spans="1:13" x14ac:dyDescent="0.25">
      <c r="A6587" s="73">
        <v>46118</v>
      </c>
      <c r="C6587" s="9" t="s">
        <v>6249</v>
      </c>
      <c r="D6587" s="9" t="s">
        <v>5836</v>
      </c>
      <c r="F6587" s="6">
        <v>50</v>
      </c>
      <c r="G6587" s="11">
        <f t="shared" si="324"/>
        <v>50</v>
      </c>
      <c r="H6587" s="11">
        <v>50</v>
      </c>
      <c r="I6587" s="26">
        <f t="shared" si="325"/>
        <v>0</v>
      </c>
      <c r="J6587" s="7" t="str">
        <f t="shared" si="326"/>
        <v>PAGADO</v>
      </c>
    </row>
    <row r="6588" spans="1:13" x14ac:dyDescent="0.25">
      <c r="A6588" s="73">
        <v>46118</v>
      </c>
      <c r="C6588" s="9" t="s">
        <v>1568</v>
      </c>
      <c r="D6588" s="9" t="s">
        <v>5836</v>
      </c>
      <c r="F6588" s="6">
        <v>60</v>
      </c>
      <c r="G6588" s="11">
        <f t="shared" si="324"/>
        <v>60</v>
      </c>
      <c r="H6588" s="11">
        <v>60</v>
      </c>
      <c r="I6588" s="26">
        <f t="shared" si="325"/>
        <v>0</v>
      </c>
      <c r="J6588" s="7" t="str">
        <f t="shared" si="326"/>
        <v>PAGADO</v>
      </c>
    </row>
    <row r="6589" spans="1:13" x14ac:dyDescent="0.25">
      <c r="A6589" s="73">
        <v>46118</v>
      </c>
      <c r="C6589" s="9" t="s">
        <v>6250</v>
      </c>
      <c r="D6589" s="9" t="s">
        <v>5836</v>
      </c>
      <c r="F6589" s="6">
        <v>50</v>
      </c>
      <c r="G6589" s="11">
        <f t="shared" si="324"/>
        <v>50</v>
      </c>
      <c r="H6589" s="11">
        <v>50</v>
      </c>
      <c r="I6589" s="26">
        <f t="shared" si="325"/>
        <v>0</v>
      </c>
      <c r="J6589" s="7" t="str">
        <f t="shared" si="326"/>
        <v>PAGADO</v>
      </c>
    </row>
    <row r="6590" spans="1:13" x14ac:dyDescent="0.25">
      <c r="A6590" s="73">
        <v>46118</v>
      </c>
      <c r="C6590" s="9" t="s">
        <v>1052</v>
      </c>
      <c r="D6590" s="9" t="s">
        <v>5836</v>
      </c>
      <c r="F6590" s="6">
        <v>50</v>
      </c>
      <c r="G6590" s="11">
        <f t="shared" ref="G6590:G6653" si="327">F6590-E6590</f>
        <v>50</v>
      </c>
      <c r="H6590" s="11">
        <v>50</v>
      </c>
      <c r="I6590" s="26">
        <f t="shared" si="325"/>
        <v>0</v>
      </c>
      <c r="J6590" s="7" t="str">
        <f t="shared" si="326"/>
        <v>PAGADO</v>
      </c>
    </row>
    <row r="6591" spans="1:13" x14ac:dyDescent="0.25">
      <c r="A6591" s="73">
        <v>46118</v>
      </c>
      <c r="C6591" s="9" t="s">
        <v>1838</v>
      </c>
      <c r="D6591" s="9" t="s">
        <v>5836</v>
      </c>
      <c r="F6591" s="6">
        <v>60</v>
      </c>
      <c r="G6591" s="11">
        <f t="shared" si="327"/>
        <v>60</v>
      </c>
      <c r="H6591" s="11">
        <v>60</v>
      </c>
      <c r="I6591" s="26">
        <f t="shared" si="325"/>
        <v>0</v>
      </c>
      <c r="J6591" s="7" t="str">
        <f t="shared" si="326"/>
        <v>PAGADO</v>
      </c>
    </row>
    <row r="6592" spans="1:13" x14ac:dyDescent="0.25">
      <c r="A6592" s="73">
        <v>46118</v>
      </c>
      <c r="C6592" s="9" t="s">
        <v>3605</v>
      </c>
      <c r="D6592" s="9" t="s">
        <v>5836</v>
      </c>
      <c r="F6592" s="6">
        <v>50</v>
      </c>
      <c r="G6592" s="11">
        <f t="shared" si="327"/>
        <v>50</v>
      </c>
      <c r="H6592" s="11">
        <v>50</v>
      </c>
      <c r="I6592" s="26">
        <f t="shared" si="325"/>
        <v>0</v>
      </c>
      <c r="J6592" s="7" t="str">
        <f t="shared" si="326"/>
        <v>PAGADO</v>
      </c>
    </row>
    <row r="6593" spans="1:13" x14ac:dyDescent="0.25">
      <c r="A6593" s="73">
        <v>46118</v>
      </c>
      <c r="C6593" s="9" t="s">
        <v>4764</v>
      </c>
      <c r="D6593" s="9" t="s">
        <v>3831</v>
      </c>
      <c r="F6593" s="6">
        <v>100</v>
      </c>
      <c r="G6593" s="6">
        <f t="shared" si="327"/>
        <v>100</v>
      </c>
      <c r="H6593" s="6">
        <v>100</v>
      </c>
      <c r="I6593" s="26">
        <f t="shared" si="325"/>
        <v>0</v>
      </c>
      <c r="J6593" s="7" t="str">
        <f t="shared" si="326"/>
        <v>PAGADO</v>
      </c>
    </row>
    <row r="6594" spans="1:13" x14ac:dyDescent="0.25">
      <c r="A6594" s="73">
        <v>46118</v>
      </c>
      <c r="C6594" s="9" t="s">
        <v>6251</v>
      </c>
      <c r="D6594" s="9" t="s">
        <v>6252</v>
      </c>
      <c r="F6594" s="6">
        <v>140</v>
      </c>
      <c r="G6594" s="6">
        <f t="shared" si="327"/>
        <v>140</v>
      </c>
      <c r="H6594" s="6">
        <v>140</v>
      </c>
      <c r="I6594" s="26">
        <f t="shared" si="325"/>
        <v>0</v>
      </c>
      <c r="J6594" s="7" t="str">
        <f t="shared" si="326"/>
        <v>PAGADO</v>
      </c>
    </row>
    <row r="6595" spans="1:13" x14ac:dyDescent="0.25">
      <c r="A6595" s="73">
        <v>46118</v>
      </c>
      <c r="C6595" s="9" t="s">
        <v>6253</v>
      </c>
      <c r="D6595" s="9" t="s">
        <v>6254</v>
      </c>
      <c r="F6595" s="6">
        <v>40</v>
      </c>
      <c r="G6595" s="6">
        <f t="shared" si="327"/>
        <v>40</v>
      </c>
      <c r="H6595" s="6">
        <v>40</v>
      </c>
      <c r="I6595" s="26">
        <f t="shared" si="325"/>
        <v>0</v>
      </c>
      <c r="J6595" s="7" t="str">
        <f t="shared" si="326"/>
        <v>PAGADO</v>
      </c>
    </row>
    <row r="6596" spans="1:13" x14ac:dyDescent="0.25">
      <c r="A6596" s="73">
        <v>46118</v>
      </c>
      <c r="C6596" s="9" t="s">
        <v>6255</v>
      </c>
      <c r="D6596" t="s">
        <v>6173</v>
      </c>
      <c r="F6596" s="6">
        <v>80</v>
      </c>
      <c r="G6596" s="6">
        <f t="shared" si="327"/>
        <v>80</v>
      </c>
      <c r="H6596" s="6">
        <v>40</v>
      </c>
      <c r="I6596" s="26">
        <f t="shared" si="325"/>
        <v>40</v>
      </c>
      <c r="J6596" s="7" t="str">
        <f t="shared" si="326"/>
        <v>DEBE</v>
      </c>
      <c r="K6596" s="33" t="s">
        <v>5974</v>
      </c>
      <c r="M6596" s="82" t="s">
        <v>5992</v>
      </c>
    </row>
    <row r="6597" spans="1:13" x14ac:dyDescent="0.25">
      <c r="A6597" s="73">
        <v>46119</v>
      </c>
      <c r="C6597" s="9" t="s">
        <v>6256</v>
      </c>
      <c r="D6597" t="s">
        <v>6257</v>
      </c>
      <c r="F6597" s="6">
        <v>80</v>
      </c>
      <c r="G6597" s="6">
        <f t="shared" si="327"/>
        <v>80</v>
      </c>
      <c r="H6597" s="6">
        <v>80</v>
      </c>
      <c r="I6597" s="26">
        <f t="shared" si="325"/>
        <v>0</v>
      </c>
      <c r="J6597" s="7" t="str">
        <f t="shared" si="326"/>
        <v>PAGADO</v>
      </c>
    </row>
    <row r="6598" spans="1:13" x14ac:dyDescent="0.25">
      <c r="A6598" s="73">
        <v>46119</v>
      </c>
      <c r="C6598" s="9" t="s">
        <v>6175</v>
      </c>
      <c r="D6598" t="s">
        <v>6258</v>
      </c>
      <c r="F6598" s="6">
        <v>100</v>
      </c>
      <c r="G6598" s="6">
        <f t="shared" si="327"/>
        <v>100</v>
      </c>
      <c r="H6598" s="6">
        <v>100</v>
      </c>
      <c r="I6598" s="26">
        <f t="shared" si="325"/>
        <v>0</v>
      </c>
      <c r="J6598" s="7" t="str">
        <f t="shared" si="326"/>
        <v>PAGADO</v>
      </c>
    </row>
    <row r="6599" spans="1:13" x14ac:dyDescent="0.25">
      <c r="A6599" s="73">
        <v>46119</v>
      </c>
      <c r="C6599" s="9" t="s">
        <v>5818</v>
      </c>
      <c r="D6599" t="s">
        <v>6258</v>
      </c>
      <c r="F6599" s="6">
        <v>90</v>
      </c>
      <c r="G6599" s="6">
        <f t="shared" si="327"/>
        <v>90</v>
      </c>
      <c r="H6599" s="6">
        <v>90</v>
      </c>
      <c r="I6599" s="26">
        <f t="shared" si="325"/>
        <v>0</v>
      </c>
      <c r="J6599" s="7" t="str">
        <f t="shared" si="326"/>
        <v>PAGADO</v>
      </c>
    </row>
    <row r="6600" spans="1:13" x14ac:dyDescent="0.25">
      <c r="A6600" s="73">
        <v>46119</v>
      </c>
      <c r="C6600" s="9" t="s">
        <v>6259</v>
      </c>
      <c r="D6600" t="s">
        <v>6260</v>
      </c>
      <c r="F6600" s="6">
        <v>130</v>
      </c>
      <c r="G6600" s="6">
        <f t="shared" si="327"/>
        <v>130</v>
      </c>
      <c r="H6600" s="6">
        <v>130</v>
      </c>
      <c r="I6600" s="26">
        <f t="shared" si="325"/>
        <v>0</v>
      </c>
      <c r="J6600" s="7" t="str">
        <f t="shared" si="326"/>
        <v>PAGADO</v>
      </c>
    </row>
    <row r="6601" spans="1:13" x14ac:dyDescent="0.25">
      <c r="A6601" s="73">
        <v>46119</v>
      </c>
      <c r="C6601" s="9" t="s">
        <v>5020</v>
      </c>
      <c r="D6601" t="s">
        <v>6261</v>
      </c>
      <c r="F6601" s="6">
        <v>140</v>
      </c>
      <c r="G6601" s="6">
        <f t="shared" si="327"/>
        <v>140</v>
      </c>
      <c r="H6601" s="6">
        <v>140</v>
      </c>
      <c r="I6601" s="26">
        <f t="shared" si="325"/>
        <v>0</v>
      </c>
      <c r="J6601" s="7" t="str">
        <f t="shared" si="326"/>
        <v>PAGADO</v>
      </c>
    </row>
    <row r="6602" spans="1:13" x14ac:dyDescent="0.25">
      <c r="A6602" s="73">
        <v>46119</v>
      </c>
      <c r="C6602" s="9" t="s">
        <v>6262</v>
      </c>
      <c r="D6602" s="9" t="s">
        <v>6254</v>
      </c>
      <c r="F6602" s="6">
        <v>80</v>
      </c>
      <c r="G6602" s="6">
        <f t="shared" si="327"/>
        <v>80</v>
      </c>
      <c r="H6602" s="6">
        <v>80</v>
      </c>
      <c r="I6602" s="26">
        <f t="shared" si="325"/>
        <v>0</v>
      </c>
      <c r="J6602" s="7" t="str">
        <f t="shared" si="326"/>
        <v>PAGADO</v>
      </c>
    </row>
    <row r="6603" spans="1:13" x14ac:dyDescent="0.25">
      <c r="A6603" s="73">
        <v>46119</v>
      </c>
      <c r="C6603" s="9" t="s">
        <v>6263</v>
      </c>
      <c r="D6603" s="9" t="s">
        <v>6254</v>
      </c>
      <c r="F6603" s="6">
        <v>70</v>
      </c>
      <c r="G6603" s="6">
        <f t="shared" si="327"/>
        <v>70</v>
      </c>
      <c r="H6603" s="6">
        <v>70</v>
      </c>
      <c r="I6603" s="26">
        <f t="shared" ref="I6603:I6666" si="328">F6603-H6603</f>
        <v>0</v>
      </c>
      <c r="J6603" s="7" t="str">
        <f t="shared" si="326"/>
        <v>PAGADO</v>
      </c>
    </row>
    <row r="6604" spans="1:13" x14ac:dyDescent="0.25">
      <c r="A6604" s="73">
        <v>46119</v>
      </c>
      <c r="C6604" s="9" t="s">
        <v>6264</v>
      </c>
      <c r="D6604" s="9" t="s">
        <v>6254</v>
      </c>
      <c r="F6604" s="6">
        <v>70</v>
      </c>
      <c r="G6604" s="6">
        <f t="shared" si="327"/>
        <v>70</v>
      </c>
      <c r="H6604" s="6">
        <v>70</v>
      </c>
      <c r="I6604" s="26">
        <f t="shared" si="328"/>
        <v>0</v>
      </c>
      <c r="J6604" s="7" t="str">
        <f t="shared" si="326"/>
        <v>PAGADO</v>
      </c>
    </row>
    <row r="6605" spans="1:13" x14ac:dyDescent="0.25">
      <c r="A6605" s="73">
        <v>46119</v>
      </c>
      <c r="C6605" s="9" t="s">
        <v>6265</v>
      </c>
      <c r="D6605" s="9" t="s">
        <v>6254</v>
      </c>
      <c r="F6605" s="6">
        <v>70</v>
      </c>
      <c r="G6605" s="6">
        <f t="shared" si="327"/>
        <v>70</v>
      </c>
      <c r="H6605" s="6">
        <v>70</v>
      </c>
      <c r="I6605" s="26">
        <f t="shared" si="328"/>
        <v>0</v>
      </c>
      <c r="J6605" s="7" t="str">
        <f t="shared" si="326"/>
        <v>PAGADO</v>
      </c>
    </row>
    <row r="6606" spans="1:13" x14ac:dyDescent="0.25">
      <c r="A6606" s="73">
        <v>46119</v>
      </c>
      <c r="C6606" s="9" t="s">
        <v>6266</v>
      </c>
      <c r="D6606" s="9" t="s">
        <v>6254</v>
      </c>
      <c r="F6606" s="6">
        <v>70</v>
      </c>
      <c r="G6606" s="6">
        <f t="shared" si="327"/>
        <v>70</v>
      </c>
      <c r="H6606" s="6">
        <v>70</v>
      </c>
      <c r="I6606" s="26">
        <f t="shared" si="328"/>
        <v>0</v>
      </c>
      <c r="J6606" s="7" t="str">
        <f t="shared" si="326"/>
        <v>PAGADO</v>
      </c>
    </row>
    <row r="6607" spans="1:13" x14ac:dyDescent="0.25">
      <c r="A6607" s="73">
        <v>46119</v>
      </c>
      <c r="C6607" s="9" t="s">
        <v>6267</v>
      </c>
      <c r="D6607" s="9" t="s">
        <v>6254</v>
      </c>
      <c r="F6607" s="6">
        <v>60</v>
      </c>
      <c r="G6607" s="6">
        <f t="shared" si="327"/>
        <v>60</v>
      </c>
      <c r="H6607" s="6">
        <v>30</v>
      </c>
      <c r="I6607" s="26">
        <f t="shared" si="328"/>
        <v>30</v>
      </c>
      <c r="J6607" s="7" t="str">
        <f t="shared" ref="J6607:J6670" si="329">IF(I6607&gt;0,"DEBE","PAGADO")</f>
        <v>DEBE</v>
      </c>
      <c r="K6607" s="33" t="s">
        <v>5974</v>
      </c>
      <c r="M6607" s="82" t="s">
        <v>6035</v>
      </c>
    </row>
    <row r="6608" spans="1:13" x14ac:dyDescent="0.25">
      <c r="A6608" s="73">
        <v>46119</v>
      </c>
      <c r="C6608" t="s">
        <v>4709</v>
      </c>
      <c r="D6608" s="9" t="s">
        <v>3411</v>
      </c>
      <c r="F6608" s="6">
        <v>90</v>
      </c>
      <c r="G6608" s="6">
        <f t="shared" si="327"/>
        <v>90</v>
      </c>
      <c r="H6608" s="6">
        <v>45</v>
      </c>
      <c r="I6608" s="26">
        <f t="shared" si="328"/>
        <v>45</v>
      </c>
      <c r="J6608" s="7" t="str">
        <f t="shared" si="329"/>
        <v>DEBE</v>
      </c>
      <c r="K6608" t="s">
        <v>5974</v>
      </c>
      <c r="M6608" s="8" t="s">
        <v>6000</v>
      </c>
    </row>
    <row r="6609" spans="1:13" x14ac:dyDescent="0.25">
      <c r="A6609" s="73">
        <v>46119</v>
      </c>
      <c r="C6609" t="s">
        <v>1262</v>
      </c>
      <c r="D6609" s="9" t="s">
        <v>6268</v>
      </c>
      <c r="F6609" s="6">
        <v>90</v>
      </c>
      <c r="G6609" s="6">
        <f t="shared" si="327"/>
        <v>90</v>
      </c>
      <c r="H6609" s="6">
        <v>40</v>
      </c>
      <c r="I6609" s="26">
        <f t="shared" si="328"/>
        <v>50</v>
      </c>
      <c r="J6609" s="7" t="str">
        <f t="shared" si="329"/>
        <v>DEBE</v>
      </c>
      <c r="K6609" t="s">
        <v>2754</v>
      </c>
      <c r="M6609" s="8" t="s">
        <v>5262</v>
      </c>
    </row>
    <row r="6610" spans="1:13" x14ac:dyDescent="0.25">
      <c r="A6610" s="73">
        <v>46121</v>
      </c>
      <c r="C6610" t="s">
        <v>6269</v>
      </c>
      <c r="D6610" s="9" t="s">
        <v>6270</v>
      </c>
      <c r="F6610" s="6">
        <v>230</v>
      </c>
      <c r="G6610" s="6">
        <f t="shared" si="327"/>
        <v>230</v>
      </c>
      <c r="H6610" s="6">
        <v>230</v>
      </c>
      <c r="I6610" s="26">
        <f t="shared" si="328"/>
        <v>0</v>
      </c>
      <c r="J6610" s="7" t="str">
        <f t="shared" si="329"/>
        <v>PAGADO</v>
      </c>
    </row>
    <row r="6611" spans="1:13" x14ac:dyDescent="0.25">
      <c r="A6611" s="73">
        <v>46121</v>
      </c>
      <c r="C6611" t="s">
        <v>6271</v>
      </c>
      <c r="D6611" s="9" t="s">
        <v>6270</v>
      </c>
      <c r="F6611" s="6">
        <v>130</v>
      </c>
      <c r="G6611" s="6">
        <f t="shared" si="327"/>
        <v>130</v>
      </c>
      <c r="H6611" s="6">
        <v>130</v>
      </c>
      <c r="I6611" s="26">
        <f t="shared" si="328"/>
        <v>0</v>
      </c>
      <c r="J6611" s="7" t="str">
        <f t="shared" si="329"/>
        <v>PAGADO</v>
      </c>
    </row>
    <row r="6612" spans="1:13" x14ac:dyDescent="0.25">
      <c r="A6612" s="73">
        <v>46121</v>
      </c>
      <c r="C6612" t="s">
        <v>5818</v>
      </c>
      <c r="D6612" s="9" t="s">
        <v>6272</v>
      </c>
      <c r="F6612" s="6">
        <v>90</v>
      </c>
      <c r="G6612" s="6">
        <f t="shared" si="327"/>
        <v>90</v>
      </c>
      <c r="H6612" s="6">
        <v>90</v>
      </c>
      <c r="I6612" s="26">
        <f t="shared" si="328"/>
        <v>0</v>
      </c>
      <c r="J6612" s="7" t="str">
        <f t="shared" si="329"/>
        <v>PAGADO</v>
      </c>
    </row>
    <row r="6613" spans="1:13" x14ac:dyDescent="0.25">
      <c r="A6613" s="73">
        <v>46121</v>
      </c>
      <c r="C6613" t="s">
        <v>6273</v>
      </c>
      <c r="D6613" s="9" t="s">
        <v>6274</v>
      </c>
      <c r="F6613" s="6">
        <v>90</v>
      </c>
      <c r="G6613" s="6">
        <f t="shared" si="327"/>
        <v>90</v>
      </c>
      <c r="H6613" s="6">
        <v>90</v>
      </c>
      <c r="I6613" s="26">
        <f t="shared" si="328"/>
        <v>0</v>
      </c>
      <c r="J6613" s="7" t="str">
        <f t="shared" si="329"/>
        <v>PAGADO</v>
      </c>
    </row>
    <row r="6614" spans="1:13" x14ac:dyDescent="0.25">
      <c r="A6614" s="73">
        <v>46121</v>
      </c>
      <c r="C6614" t="s">
        <v>5012</v>
      </c>
      <c r="D6614" s="9" t="s">
        <v>5663</v>
      </c>
      <c r="F6614" s="6">
        <v>100</v>
      </c>
      <c r="G6614" s="6">
        <f t="shared" si="327"/>
        <v>100</v>
      </c>
      <c r="H6614" s="6">
        <f>50+50</f>
        <v>100</v>
      </c>
      <c r="I6614" s="26">
        <f t="shared" si="328"/>
        <v>0</v>
      </c>
      <c r="J6614" s="7" t="str">
        <f t="shared" si="329"/>
        <v>PAGADO</v>
      </c>
    </row>
    <row r="6615" spans="1:13" x14ac:dyDescent="0.25">
      <c r="A6615" s="73">
        <v>46121</v>
      </c>
      <c r="C6615" t="s">
        <v>6275</v>
      </c>
      <c r="D6615" t="s">
        <v>6276</v>
      </c>
      <c r="F6615" s="6">
        <v>130</v>
      </c>
      <c r="G6615" s="6">
        <f t="shared" si="327"/>
        <v>130</v>
      </c>
      <c r="H6615" s="6">
        <v>130</v>
      </c>
      <c r="I6615" s="26">
        <f t="shared" si="328"/>
        <v>0</v>
      </c>
      <c r="J6615" s="7" t="str">
        <f t="shared" si="329"/>
        <v>PAGADO</v>
      </c>
    </row>
    <row r="6616" spans="1:13" x14ac:dyDescent="0.25">
      <c r="A6616" s="73">
        <v>46121</v>
      </c>
      <c r="C6616" t="s">
        <v>5932</v>
      </c>
      <c r="D6616" t="s">
        <v>6277</v>
      </c>
      <c r="F6616" s="6">
        <v>130</v>
      </c>
      <c r="G6616" s="6">
        <f t="shared" si="327"/>
        <v>130</v>
      </c>
      <c r="H6616" s="6">
        <v>130</v>
      </c>
      <c r="I6616" s="26">
        <f t="shared" si="328"/>
        <v>0</v>
      </c>
      <c r="J6616" s="7" t="str">
        <f t="shared" si="329"/>
        <v>PAGADO</v>
      </c>
    </row>
    <row r="6617" spans="1:13" x14ac:dyDescent="0.25">
      <c r="A6617" s="73">
        <v>46122</v>
      </c>
      <c r="C6617" t="s">
        <v>6278</v>
      </c>
      <c r="D6617" t="s">
        <v>6279</v>
      </c>
      <c r="F6617" s="6">
        <v>220</v>
      </c>
      <c r="G6617" s="6">
        <f t="shared" si="327"/>
        <v>220</v>
      </c>
      <c r="H6617" s="6">
        <f>50+85+85</f>
        <v>220</v>
      </c>
      <c r="I6617" s="26">
        <f t="shared" si="328"/>
        <v>0</v>
      </c>
      <c r="J6617" s="7" t="str">
        <f t="shared" si="329"/>
        <v>PAGADO</v>
      </c>
    </row>
    <row r="6618" spans="1:13" x14ac:dyDescent="0.25">
      <c r="A6618" s="73">
        <v>46122</v>
      </c>
      <c r="C6618" s="9" t="s">
        <v>6280</v>
      </c>
      <c r="D6618" s="9" t="s">
        <v>3143</v>
      </c>
      <c r="F6618" s="6">
        <v>90</v>
      </c>
      <c r="G6618" s="6">
        <f t="shared" si="327"/>
        <v>90</v>
      </c>
      <c r="H6618" s="6">
        <v>90</v>
      </c>
      <c r="I6618" s="26">
        <f t="shared" si="328"/>
        <v>0</v>
      </c>
      <c r="J6618" s="7" t="str">
        <f t="shared" si="329"/>
        <v>PAGADO</v>
      </c>
      <c r="K6618" s="33" t="s">
        <v>5974</v>
      </c>
      <c r="M6618" s="8" t="s">
        <v>6035</v>
      </c>
    </row>
    <row r="6619" spans="1:13" x14ac:dyDescent="0.25">
      <c r="A6619" s="73">
        <v>46122</v>
      </c>
      <c r="C6619" s="9" t="s">
        <v>5904</v>
      </c>
      <c r="D6619" s="9" t="s">
        <v>6281</v>
      </c>
      <c r="F6619" s="6">
        <v>65</v>
      </c>
      <c r="G6619" s="6">
        <f t="shared" si="327"/>
        <v>65</v>
      </c>
      <c r="H6619" s="6">
        <v>65</v>
      </c>
      <c r="I6619" s="26">
        <f t="shared" si="328"/>
        <v>0</v>
      </c>
      <c r="J6619" s="7" t="str">
        <f t="shared" si="329"/>
        <v>PAGADO</v>
      </c>
    </row>
    <row r="6620" spans="1:13" x14ac:dyDescent="0.25">
      <c r="A6620" s="73">
        <v>46122</v>
      </c>
      <c r="C6620" s="9" t="s">
        <v>6282</v>
      </c>
      <c r="D6620" s="9" t="s">
        <v>6283</v>
      </c>
      <c r="F6620" s="6">
        <v>60</v>
      </c>
      <c r="G6620" s="6">
        <f t="shared" si="327"/>
        <v>60</v>
      </c>
      <c r="H6620" s="6">
        <v>60</v>
      </c>
      <c r="I6620" s="26">
        <f t="shared" si="328"/>
        <v>0</v>
      </c>
      <c r="J6620" s="7" t="str">
        <f t="shared" si="329"/>
        <v>PAGADO</v>
      </c>
    </row>
    <row r="6621" spans="1:13" x14ac:dyDescent="0.25">
      <c r="A6621" s="73">
        <v>46122</v>
      </c>
      <c r="C6621" s="9" t="s">
        <v>6284</v>
      </c>
      <c r="D6621" s="9" t="s">
        <v>680</v>
      </c>
      <c r="F6621" s="6">
        <v>30</v>
      </c>
      <c r="G6621" s="6">
        <f t="shared" si="327"/>
        <v>30</v>
      </c>
      <c r="H6621" s="6">
        <v>30</v>
      </c>
      <c r="I6621" s="26">
        <f t="shared" si="328"/>
        <v>0</v>
      </c>
      <c r="J6621" s="7" t="str">
        <f t="shared" si="329"/>
        <v>PAGADO</v>
      </c>
    </row>
    <row r="6622" spans="1:13" x14ac:dyDescent="0.25">
      <c r="A6622" s="73">
        <v>46122</v>
      </c>
      <c r="C6622" s="9" t="s">
        <v>6285</v>
      </c>
      <c r="D6622" s="9" t="s">
        <v>6286</v>
      </c>
      <c r="F6622" s="6">
        <v>80</v>
      </c>
      <c r="G6622" s="6">
        <f t="shared" si="327"/>
        <v>80</v>
      </c>
      <c r="H6622" s="6">
        <v>80</v>
      </c>
      <c r="I6622" s="26">
        <f t="shared" si="328"/>
        <v>0</v>
      </c>
      <c r="J6622" s="7" t="str">
        <f t="shared" si="329"/>
        <v>PAGADO</v>
      </c>
    </row>
    <row r="6623" spans="1:13" x14ac:dyDescent="0.25">
      <c r="A6623" s="73">
        <v>46122</v>
      </c>
      <c r="C6623" t="s">
        <v>6287</v>
      </c>
      <c r="D6623" s="9" t="s">
        <v>5886</v>
      </c>
      <c r="F6623" s="6">
        <v>80</v>
      </c>
      <c r="G6623" s="6">
        <f t="shared" si="327"/>
        <v>80</v>
      </c>
      <c r="H6623" s="6">
        <v>80</v>
      </c>
      <c r="I6623" s="26">
        <f t="shared" si="328"/>
        <v>0</v>
      </c>
      <c r="J6623" s="7" t="str">
        <f t="shared" si="329"/>
        <v>PAGADO</v>
      </c>
      <c r="K6623" t="s">
        <v>2754</v>
      </c>
      <c r="M6623" s="8" t="s">
        <v>5303</v>
      </c>
    </row>
    <row r="6624" spans="1:13" x14ac:dyDescent="0.25">
      <c r="A6624" s="73">
        <v>46122</v>
      </c>
      <c r="C6624" s="9" t="s">
        <v>6288</v>
      </c>
      <c r="D6624" t="s">
        <v>6260</v>
      </c>
      <c r="F6624" s="6">
        <v>70</v>
      </c>
      <c r="G6624" s="6">
        <f t="shared" si="327"/>
        <v>70</v>
      </c>
      <c r="H6624" s="6">
        <v>35</v>
      </c>
      <c r="I6624" s="26">
        <f t="shared" si="328"/>
        <v>35</v>
      </c>
      <c r="J6624" s="7" t="str">
        <f t="shared" si="329"/>
        <v>DEBE</v>
      </c>
      <c r="K6624" t="s">
        <v>2754</v>
      </c>
      <c r="M6624" s="8" t="s">
        <v>5260</v>
      </c>
    </row>
    <row r="6625" spans="1:13" x14ac:dyDescent="0.25">
      <c r="A6625" s="73">
        <v>46122</v>
      </c>
      <c r="C6625" t="s">
        <v>5758</v>
      </c>
      <c r="D6625" t="s">
        <v>6260</v>
      </c>
      <c r="F6625" s="6">
        <v>80</v>
      </c>
      <c r="G6625" s="6">
        <f t="shared" si="327"/>
        <v>80</v>
      </c>
      <c r="H6625" s="6">
        <v>40</v>
      </c>
      <c r="I6625" s="26">
        <f t="shared" si="328"/>
        <v>40</v>
      </c>
      <c r="J6625" s="7" t="str">
        <f t="shared" si="329"/>
        <v>DEBE</v>
      </c>
      <c r="K6625" t="s">
        <v>5974</v>
      </c>
      <c r="M6625" s="8" t="s">
        <v>6035</v>
      </c>
    </row>
    <row r="6626" spans="1:13" x14ac:dyDescent="0.25">
      <c r="A6626" s="73">
        <v>46122</v>
      </c>
      <c r="C6626" t="s">
        <v>6289</v>
      </c>
      <c r="D6626" t="s">
        <v>6260</v>
      </c>
      <c r="F6626" s="6">
        <v>60</v>
      </c>
      <c r="G6626" s="6">
        <f t="shared" si="327"/>
        <v>60</v>
      </c>
      <c r="H6626" s="6">
        <v>30</v>
      </c>
      <c r="I6626" s="26">
        <f t="shared" si="328"/>
        <v>30</v>
      </c>
      <c r="J6626" s="7" t="str">
        <f t="shared" si="329"/>
        <v>DEBE</v>
      </c>
      <c r="K6626" t="s">
        <v>5974</v>
      </c>
      <c r="M6626" s="8" t="s">
        <v>5998</v>
      </c>
    </row>
    <row r="6627" spans="1:13" x14ac:dyDescent="0.25">
      <c r="A6627" s="73">
        <v>46123</v>
      </c>
      <c r="C6627" t="s">
        <v>6290</v>
      </c>
      <c r="D6627" t="s">
        <v>6291</v>
      </c>
      <c r="F6627" s="6">
        <v>70</v>
      </c>
      <c r="G6627" s="6">
        <f t="shared" si="327"/>
        <v>70</v>
      </c>
      <c r="H6627" s="6">
        <v>70</v>
      </c>
      <c r="I6627" s="26">
        <f t="shared" si="328"/>
        <v>0</v>
      </c>
      <c r="J6627" s="7" t="str">
        <f t="shared" si="329"/>
        <v>PAGADO</v>
      </c>
    </row>
    <row r="6628" spans="1:13" x14ac:dyDescent="0.25">
      <c r="A6628" s="73">
        <v>46123</v>
      </c>
      <c r="C6628" t="s">
        <v>4633</v>
      </c>
      <c r="D6628" t="s">
        <v>6292</v>
      </c>
      <c r="F6628" s="6">
        <v>70</v>
      </c>
      <c r="G6628" s="6">
        <f t="shared" si="327"/>
        <v>70</v>
      </c>
      <c r="H6628" s="6">
        <v>70</v>
      </c>
      <c r="I6628" s="26">
        <f t="shared" si="328"/>
        <v>0</v>
      </c>
      <c r="J6628" s="7" t="str">
        <f t="shared" si="329"/>
        <v>PAGADO</v>
      </c>
    </row>
    <row r="6629" spans="1:13" x14ac:dyDescent="0.25">
      <c r="A6629" s="73">
        <v>46124</v>
      </c>
      <c r="C6629" t="s">
        <v>1817</v>
      </c>
      <c r="D6629" t="s">
        <v>6293</v>
      </c>
      <c r="F6629" s="6">
        <v>70</v>
      </c>
      <c r="G6629" s="6">
        <f t="shared" si="327"/>
        <v>70</v>
      </c>
      <c r="H6629" s="6">
        <v>70</v>
      </c>
      <c r="I6629" s="26">
        <f t="shared" si="328"/>
        <v>0</v>
      </c>
      <c r="J6629" s="7" t="str">
        <f t="shared" si="329"/>
        <v>PAGADO</v>
      </c>
    </row>
    <row r="6630" spans="1:13" x14ac:dyDescent="0.25">
      <c r="A6630" s="73">
        <v>46124</v>
      </c>
      <c r="C6630" t="s">
        <v>6294</v>
      </c>
      <c r="D6630" t="s">
        <v>2363</v>
      </c>
      <c r="F6630" s="6">
        <v>640</v>
      </c>
      <c r="G6630" s="6">
        <f t="shared" si="327"/>
        <v>640</v>
      </c>
      <c r="H6630" s="6">
        <v>640</v>
      </c>
      <c r="I6630" s="26">
        <f t="shared" si="328"/>
        <v>0</v>
      </c>
      <c r="J6630" s="7" t="str">
        <f t="shared" si="329"/>
        <v>PAGADO</v>
      </c>
      <c r="K6630" t="s">
        <v>5974</v>
      </c>
    </row>
    <row r="6631" spans="1:13" x14ac:dyDescent="0.25">
      <c r="A6631" s="73">
        <v>46125</v>
      </c>
      <c r="C6631" t="s">
        <v>6215</v>
      </c>
      <c r="D6631" t="s">
        <v>6295</v>
      </c>
      <c r="F6631" s="6">
        <v>65</v>
      </c>
      <c r="G6631" s="6">
        <f t="shared" si="327"/>
        <v>65</v>
      </c>
      <c r="H6631" s="6">
        <v>65</v>
      </c>
      <c r="I6631" s="26">
        <f t="shared" si="328"/>
        <v>0</v>
      </c>
      <c r="J6631" s="7" t="str">
        <f t="shared" si="329"/>
        <v>PAGADO</v>
      </c>
    </row>
    <row r="6632" spans="1:13" x14ac:dyDescent="0.25">
      <c r="A6632" s="73">
        <v>46125</v>
      </c>
      <c r="C6632" t="s">
        <v>6296</v>
      </c>
      <c r="D6632" t="s">
        <v>6295</v>
      </c>
      <c r="F6632" s="6">
        <v>80</v>
      </c>
      <c r="G6632" s="6">
        <f t="shared" si="327"/>
        <v>80</v>
      </c>
      <c r="H6632" s="6">
        <v>80</v>
      </c>
      <c r="I6632" s="26">
        <f t="shared" si="328"/>
        <v>0</v>
      </c>
      <c r="J6632" s="7" t="str">
        <f t="shared" si="329"/>
        <v>PAGADO</v>
      </c>
    </row>
    <row r="6633" spans="1:13" x14ac:dyDescent="0.25">
      <c r="A6633" s="73">
        <v>46125</v>
      </c>
      <c r="C6633" t="s">
        <v>6297</v>
      </c>
      <c r="D6633" t="s">
        <v>6298</v>
      </c>
      <c r="F6633" s="6">
        <v>140</v>
      </c>
      <c r="G6633" s="6">
        <f t="shared" si="327"/>
        <v>140</v>
      </c>
      <c r="H6633" s="6">
        <f>70+70</f>
        <v>140</v>
      </c>
      <c r="I6633" s="26">
        <f t="shared" si="328"/>
        <v>0</v>
      </c>
      <c r="J6633" s="7" t="str">
        <f t="shared" si="329"/>
        <v>PAGADO</v>
      </c>
    </row>
    <row r="6634" spans="1:13" x14ac:dyDescent="0.25">
      <c r="A6634" s="73">
        <v>46125</v>
      </c>
      <c r="C6634" t="s">
        <v>5563</v>
      </c>
      <c r="D6634" t="s">
        <v>5941</v>
      </c>
      <c r="F6634" s="6">
        <v>90</v>
      </c>
      <c r="G6634" s="6">
        <f t="shared" si="327"/>
        <v>90</v>
      </c>
      <c r="H6634" s="6">
        <v>90</v>
      </c>
      <c r="I6634" s="26">
        <f t="shared" si="328"/>
        <v>0</v>
      </c>
      <c r="J6634" s="7" t="str">
        <f t="shared" si="329"/>
        <v>PAGADO</v>
      </c>
    </row>
    <row r="6635" spans="1:13" x14ac:dyDescent="0.25">
      <c r="A6635" s="73">
        <v>46125</v>
      </c>
      <c r="C6635" t="s">
        <v>1223</v>
      </c>
      <c r="D6635" t="s">
        <v>5941</v>
      </c>
      <c r="F6635" s="6">
        <v>60</v>
      </c>
      <c r="G6635" s="6">
        <f t="shared" si="327"/>
        <v>60</v>
      </c>
      <c r="H6635" s="6">
        <v>60</v>
      </c>
      <c r="I6635" s="26">
        <f t="shared" si="328"/>
        <v>0</v>
      </c>
      <c r="J6635" s="7" t="str">
        <f t="shared" si="329"/>
        <v>PAGADO</v>
      </c>
    </row>
    <row r="6636" spans="1:13" x14ac:dyDescent="0.25">
      <c r="A6636" s="73">
        <v>46125</v>
      </c>
      <c r="C6636" t="s">
        <v>6299</v>
      </c>
      <c r="D6636" t="s">
        <v>5941</v>
      </c>
      <c r="F6636" s="6">
        <v>60</v>
      </c>
      <c r="G6636" s="6">
        <f t="shared" si="327"/>
        <v>60</v>
      </c>
      <c r="H6636" s="6">
        <v>60</v>
      </c>
      <c r="I6636" s="26">
        <f t="shared" si="328"/>
        <v>0</v>
      </c>
      <c r="J6636" s="7" t="str">
        <f t="shared" si="329"/>
        <v>PAGADO</v>
      </c>
    </row>
    <row r="6637" spans="1:13" x14ac:dyDescent="0.25">
      <c r="A6637" s="73">
        <v>46125</v>
      </c>
      <c r="C6637" t="s">
        <v>6300</v>
      </c>
      <c r="D6637" t="s">
        <v>5941</v>
      </c>
      <c r="F6637" s="6">
        <v>70</v>
      </c>
      <c r="G6637" s="6">
        <f t="shared" si="327"/>
        <v>70</v>
      </c>
      <c r="H6637" s="6">
        <v>70</v>
      </c>
      <c r="I6637" s="26">
        <f t="shared" si="328"/>
        <v>0</v>
      </c>
      <c r="J6637" s="7" t="str">
        <f t="shared" si="329"/>
        <v>PAGADO</v>
      </c>
    </row>
    <row r="6638" spans="1:13" x14ac:dyDescent="0.25">
      <c r="A6638" s="73">
        <v>46125</v>
      </c>
      <c r="C6638" t="s">
        <v>6301</v>
      </c>
      <c r="D6638" t="s">
        <v>5941</v>
      </c>
      <c r="F6638" s="6">
        <v>70</v>
      </c>
      <c r="G6638" s="6">
        <f t="shared" si="327"/>
        <v>70</v>
      </c>
      <c r="H6638" s="6">
        <v>70</v>
      </c>
      <c r="I6638" s="26">
        <f t="shared" si="328"/>
        <v>0</v>
      </c>
      <c r="J6638" s="7" t="str">
        <f t="shared" si="329"/>
        <v>PAGADO</v>
      </c>
    </row>
    <row r="6639" spans="1:13" x14ac:dyDescent="0.25">
      <c r="A6639" s="73">
        <v>46125</v>
      </c>
      <c r="C6639" t="s">
        <v>4987</v>
      </c>
      <c r="D6639" t="s">
        <v>6302</v>
      </c>
      <c r="F6639" s="6">
        <v>70</v>
      </c>
      <c r="G6639" s="6">
        <f t="shared" si="327"/>
        <v>70</v>
      </c>
      <c r="H6639" s="6">
        <v>70</v>
      </c>
      <c r="I6639" s="26">
        <f t="shared" si="328"/>
        <v>0</v>
      </c>
      <c r="J6639" s="7" t="str">
        <f t="shared" si="329"/>
        <v>PAGADO</v>
      </c>
    </row>
    <row r="6640" spans="1:13" x14ac:dyDescent="0.25">
      <c r="A6640" s="73">
        <v>46125</v>
      </c>
      <c r="C6640" s="9" t="s">
        <v>6303</v>
      </c>
      <c r="D6640" s="9" t="s">
        <v>3742</v>
      </c>
      <c r="F6640" s="6">
        <v>90</v>
      </c>
      <c r="G6640" s="6">
        <f t="shared" si="327"/>
        <v>90</v>
      </c>
      <c r="H6640" s="6">
        <v>0</v>
      </c>
      <c r="I6640" s="26">
        <f t="shared" si="328"/>
        <v>90</v>
      </c>
      <c r="J6640" s="7" t="str">
        <f t="shared" si="329"/>
        <v>DEBE</v>
      </c>
    </row>
    <row r="6641" spans="1:13" x14ac:dyDescent="0.25">
      <c r="A6641" s="73">
        <v>46125</v>
      </c>
      <c r="C6641" s="9" t="s">
        <v>6304</v>
      </c>
      <c r="D6641" s="98" t="s">
        <v>1078</v>
      </c>
      <c r="E6641" s="99"/>
      <c r="F6641" s="101">
        <v>70</v>
      </c>
      <c r="G6641" s="101">
        <f t="shared" si="327"/>
        <v>70</v>
      </c>
      <c r="H6641" s="101">
        <v>70</v>
      </c>
      <c r="I6641" s="100">
        <f t="shared" si="328"/>
        <v>0</v>
      </c>
      <c r="J6641" s="7" t="str">
        <f t="shared" si="329"/>
        <v>PAGADO</v>
      </c>
    </row>
    <row r="6642" spans="1:13" x14ac:dyDescent="0.25">
      <c r="A6642" s="73">
        <v>46125</v>
      </c>
      <c r="C6642" s="9" t="s">
        <v>6305</v>
      </c>
      <c r="D6642" s="9" t="s">
        <v>6306</v>
      </c>
      <c r="F6642" s="6">
        <v>60</v>
      </c>
      <c r="G6642" s="6">
        <f t="shared" si="327"/>
        <v>60</v>
      </c>
      <c r="H6642" s="6">
        <v>60</v>
      </c>
      <c r="I6642" s="26">
        <f t="shared" si="328"/>
        <v>0</v>
      </c>
      <c r="J6642" s="7" t="str">
        <f t="shared" si="329"/>
        <v>PAGADO</v>
      </c>
      <c r="K6642" t="s">
        <v>6307</v>
      </c>
    </row>
    <row r="6643" spans="1:13" x14ac:dyDescent="0.25">
      <c r="A6643" s="73">
        <v>46094</v>
      </c>
      <c r="C6643" s="9" t="s">
        <v>5762</v>
      </c>
      <c r="D6643" s="9" t="s">
        <v>3352</v>
      </c>
      <c r="F6643" s="6">
        <v>40</v>
      </c>
      <c r="G6643" s="6">
        <f t="shared" si="327"/>
        <v>40</v>
      </c>
      <c r="H6643" s="6">
        <v>40</v>
      </c>
      <c r="I6643" s="26">
        <f t="shared" si="328"/>
        <v>0</v>
      </c>
      <c r="J6643" s="7" t="str">
        <f t="shared" si="329"/>
        <v>PAGADO</v>
      </c>
    </row>
    <row r="6644" spans="1:13" x14ac:dyDescent="0.25">
      <c r="A6644" s="73">
        <v>46094</v>
      </c>
      <c r="C6644" s="9" t="s">
        <v>5067</v>
      </c>
      <c r="D6644" s="9" t="s">
        <v>3352</v>
      </c>
      <c r="F6644" s="6">
        <v>70</v>
      </c>
      <c r="G6644" s="6">
        <f t="shared" si="327"/>
        <v>70</v>
      </c>
      <c r="H6644" s="6">
        <v>70</v>
      </c>
      <c r="I6644" s="26">
        <f t="shared" si="328"/>
        <v>0</v>
      </c>
      <c r="J6644" s="7" t="str">
        <f t="shared" si="329"/>
        <v>PAGADO</v>
      </c>
    </row>
    <row r="6645" spans="1:13" x14ac:dyDescent="0.25">
      <c r="A6645" s="73">
        <v>46094</v>
      </c>
      <c r="C6645" s="9" t="s">
        <v>6308</v>
      </c>
      <c r="D6645" s="9" t="s">
        <v>3352</v>
      </c>
      <c r="F6645" s="6">
        <v>60</v>
      </c>
      <c r="G6645" s="6">
        <f t="shared" si="327"/>
        <v>60</v>
      </c>
      <c r="H6645" s="6">
        <v>60</v>
      </c>
      <c r="I6645" s="26">
        <f t="shared" si="328"/>
        <v>0</v>
      </c>
      <c r="J6645" s="7" t="str">
        <f t="shared" si="329"/>
        <v>PAGADO</v>
      </c>
    </row>
    <row r="6646" spans="1:13" x14ac:dyDescent="0.25">
      <c r="A6646" s="73">
        <v>46125</v>
      </c>
      <c r="C6646" t="s">
        <v>6309</v>
      </c>
      <c r="D6646" s="9" t="s">
        <v>6234</v>
      </c>
      <c r="F6646" s="6">
        <v>75</v>
      </c>
      <c r="G6646" s="6">
        <f t="shared" si="327"/>
        <v>75</v>
      </c>
      <c r="H6646" s="6">
        <v>37.5</v>
      </c>
      <c r="I6646" s="26">
        <f t="shared" si="328"/>
        <v>37.5</v>
      </c>
      <c r="J6646" s="7" t="str">
        <f t="shared" si="329"/>
        <v>DEBE</v>
      </c>
      <c r="K6646" t="s">
        <v>5974</v>
      </c>
      <c r="M6646" s="8" t="s">
        <v>6013</v>
      </c>
    </row>
    <row r="6647" spans="1:13" x14ac:dyDescent="0.25">
      <c r="A6647" s="73">
        <v>46125</v>
      </c>
      <c r="C6647" t="s">
        <v>6310</v>
      </c>
      <c r="D6647" s="9" t="s">
        <v>4816</v>
      </c>
      <c r="F6647" s="6">
        <v>60</v>
      </c>
      <c r="G6647" s="6">
        <f t="shared" si="327"/>
        <v>60</v>
      </c>
      <c r="H6647" s="6">
        <v>30</v>
      </c>
      <c r="I6647" s="26">
        <f t="shared" si="328"/>
        <v>30</v>
      </c>
      <c r="J6647" s="7" t="str">
        <f t="shared" si="329"/>
        <v>DEBE</v>
      </c>
      <c r="K6647" t="s">
        <v>5974</v>
      </c>
      <c r="M6647" s="8" t="s">
        <v>6041</v>
      </c>
    </row>
    <row r="6648" spans="1:13" x14ac:dyDescent="0.25">
      <c r="A6648" s="73">
        <v>46125</v>
      </c>
      <c r="C6648" s="9" t="s">
        <v>6311</v>
      </c>
      <c r="D6648" s="9" t="s">
        <v>3213</v>
      </c>
      <c r="F6648" s="6">
        <v>150</v>
      </c>
      <c r="G6648" s="6">
        <f t="shared" si="327"/>
        <v>150</v>
      </c>
      <c r="H6648" s="6">
        <v>0</v>
      </c>
      <c r="I6648" s="26">
        <f t="shared" si="328"/>
        <v>150</v>
      </c>
      <c r="J6648" s="7" t="str">
        <f t="shared" si="329"/>
        <v>DEBE</v>
      </c>
      <c r="K6648" t="s">
        <v>5974</v>
      </c>
      <c r="M6648" s="8" t="s">
        <v>5992</v>
      </c>
    </row>
    <row r="6649" spans="1:13" x14ac:dyDescent="0.25">
      <c r="A6649" s="73">
        <v>46125</v>
      </c>
      <c r="C6649" s="9" t="s">
        <v>6255</v>
      </c>
      <c r="D6649" s="9" t="s">
        <v>3213</v>
      </c>
      <c r="F6649" s="6">
        <v>80</v>
      </c>
      <c r="G6649" s="6">
        <f t="shared" si="327"/>
        <v>80</v>
      </c>
      <c r="H6649" s="6">
        <v>0</v>
      </c>
      <c r="I6649" s="26">
        <f t="shared" si="328"/>
        <v>80</v>
      </c>
      <c r="J6649" s="7" t="str">
        <f t="shared" si="329"/>
        <v>DEBE</v>
      </c>
      <c r="K6649" t="s">
        <v>5974</v>
      </c>
      <c r="M6649" s="8" t="s">
        <v>5992</v>
      </c>
    </row>
    <row r="6650" spans="1:13" x14ac:dyDescent="0.25">
      <c r="A6650" s="73">
        <v>46125</v>
      </c>
      <c r="C6650" t="s">
        <v>6312</v>
      </c>
      <c r="D6650" t="s">
        <v>2548</v>
      </c>
      <c r="F6650" s="6">
        <v>150</v>
      </c>
      <c r="G6650" s="11">
        <f t="shared" si="327"/>
        <v>150</v>
      </c>
      <c r="H6650" s="39">
        <v>75</v>
      </c>
      <c r="I6650" s="26">
        <f t="shared" si="328"/>
        <v>75</v>
      </c>
      <c r="J6650" s="7" t="str">
        <f t="shared" si="329"/>
        <v>DEBE</v>
      </c>
      <c r="K6650" t="s">
        <v>5974</v>
      </c>
      <c r="M6650" s="82" t="s">
        <v>6313</v>
      </c>
    </row>
    <row r="6651" spans="1:13" x14ac:dyDescent="0.25">
      <c r="A6651" s="73">
        <v>46125</v>
      </c>
      <c r="C6651" s="9" t="s">
        <v>6314</v>
      </c>
      <c r="D6651" s="9" t="s">
        <v>4407</v>
      </c>
      <c r="F6651" s="6">
        <v>120</v>
      </c>
      <c r="G6651" s="6">
        <f t="shared" si="327"/>
        <v>120</v>
      </c>
      <c r="H6651" s="6">
        <v>0</v>
      </c>
      <c r="I6651" s="26">
        <f t="shared" si="328"/>
        <v>120</v>
      </c>
      <c r="J6651" s="7" t="str">
        <f t="shared" si="329"/>
        <v>DEBE</v>
      </c>
      <c r="K6651" t="s">
        <v>5974</v>
      </c>
      <c r="M6651" s="82" t="s">
        <v>6157</v>
      </c>
    </row>
    <row r="6652" spans="1:13" x14ac:dyDescent="0.25">
      <c r="A6652" s="73">
        <v>46126</v>
      </c>
      <c r="C6652" t="s">
        <v>5633</v>
      </c>
      <c r="D6652" t="s">
        <v>4294</v>
      </c>
      <c r="F6652" s="6">
        <v>60</v>
      </c>
      <c r="G6652" s="6">
        <f t="shared" si="327"/>
        <v>60</v>
      </c>
      <c r="H6652" s="6">
        <v>60</v>
      </c>
      <c r="I6652" s="26">
        <f t="shared" si="328"/>
        <v>0</v>
      </c>
      <c r="J6652" s="7" t="str">
        <f t="shared" si="329"/>
        <v>PAGADO</v>
      </c>
    </row>
    <row r="6653" spans="1:13" x14ac:dyDescent="0.25">
      <c r="A6653" s="73">
        <v>46126</v>
      </c>
      <c r="C6653" s="9" t="s">
        <v>2224</v>
      </c>
      <c r="D6653" s="9" t="s">
        <v>5771</v>
      </c>
      <c r="F6653" s="6">
        <v>80</v>
      </c>
      <c r="G6653" s="6">
        <f t="shared" si="327"/>
        <v>80</v>
      </c>
      <c r="H6653" s="6">
        <v>80</v>
      </c>
      <c r="I6653" s="26">
        <f t="shared" si="328"/>
        <v>0</v>
      </c>
      <c r="J6653" s="7" t="str">
        <f t="shared" si="329"/>
        <v>PAGADO</v>
      </c>
    </row>
    <row r="6654" spans="1:13" x14ac:dyDescent="0.25">
      <c r="A6654" s="73">
        <v>46126</v>
      </c>
      <c r="C6654" s="9" t="s">
        <v>1798</v>
      </c>
      <c r="D6654" s="9" t="s">
        <v>6315</v>
      </c>
      <c r="F6654" s="6">
        <v>80</v>
      </c>
      <c r="G6654" s="6">
        <f t="shared" ref="G6654:G6717" si="330">F6654-E6654</f>
        <v>80</v>
      </c>
      <c r="H6654" s="6">
        <f>40+40</f>
        <v>80</v>
      </c>
      <c r="I6654" s="26">
        <f t="shared" si="328"/>
        <v>0</v>
      </c>
      <c r="J6654" s="7" t="str">
        <f t="shared" si="329"/>
        <v>PAGADO</v>
      </c>
    </row>
    <row r="6655" spans="1:13" x14ac:dyDescent="0.25">
      <c r="A6655" s="73">
        <v>46126</v>
      </c>
      <c r="C6655" s="9" t="s">
        <v>6316</v>
      </c>
      <c r="D6655" s="9" t="s">
        <v>6317</v>
      </c>
      <c r="F6655" s="6">
        <v>1020</v>
      </c>
      <c r="G6655" s="6">
        <f t="shared" si="330"/>
        <v>1020</v>
      </c>
      <c r="H6655" s="6">
        <v>20</v>
      </c>
      <c r="I6655" s="26">
        <f t="shared" si="328"/>
        <v>1000</v>
      </c>
      <c r="J6655" s="7" t="str">
        <f t="shared" si="329"/>
        <v>DEBE</v>
      </c>
    </row>
    <row r="6656" spans="1:13" x14ac:dyDescent="0.25">
      <c r="A6656" s="73">
        <v>46128</v>
      </c>
      <c r="C6656" s="9" t="s">
        <v>6318</v>
      </c>
      <c r="D6656" s="9" t="s">
        <v>5558</v>
      </c>
      <c r="F6656" s="6">
        <v>150</v>
      </c>
      <c r="G6656" s="6">
        <f t="shared" si="330"/>
        <v>150</v>
      </c>
      <c r="H6656" s="6">
        <v>150</v>
      </c>
      <c r="I6656" s="26">
        <f t="shared" si="328"/>
        <v>0</v>
      </c>
      <c r="J6656" s="7" t="str">
        <f t="shared" si="329"/>
        <v>PAGADO</v>
      </c>
      <c r="K6656" s="9"/>
    </row>
    <row r="6657" spans="1:13" x14ac:dyDescent="0.25">
      <c r="A6657" s="73">
        <v>46128</v>
      </c>
      <c r="C6657" s="9" t="s">
        <v>6319</v>
      </c>
      <c r="D6657" s="98" t="s">
        <v>3666</v>
      </c>
      <c r="E6657" s="99"/>
      <c r="F6657" s="101">
        <v>40</v>
      </c>
      <c r="G6657" s="101">
        <f t="shared" si="330"/>
        <v>40</v>
      </c>
      <c r="H6657" s="101">
        <v>40</v>
      </c>
      <c r="I6657" s="100">
        <f t="shared" si="328"/>
        <v>0</v>
      </c>
      <c r="J6657" s="7" t="str">
        <f t="shared" si="329"/>
        <v>PAGADO</v>
      </c>
    </row>
    <row r="6658" spans="1:13" x14ac:dyDescent="0.25">
      <c r="A6658" s="73">
        <v>46128</v>
      </c>
      <c r="C6658" s="9" t="s">
        <v>6320</v>
      </c>
      <c r="D6658" t="s">
        <v>5719</v>
      </c>
      <c r="F6658" s="6">
        <v>90</v>
      </c>
      <c r="G6658" s="6">
        <f t="shared" si="330"/>
        <v>90</v>
      </c>
      <c r="H6658" s="6">
        <v>90</v>
      </c>
      <c r="I6658" s="26">
        <f t="shared" si="328"/>
        <v>0</v>
      </c>
      <c r="J6658" s="7" t="str">
        <f t="shared" si="329"/>
        <v>PAGADO</v>
      </c>
    </row>
    <row r="6659" spans="1:13" x14ac:dyDescent="0.25">
      <c r="A6659" s="73">
        <v>46128</v>
      </c>
      <c r="C6659" s="9" t="s">
        <v>6321</v>
      </c>
      <c r="D6659" t="s">
        <v>5719</v>
      </c>
      <c r="F6659" s="6">
        <v>70</v>
      </c>
      <c r="G6659" s="6">
        <f t="shared" si="330"/>
        <v>70</v>
      </c>
      <c r="H6659" s="6">
        <v>70</v>
      </c>
      <c r="I6659" s="26">
        <f t="shared" si="328"/>
        <v>0</v>
      </c>
      <c r="J6659" s="7" t="str">
        <f t="shared" si="329"/>
        <v>PAGADO</v>
      </c>
    </row>
    <row r="6660" spans="1:13" x14ac:dyDescent="0.25">
      <c r="A6660" s="73">
        <v>46128</v>
      </c>
      <c r="C6660" s="9" t="s">
        <v>4709</v>
      </c>
      <c r="D6660" s="9" t="s">
        <v>4816</v>
      </c>
      <c r="F6660" s="6">
        <v>90</v>
      </c>
      <c r="G6660" s="6">
        <f t="shared" si="330"/>
        <v>90</v>
      </c>
      <c r="H6660" s="6">
        <v>45</v>
      </c>
      <c r="I6660" s="26">
        <f t="shared" si="328"/>
        <v>45</v>
      </c>
      <c r="J6660" s="7" t="str">
        <f t="shared" si="329"/>
        <v>DEBE</v>
      </c>
      <c r="K6660" t="s">
        <v>5974</v>
      </c>
      <c r="M6660" s="82" t="s">
        <v>6000</v>
      </c>
    </row>
    <row r="6661" spans="1:13" x14ac:dyDescent="0.25">
      <c r="A6661" s="73">
        <v>46128</v>
      </c>
      <c r="C6661" s="9" t="s">
        <v>6322</v>
      </c>
      <c r="D6661" s="9" t="s">
        <v>6323</v>
      </c>
      <c r="F6661" s="6">
        <v>140</v>
      </c>
      <c r="G6661" s="6">
        <f t="shared" si="330"/>
        <v>140</v>
      </c>
      <c r="H6661" s="6">
        <v>140</v>
      </c>
      <c r="I6661" s="26">
        <f t="shared" si="328"/>
        <v>0</v>
      </c>
      <c r="J6661" s="7" t="str">
        <f t="shared" si="329"/>
        <v>PAGADO</v>
      </c>
    </row>
    <row r="6662" spans="1:13" x14ac:dyDescent="0.25">
      <c r="A6662" s="73">
        <v>46128</v>
      </c>
      <c r="C6662" s="9" t="s">
        <v>6324</v>
      </c>
      <c r="D6662" s="9" t="s">
        <v>6325</v>
      </c>
      <c r="F6662" s="6">
        <v>1000</v>
      </c>
      <c r="G6662" s="6">
        <f t="shared" si="330"/>
        <v>1000</v>
      </c>
      <c r="H6662" s="6">
        <v>500</v>
      </c>
      <c r="I6662" s="26">
        <f t="shared" si="328"/>
        <v>500</v>
      </c>
      <c r="J6662" s="7" t="str">
        <f t="shared" si="329"/>
        <v>DEBE</v>
      </c>
    </row>
    <row r="6663" spans="1:13" x14ac:dyDescent="0.25">
      <c r="A6663" s="73">
        <v>46129</v>
      </c>
      <c r="C6663" s="9" t="s">
        <v>6326</v>
      </c>
      <c r="D6663" s="9" t="s">
        <v>3558</v>
      </c>
      <c r="F6663" s="6">
        <v>70</v>
      </c>
      <c r="G6663" s="6">
        <f t="shared" si="330"/>
        <v>70</v>
      </c>
      <c r="H6663" s="6">
        <v>70</v>
      </c>
      <c r="I6663" s="26">
        <f t="shared" si="328"/>
        <v>0</v>
      </c>
      <c r="J6663" s="7" t="str">
        <f t="shared" si="329"/>
        <v>PAGADO</v>
      </c>
    </row>
    <row r="6664" spans="1:13" x14ac:dyDescent="0.25">
      <c r="A6664" s="73">
        <v>46129</v>
      </c>
      <c r="C6664" s="9" t="s">
        <v>6327</v>
      </c>
      <c r="D6664" s="9" t="s">
        <v>4038</v>
      </c>
      <c r="F6664" s="6">
        <v>200</v>
      </c>
      <c r="G6664" s="6">
        <f t="shared" si="330"/>
        <v>200</v>
      </c>
      <c r="H6664" s="6">
        <f>100+100</f>
        <v>200</v>
      </c>
      <c r="I6664" s="26">
        <f t="shared" si="328"/>
        <v>0</v>
      </c>
      <c r="J6664" s="7" t="str">
        <f t="shared" si="329"/>
        <v>PAGADO</v>
      </c>
    </row>
    <row r="6665" spans="1:13" x14ac:dyDescent="0.25">
      <c r="A6665" s="73">
        <v>46129</v>
      </c>
      <c r="C6665" s="9" t="s">
        <v>4626</v>
      </c>
      <c r="D6665" s="9" t="s">
        <v>1451</v>
      </c>
      <c r="F6665" s="6">
        <v>70</v>
      </c>
      <c r="G6665" s="6">
        <f t="shared" si="330"/>
        <v>70</v>
      </c>
      <c r="H6665" s="6">
        <v>70</v>
      </c>
      <c r="I6665" s="26">
        <f t="shared" si="328"/>
        <v>0</v>
      </c>
      <c r="J6665" s="7" t="str">
        <f t="shared" si="329"/>
        <v>PAGADO</v>
      </c>
      <c r="K6665" s="33" t="s">
        <v>2714</v>
      </c>
      <c r="M6665" s="82" t="s">
        <v>3346</v>
      </c>
    </row>
    <row r="6666" spans="1:13" x14ac:dyDescent="0.25">
      <c r="A6666" s="73">
        <v>46129</v>
      </c>
      <c r="C6666" s="9" t="s">
        <v>6328</v>
      </c>
      <c r="D6666" s="9" t="s">
        <v>1451</v>
      </c>
      <c r="F6666" s="6">
        <v>70</v>
      </c>
      <c r="G6666" s="6">
        <f t="shared" si="330"/>
        <v>70</v>
      </c>
      <c r="H6666" s="6">
        <v>70</v>
      </c>
      <c r="I6666" s="26">
        <f t="shared" si="328"/>
        <v>0</v>
      </c>
      <c r="J6666" s="7" t="str">
        <f t="shared" si="329"/>
        <v>PAGADO</v>
      </c>
      <c r="K6666" s="33" t="s">
        <v>2714</v>
      </c>
      <c r="M6666" s="82" t="s">
        <v>3346</v>
      </c>
    </row>
    <row r="6667" spans="1:13" x14ac:dyDescent="0.25">
      <c r="A6667" s="73">
        <v>46129</v>
      </c>
      <c r="C6667" s="9" t="s">
        <v>6329</v>
      </c>
      <c r="D6667" s="9" t="s">
        <v>1451</v>
      </c>
      <c r="F6667" s="6">
        <v>160</v>
      </c>
      <c r="G6667" s="6">
        <f t="shared" si="330"/>
        <v>160</v>
      </c>
      <c r="H6667" s="6">
        <v>160</v>
      </c>
      <c r="I6667" s="26">
        <f t="shared" ref="I6667:I6730" si="331">F6667-H6667</f>
        <v>0</v>
      </c>
      <c r="J6667" s="7" t="str">
        <f t="shared" si="329"/>
        <v>PAGADO</v>
      </c>
      <c r="K6667" s="9" t="s">
        <v>2754</v>
      </c>
      <c r="M6667" s="82" t="s">
        <v>6330</v>
      </c>
    </row>
    <row r="6668" spans="1:13" x14ac:dyDescent="0.25">
      <c r="A6668" s="73">
        <v>46129</v>
      </c>
      <c r="C6668" s="9" t="s">
        <v>6331</v>
      </c>
      <c r="D6668" s="9" t="s">
        <v>1451</v>
      </c>
      <c r="F6668" s="6">
        <v>70</v>
      </c>
      <c r="G6668" s="6">
        <f t="shared" si="330"/>
        <v>70</v>
      </c>
      <c r="H6668" s="6">
        <v>70</v>
      </c>
      <c r="I6668" s="26">
        <f t="shared" si="331"/>
        <v>0</v>
      </c>
      <c r="J6668" s="7" t="str">
        <f t="shared" si="329"/>
        <v>PAGADO</v>
      </c>
      <c r="K6668" s="9" t="s">
        <v>2754</v>
      </c>
      <c r="M6668" s="82" t="s">
        <v>5245</v>
      </c>
    </row>
    <row r="6669" spans="1:13" x14ac:dyDescent="0.25">
      <c r="A6669" s="73">
        <v>46129</v>
      </c>
      <c r="C6669" s="9" t="s">
        <v>6312</v>
      </c>
      <c r="D6669" s="9" t="s">
        <v>1451</v>
      </c>
      <c r="F6669" s="6">
        <v>150</v>
      </c>
      <c r="G6669" s="6">
        <f t="shared" si="330"/>
        <v>150</v>
      </c>
      <c r="H6669" s="6">
        <v>150</v>
      </c>
      <c r="I6669" s="26">
        <f t="shared" si="331"/>
        <v>0</v>
      </c>
      <c r="J6669" s="7" t="str">
        <f t="shared" si="329"/>
        <v>PAGADO</v>
      </c>
      <c r="K6669" s="9" t="s">
        <v>5974</v>
      </c>
      <c r="M6669" s="82" t="s">
        <v>6313</v>
      </c>
    </row>
    <row r="6670" spans="1:13" x14ac:dyDescent="0.25">
      <c r="A6670" s="73">
        <v>46129</v>
      </c>
      <c r="C6670" s="9" t="s">
        <v>6332</v>
      </c>
      <c r="D6670" s="9" t="s">
        <v>1451</v>
      </c>
      <c r="F6670" s="6">
        <v>100</v>
      </c>
      <c r="G6670" s="6">
        <f t="shared" si="330"/>
        <v>100</v>
      </c>
      <c r="H6670" s="6">
        <v>100</v>
      </c>
      <c r="I6670" s="26">
        <f t="shared" si="331"/>
        <v>0</v>
      </c>
      <c r="J6670" s="7" t="str">
        <f t="shared" si="329"/>
        <v>PAGADO</v>
      </c>
      <c r="K6670" s="9" t="s">
        <v>5974</v>
      </c>
      <c r="M6670" s="82" t="s">
        <v>6313</v>
      </c>
    </row>
    <row r="6671" spans="1:13" x14ac:dyDescent="0.25">
      <c r="A6671" s="73">
        <v>46129</v>
      </c>
      <c r="C6671" s="9" t="s">
        <v>6333</v>
      </c>
      <c r="D6671" s="9" t="s">
        <v>1451</v>
      </c>
      <c r="F6671" s="6">
        <v>80</v>
      </c>
      <c r="G6671" s="6">
        <f t="shared" si="330"/>
        <v>80</v>
      </c>
      <c r="H6671" s="6">
        <v>80</v>
      </c>
      <c r="I6671" s="26">
        <f t="shared" si="331"/>
        <v>0</v>
      </c>
      <c r="J6671" s="7" t="str">
        <f t="shared" ref="J6671:J6734" si="332">IF(I6671&gt;0,"DEBE","PAGADO")</f>
        <v>PAGADO</v>
      </c>
      <c r="K6671" s="9" t="s">
        <v>2754</v>
      </c>
      <c r="M6671" s="82" t="s">
        <v>5342</v>
      </c>
    </row>
    <row r="6672" spans="1:13" x14ac:dyDescent="0.25">
      <c r="A6672" s="73">
        <v>46129</v>
      </c>
      <c r="C6672" s="9" t="s">
        <v>6334</v>
      </c>
      <c r="D6672" t="s">
        <v>2278</v>
      </c>
      <c r="F6672" s="6">
        <v>180</v>
      </c>
      <c r="G6672" s="11">
        <f t="shared" si="330"/>
        <v>180</v>
      </c>
      <c r="H6672" s="11">
        <v>180</v>
      </c>
      <c r="I6672" s="26">
        <f t="shared" si="331"/>
        <v>0</v>
      </c>
      <c r="J6672" s="7" t="str">
        <f t="shared" si="332"/>
        <v>PAGADO</v>
      </c>
    </row>
    <row r="6673" spans="1:13" x14ac:dyDescent="0.25">
      <c r="A6673" s="73">
        <v>46129</v>
      </c>
      <c r="C6673" s="9" t="s">
        <v>6335</v>
      </c>
      <c r="D6673" s="9" t="s">
        <v>3434</v>
      </c>
      <c r="F6673" s="6">
        <v>70</v>
      </c>
      <c r="G6673" s="6">
        <f t="shared" si="330"/>
        <v>70</v>
      </c>
      <c r="H6673" s="6">
        <v>0</v>
      </c>
      <c r="I6673" s="26">
        <f t="shared" si="331"/>
        <v>70</v>
      </c>
      <c r="J6673" s="7" t="str">
        <f t="shared" si="332"/>
        <v>DEBE</v>
      </c>
    </row>
    <row r="6674" spans="1:13" x14ac:dyDescent="0.25">
      <c r="A6674" s="73">
        <v>46129</v>
      </c>
      <c r="C6674" s="9" t="s">
        <v>6336</v>
      </c>
      <c r="D6674" s="9" t="s">
        <v>597</v>
      </c>
      <c r="F6674" s="6">
        <v>120</v>
      </c>
      <c r="G6674" s="6">
        <f t="shared" si="330"/>
        <v>120</v>
      </c>
      <c r="H6674" s="6">
        <v>120</v>
      </c>
      <c r="I6674" s="26">
        <f t="shared" si="331"/>
        <v>0</v>
      </c>
      <c r="J6674" s="7" t="str">
        <f t="shared" si="332"/>
        <v>PAGADO</v>
      </c>
    </row>
    <row r="6675" spans="1:13" x14ac:dyDescent="0.25">
      <c r="A6675" s="73">
        <v>46129</v>
      </c>
      <c r="C6675" s="9" t="s">
        <v>6337</v>
      </c>
      <c r="D6675" s="9" t="s">
        <v>1451</v>
      </c>
      <c r="F6675" s="6">
        <v>100</v>
      </c>
      <c r="G6675" s="6">
        <f t="shared" si="330"/>
        <v>100</v>
      </c>
      <c r="H6675" s="6">
        <v>100</v>
      </c>
      <c r="I6675" s="26">
        <f t="shared" si="331"/>
        <v>0</v>
      </c>
      <c r="J6675" s="7" t="str">
        <f t="shared" si="332"/>
        <v>PAGADO</v>
      </c>
      <c r="K6675" s="33" t="s">
        <v>2714</v>
      </c>
    </row>
    <row r="6676" spans="1:13" x14ac:dyDescent="0.25">
      <c r="A6676" s="73">
        <v>46130</v>
      </c>
      <c r="C6676" s="9" t="s">
        <v>6338</v>
      </c>
      <c r="D6676" s="9" t="s">
        <v>1451</v>
      </c>
      <c r="F6676" s="6">
        <v>380</v>
      </c>
      <c r="G6676" s="6">
        <f t="shared" si="330"/>
        <v>380</v>
      </c>
      <c r="H6676" s="6">
        <v>380</v>
      </c>
      <c r="I6676" s="26">
        <f t="shared" si="331"/>
        <v>0</v>
      </c>
      <c r="J6676" s="7" t="str">
        <f t="shared" si="332"/>
        <v>PAGADO</v>
      </c>
      <c r="K6676" s="33" t="s">
        <v>2714</v>
      </c>
    </row>
    <row r="6677" spans="1:13" x14ac:dyDescent="0.25">
      <c r="A6677" s="73">
        <v>46130</v>
      </c>
      <c r="C6677" s="9" t="s">
        <v>6339</v>
      </c>
      <c r="D6677" s="9" t="s">
        <v>1451</v>
      </c>
      <c r="F6677" s="6">
        <v>70</v>
      </c>
      <c r="G6677" s="6">
        <f t="shared" si="330"/>
        <v>70</v>
      </c>
      <c r="H6677" s="6">
        <v>70</v>
      </c>
      <c r="I6677" s="26">
        <f t="shared" si="331"/>
        <v>0</v>
      </c>
      <c r="J6677" s="7" t="str">
        <f t="shared" si="332"/>
        <v>PAGADO</v>
      </c>
      <c r="K6677" s="9" t="s">
        <v>5974</v>
      </c>
      <c r="M6677" s="82" t="s">
        <v>6340</v>
      </c>
    </row>
    <row r="6678" spans="1:13" x14ac:dyDescent="0.25">
      <c r="A6678" s="73">
        <v>46130</v>
      </c>
      <c r="C6678" s="9" t="s">
        <v>6341</v>
      </c>
      <c r="D6678" s="9" t="s">
        <v>5771</v>
      </c>
      <c r="F6678" s="6">
        <v>130</v>
      </c>
      <c r="G6678" s="6">
        <f t="shared" si="330"/>
        <v>130</v>
      </c>
      <c r="H6678" s="6">
        <v>130</v>
      </c>
      <c r="I6678" s="26">
        <f t="shared" si="331"/>
        <v>0</v>
      </c>
      <c r="J6678" s="7" t="str">
        <f t="shared" si="332"/>
        <v>PAGADO</v>
      </c>
    </row>
    <row r="6679" spans="1:13" x14ac:dyDescent="0.25">
      <c r="A6679" s="73">
        <v>46130</v>
      </c>
      <c r="C6679" s="9" t="s">
        <v>6342</v>
      </c>
      <c r="D6679" s="9" t="s">
        <v>5558</v>
      </c>
      <c r="F6679" s="6">
        <v>140</v>
      </c>
      <c r="G6679" s="6">
        <f t="shared" si="330"/>
        <v>140</v>
      </c>
      <c r="H6679" s="6">
        <v>70</v>
      </c>
      <c r="I6679" s="26">
        <f t="shared" si="331"/>
        <v>70</v>
      </c>
      <c r="J6679" s="7" t="str">
        <f t="shared" si="332"/>
        <v>DEBE</v>
      </c>
      <c r="K6679" s="33" t="s">
        <v>5974</v>
      </c>
    </row>
    <row r="6680" spans="1:13" x14ac:dyDescent="0.25">
      <c r="A6680" s="73">
        <v>46130</v>
      </c>
      <c r="C6680" s="9" t="s">
        <v>6343</v>
      </c>
      <c r="D6680" s="98" t="s">
        <v>4030</v>
      </c>
      <c r="E6680" s="99"/>
      <c r="F6680" s="101">
        <v>60</v>
      </c>
      <c r="G6680" s="101">
        <f t="shared" si="330"/>
        <v>60</v>
      </c>
      <c r="H6680" s="101">
        <v>60</v>
      </c>
      <c r="I6680" s="100">
        <f t="shared" si="331"/>
        <v>0</v>
      </c>
      <c r="J6680" s="7" t="str">
        <f t="shared" si="332"/>
        <v>PAGADO</v>
      </c>
    </row>
    <row r="6681" spans="1:13" x14ac:dyDescent="0.25">
      <c r="A6681" s="73">
        <v>46130</v>
      </c>
      <c r="C6681" s="9" t="s">
        <v>6344</v>
      </c>
      <c r="D6681" s="9" t="s">
        <v>6345</v>
      </c>
      <c r="F6681" s="6">
        <v>360</v>
      </c>
      <c r="G6681" s="6">
        <f t="shared" si="330"/>
        <v>360</v>
      </c>
      <c r="H6681" s="6">
        <v>360</v>
      </c>
      <c r="I6681" s="26">
        <f t="shared" si="331"/>
        <v>0</v>
      </c>
      <c r="J6681" s="7" t="str">
        <f t="shared" si="332"/>
        <v>PAGADO</v>
      </c>
    </row>
    <row r="6682" spans="1:13" x14ac:dyDescent="0.25">
      <c r="A6682" s="73">
        <v>46130</v>
      </c>
      <c r="C6682" s="9" t="s">
        <v>6346</v>
      </c>
      <c r="D6682" s="9" t="s">
        <v>6345</v>
      </c>
      <c r="F6682" s="6">
        <v>80</v>
      </c>
      <c r="G6682" s="6">
        <f t="shared" si="330"/>
        <v>80</v>
      </c>
      <c r="H6682" s="6">
        <v>40</v>
      </c>
      <c r="I6682" s="26">
        <f t="shared" si="331"/>
        <v>40</v>
      </c>
      <c r="J6682" s="7" t="str">
        <f t="shared" si="332"/>
        <v>DEBE</v>
      </c>
      <c r="K6682" s="33" t="s">
        <v>5974</v>
      </c>
      <c r="M6682" s="82" t="s">
        <v>6340</v>
      </c>
    </row>
    <row r="6683" spans="1:13" x14ac:dyDescent="0.25">
      <c r="A6683" s="73">
        <v>46130</v>
      </c>
      <c r="C6683" s="9" t="s">
        <v>4993</v>
      </c>
      <c r="D6683" s="9" t="s">
        <v>3558</v>
      </c>
      <c r="F6683" s="6">
        <v>70</v>
      </c>
      <c r="G6683" s="6">
        <f t="shared" si="330"/>
        <v>70</v>
      </c>
      <c r="H6683" s="6">
        <v>35</v>
      </c>
      <c r="I6683" s="26">
        <f t="shared" si="331"/>
        <v>35</v>
      </c>
      <c r="J6683" s="7" t="str">
        <f t="shared" si="332"/>
        <v>DEBE</v>
      </c>
      <c r="K6683" s="9" t="s">
        <v>2754</v>
      </c>
      <c r="M6683" s="82" t="s">
        <v>5314</v>
      </c>
    </row>
    <row r="6684" spans="1:13" x14ac:dyDescent="0.25">
      <c r="A6684" s="73">
        <v>46130</v>
      </c>
      <c r="C6684" s="9" t="s">
        <v>6347</v>
      </c>
      <c r="D6684" t="s">
        <v>5703</v>
      </c>
      <c r="F6684" s="6">
        <v>50</v>
      </c>
      <c r="G6684" s="6">
        <f t="shared" si="330"/>
        <v>50</v>
      </c>
      <c r="H6684" s="6">
        <v>50</v>
      </c>
      <c r="I6684" s="26">
        <f t="shared" si="331"/>
        <v>0</v>
      </c>
      <c r="J6684" s="7" t="str">
        <f t="shared" si="332"/>
        <v>PAGADO</v>
      </c>
    </row>
    <row r="6685" spans="1:13" x14ac:dyDescent="0.25">
      <c r="A6685" s="73">
        <v>46130</v>
      </c>
      <c r="C6685" s="9" t="s">
        <v>6348</v>
      </c>
      <c r="D6685" t="s">
        <v>6261</v>
      </c>
      <c r="F6685" s="6">
        <v>100</v>
      </c>
      <c r="G6685" s="6">
        <f t="shared" si="330"/>
        <v>100</v>
      </c>
      <c r="H6685" s="6">
        <v>50</v>
      </c>
      <c r="I6685" s="26">
        <f t="shared" si="331"/>
        <v>50</v>
      </c>
      <c r="J6685" s="7" t="str">
        <f t="shared" si="332"/>
        <v>DEBE</v>
      </c>
      <c r="K6685" s="9" t="s">
        <v>5974</v>
      </c>
      <c r="M6685" s="82" t="s">
        <v>6349</v>
      </c>
    </row>
    <row r="6686" spans="1:13" x14ac:dyDescent="0.25">
      <c r="A6686" s="73">
        <v>46130</v>
      </c>
      <c r="C6686" s="9" t="s">
        <v>6350</v>
      </c>
      <c r="D6686" s="9" t="s">
        <v>6254</v>
      </c>
      <c r="F6686" s="6">
        <v>60</v>
      </c>
      <c r="G6686" s="6">
        <f t="shared" si="330"/>
        <v>60</v>
      </c>
      <c r="H6686" s="6">
        <v>30</v>
      </c>
      <c r="I6686" s="26">
        <f t="shared" si="331"/>
        <v>30</v>
      </c>
      <c r="J6686" s="7" t="str">
        <f t="shared" si="332"/>
        <v>DEBE</v>
      </c>
      <c r="K6686" s="33" t="s">
        <v>5974</v>
      </c>
      <c r="M6686" s="82" t="s">
        <v>6035</v>
      </c>
    </row>
    <row r="6687" spans="1:13" x14ac:dyDescent="0.25">
      <c r="A6687" s="73">
        <v>46130</v>
      </c>
      <c r="C6687" s="119" t="s">
        <v>6351</v>
      </c>
      <c r="D6687" s="98" t="s">
        <v>2153</v>
      </c>
      <c r="E6687" s="99"/>
      <c r="F6687" s="101">
        <v>55</v>
      </c>
      <c r="G6687" s="101">
        <f t="shared" si="330"/>
        <v>55</v>
      </c>
      <c r="H6687" s="101">
        <v>27.5</v>
      </c>
      <c r="I6687" s="100">
        <f t="shared" si="331"/>
        <v>27.5</v>
      </c>
      <c r="J6687" s="7" t="str">
        <f t="shared" si="332"/>
        <v>DEBE</v>
      </c>
      <c r="K6687" s="34" t="s">
        <v>2754</v>
      </c>
      <c r="M6687" s="82" t="s">
        <v>5318</v>
      </c>
    </row>
    <row r="6688" spans="1:13" x14ac:dyDescent="0.25">
      <c r="A6688" s="73">
        <v>46130</v>
      </c>
      <c r="C6688" s="9" t="s">
        <v>6352</v>
      </c>
      <c r="D6688" s="9" t="s">
        <v>6234</v>
      </c>
      <c r="F6688" s="6">
        <v>80</v>
      </c>
      <c r="G6688" s="6">
        <f t="shared" si="330"/>
        <v>80</v>
      </c>
      <c r="H6688" s="6">
        <v>40</v>
      </c>
      <c r="I6688" s="26">
        <f t="shared" si="331"/>
        <v>40</v>
      </c>
      <c r="J6688" s="7" t="str">
        <f t="shared" si="332"/>
        <v>DEBE</v>
      </c>
      <c r="K6688" t="s">
        <v>5974</v>
      </c>
      <c r="M6688" s="82" t="s">
        <v>6035</v>
      </c>
    </row>
    <row r="6689" spans="1:13" x14ac:dyDescent="0.25">
      <c r="A6689" s="73">
        <v>46130</v>
      </c>
      <c r="C6689" s="9" t="s">
        <v>6353</v>
      </c>
      <c r="D6689" t="s">
        <v>2363</v>
      </c>
      <c r="F6689" s="6">
        <v>60</v>
      </c>
      <c r="G6689" s="6">
        <f t="shared" si="330"/>
        <v>60</v>
      </c>
      <c r="H6689" s="24">
        <v>30</v>
      </c>
      <c r="I6689" s="26">
        <f t="shared" si="331"/>
        <v>30</v>
      </c>
      <c r="J6689" s="7" t="str">
        <f t="shared" si="332"/>
        <v>DEBE</v>
      </c>
      <c r="K6689" s="34" t="s">
        <v>2754</v>
      </c>
      <c r="M6689" s="82" t="s">
        <v>5267</v>
      </c>
    </row>
    <row r="6690" spans="1:13" x14ac:dyDescent="0.25">
      <c r="A6690" s="73">
        <v>46130</v>
      </c>
      <c r="C6690" s="9" t="s">
        <v>6354</v>
      </c>
      <c r="D6690" t="s">
        <v>2363</v>
      </c>
      <c r="F6690" s="6">
        <v>30</v>
      </c>
      <c r="G6690" s="6">
        <f t="shared" si="330"/>
        <v>30</v>
      </c>
      <c r="H6690" s="24">
        <v>30</v>
      </c>
      <c r="I6690" s="26">
        <f t="shared" si="331"/>
        <v>0</v>
      </c>
      <c r="J6690" s="7" t="str">
        <f t="shared" si="332"/>
        <v>PAGADO</v>
      </c>
      <c r="K6690" s="34" t="s">
        <v>2714</v>
      </c>
    </row>
    <row r="6691" spans="1:13" x14ac:dyDescent="0.25">
      <c r="A6691" s="73">
        <v>46130</v>
      </c>
      <c r="C6691" s="9" t="s">
        <v>6355</v>
      </c>
      <c r="D6691" s="9" t="s">
        <v>3444</v>
      </c>
      <c r="F6691" s="6">
        <v>70</v>
      </c>
      <c r="G6691" s="6">
        <f t="shared" si="330"/>
        <v>70</v>
      </c>
      <c r="H6691" s="6">
        <v>0</v>
      </c>
      <c r="I6691" s="26">
        <f t="shared" si="331"/>
        <v>70</v>
      </c>
      <c r="J6691" s="7" t="str">
        <f t="shared" si="332"/>
        <v>DEBE</v>
      </c>
      <c r="K6691" s="33" t="s">
        <v>5974</v>
      </c>
      <c r="M6691" s="82" t="s">
        <v>6004</v>
      </c>
    </row>
    <row r="6692" spans="1:13" x14ac:dyDescent="0.25">
      <c r="A6692" s="73">
        <v>46130</v>
      </c>
      <c r="C6692" s="9" t="s">
        <v>6356</v>
      </c>
      <c r="D6692" s="9" t="s">
        <v>3444</v>
      </c>
      <c r="F6692" s="6">
        <v>70</v>
      </c>
      <c r="G6692" s="6">
        <f t="shared" si="330"/>
        <v>70</v>
      </c>
      <c r="H6692" s="6">
        <v>0</v>
      </c>
      <c r="I6692" s="26">
        <f t="shared" si="331"/>
        <v>70</v>
      </c>
      <c r="J6692" s="7" t="str">
        <f t="shared" si="332"/>
        <v>DEBE</v>
      </c>
      <c r="K6692" s="33" t="s">
        <v>5974</v>
      </c>
      <c r="M6692" s="82" t="s">
        <v>5990</v>
      </c>
    </row>
    <row r="6693" spans="1:13" x14ac:dyDescent="0.25">
      <c r="A6693" s="73">
        <v>46130</v>
      </c>
      <c r="C6693" s="9" t="s">
        <v>6255</v>
      </c>
      <c r="D6693" t="s">
        <v>2548</v>
      </c>
      <c r="F6693" s="6">
        <v>80</v>
      </c>
      <c r="G6693" s="11">
        <f t="shared" si="330"/>
        <v>80</v>
      </c>
      <c r="H6693" s="39">
        <v>40</v>
      </c>
      <c r="I6693" s="26">
        <f t="shared" si="331"/>
        <v>40</v>
      </c>
      <c r="J6693" s="7" t="str">
        <f t="shared" si="332"/>
        <v>DEBE</v>
      </c>
      <c r="K6693" t="s">
        <v>5974</v>
      </c>
      <c r="M6693" s="82" t="s">
        <v>6357</v>
      </c>
    </row>
    <row r="6694" spans="1:13" x14ac:dyDescent="0.25">
      <c r="A6694" s="73">
        <v>46130</v>
      </c>
      <c r="C6694" s="9" t="s">
        <v>6255</v>
      </c>
      <c r="D6694" t="s">
        <v>3497</v>
      </c>
      <c r="F6694" s="6">
        <v>80</v>
      </c>
      <c r="G6694" s="11">
        <f t="shared" si="330"/>
        <v>80</v>
      </c>
      <c r="H6694" s="39">
        <v>40</v>
      </c>
      <c r="I6694" s="26">
        <f t="shared" si="331"/>
        <v>40</v>
      </c>
      <c r="J6694" s="7" t="str">
        <f t="shared" si="332"/>
        <v>DEBE</v>
      </c>
      <c r="K6694" t="s">
        <v>5974</v>
      </c>
      <c r="M6694" s="82" t="s">
        <v>6357</v>
      </c>
    </row>
    <row r="6695" spans="1:13" x14ac:dyDescent="0.25">
      <c r="A6695" s="73">
        <v>46130</v>
      </c>
      <c r="C6695" s="9" t="s">
        <v>6358</v>
      </c>
      <c r="D6695" t="s">
        <v>3497</v>
      </c>
      <c r="F6695" s="6">
        <v>80</v>
      </c>
      <c r="G6695" s="11">
        <f t="shared" si="330"/>
        <v>80</v>
      </c>
      <c r="H6695" s="39">
        <v>40</v>
      </c>
      <c r="I6695" s="26">
        <f t="shared" si="331"/>
        <v>40</v>
      </c>
      <c r="J6695" s="7" t="str">
        <f t="shared" si="332"/>
        <v>DEBE</v>
      </c>
      <c r="K6695" s="9" t="s">
        <v>2754</v>
      </c>
      <c r="M6695" s="82" t="s">
        <v>5601</v>
      </c>
    </row>
    <row r="6696" spans="1:13" x14ac:dyDescent="0.25">
      <c r="A6696" s="73">
        <v>46130</v>
      </c>
      <c r="C6696" s="9" t="s">
        <v>6359</v>
      </c>
      <c r="D6696" t="s">
        <v>3497</v>
      </c>
      <c r="F6696" s="6">
        <v>80</v>
      </c>
      <c r="G6696" s="11">
        <f t="shared" si="330"/>
        <v>80</v>
      </c>
      <c r="H6696" s="39">
        <v>40</v>
      </c>
      <c r="I6696" s="26">
        <f t="shared" si="331"/>
        <v>40</v>
      </c>
      <c r="J6696" s="7" t="str">
        <f t="shared" si="332"/>
        <v>DEBE</v>
      </c>
      <c r="K6696" s="9" t="s">
        <v>2754</v>
      </c>
      <c r="M6696" s="82" t="s">
        <v>5601</v>
      </c>
    </row>
    <row r="6697" spans="1:13" x14ac:dyDescent="0.25">
      <c r="A6697" s="73">
        <v>46130</v>
      </c>
      <c r="C6697" s="9" t="s">
        <v>6360</v>
      </c>
      <c r="D6697" s="9" t="s">
        <v>6361</v>
      </c>
      <c r="F6697" s="6">
        <v>65</v>
      </c>
      <c r="G6697" s="6">
        <f t="shared" si="330"/>
        <v>65</v>
      </c>
      <c r="H6697" s="6">
        <v>65</v>
      </c>
      <c r="I6697" s="26">
        <f t="shared" si="331"/>
        <v>0</v>
      </c>
      <c r="J6697" s="7" t="str">
        <f t="shared" si="332"/>
        <v>PAGADO</v>
      </c>
    </row>
    <row r="6698" spans="1:13" x14ac:dyDescent="0.25">
      <c r="A6698" s="73">
        <v>46130</v>
      </c>
      <c r="C6698" s="9" t="s">
        <v>6362</v>
      </c>
      <c r="D6698" s="9" t="s">
        <v>6363</v>
      </c>
      <c r="F6698" s="6">
        <v>55</v>
      </c>
      <c r="G6698" s="6">
        <f t="shared" si="330"/>
        <v>55</v>
      </c>
      <c r="H6698" s="6">
        <v>27.5</v>
      </c>
      <c r="I6698" s="26">
        <f t="shared" si="331"/>
        <v>27.5</v>
      </c>
      <c r="J6698" s="7" t="str">
        <f t="shared" si="332"/>
        <v>DEBE</v>
      </c>
      <c r="K6698" t="s">
        <v>5974</v>
      </c>
      <c r="M6698" s="82" t="s">
        <v>6038</v>
      </c>
    </row>
    <row r="6699" spans="1:13" x14ac:dyDescent="0.25">
      <c r="A6699" s="73">
        <v>46131</v>
      </c>
      <c r="C6699" t="s">
        <v>6122</v>
      </c>
      <c r="D6699" s="9" t="s">
        <v>6223</v>
      </c>
      <c r="F6699" s="6">
        <v>80</v>
      </c>
      <c r="G6699" s="6">
        <f t="shared" si="330"/>
        <v>80</v>
      </c>
      <c r="H6699" s="6">
        <v>40</v>
      </c>
      <c r="I6699" s="26">
        <f t="shared" si="331"/>
        <v>40</v>
      </c>
      <c r="J6699" s="7" t="str">
        <f t="shared" si="332"/>
        <v>DEBE</v>
      </c>
      <c r="K6699" t="s">
        <v>5974</v>
      </c>
      <c r="M6699" s="8" t="s">
        <v>6013</v>
      </c>
    </row>
    <row r="6700" spans="1:13" x14ac:dyDescent="0.25">
      <c r="A6700" s="73">
        <v>46131</v>
      </c>
      <c r="C6700" t="s">
        <v>6364</v>
      </c>
      <c r="D6700" s="9" t="s">
        <v>6270</v>
      </c>
      <c r="F6700" s="6">
        <v>560</v>
      </c>
      <c r="G6700" s="6">
        <f t="shared" si="330"/>
        <v>560</v>
      </c>
      <c r="H6700" s="6">
        <v>280</v>
      </c>
      <c r="I6700" s="26">
        <f t="shared" si="331"/>
        <v>280</v>
      </c>
      <c r="J6700" s="7" t="str">
        <f t="shared" si="332"/>
        <v>DEBE</v>
      </c>
      <c r="K6700" t="s">
        <v>6365</v>
      </c>
    </row>
    <row r="6701" spans="1:13" x14ac:dyDescent="0.25">
      <c r="A6701" s="73">
        <v>46131</v>
      </c>
      <c r="C6701" s="9" t="s">
        <v>6366</v>
      </c>
      <c r="D6701" s="9" t="s">
        <v>3549</v>
      </c>
      <c r="F6701" s="6">
        <v>160</v>
      </c>
      <c r="G6701" s="6">
        <f t="shared" si="330"/>
        <v>160</v>
      </c>
      <c r="H6701" s="6">
        <v>80</v>
      </c>
      <c r="I6701" s="26">
        <f t="shared" si="331"/>
        <v>80</v>
      </c>
      <c r="J6701" s="7" t="str">
        <f t="shared" si="332"/>
        <v>DEBE</v>
      </c>
      <c r="K6701" s="9" t="s">
        <v>2754</v>
      </c>
      <c r="M6701" s="8" t="s">
        <v>5245</v>
      </c>
    </row>
    <row r="6702" spans="1:13" x14ac:dyDescent="0.25">
      <c r="A6702" s="73">
        <v>46131</v>
      </c>
      <c r="C6702" s="9" t="s">
        <v>6367</v>
      </c>
      <c r="D6702" s="9" t="s">
        <v>1451</v>
      </c>
      <c r="F6702" s="6">
        <v>190</v>
      </c>
      <c r="G6702" s="6">
        <f t="shared" si="330"/>
        <v>190</v>
      </c>
      <c r="H6702" s="6">
        <v>150</v>
      </c>
      <c r="I6702" s="26">
        <f t="shared" si="331"/>
        <v>40</v>
      </c>
      <c r="J6702" s="7" t="str">
        <f t="shared" si="332"/>
        <v>DEBE</v>
      </c>
      <c r="K6702" s="9" t="s">
        <v>2754</v>
      </c>
      <c r="M6702" s="82" t="s">
        <v>5711</v>
      </c>
    </row>
    <row r="6703" spans="1:13" x14ac:dyDescent="0.25">
      <c r="A6703" s="73">
        <v>46131</v>
      </c>
      <c r="C6703" t="s">
        <v>6368</v>
      </c>
      <c r="D6703" t="s">
        <v>6212</v>
      </c>
      <c r="F6703" s="6">
        <v>50</v>
      </c>
      <c r="G6703" s="6">
        <f t="shared" si="330"/>
        <v>50</v>
      </c>
      <c r="H6703" s="6">
        <v>50</v>
      </c>
      <c r="I6703" s="26">
        <f t="shared" si="331"/>
        <v>0</v>
      </c>
      <c r="J6703" s="7" t="str">
        <f t="shared" si="332"/>
        <v>PAGADO</v>
      </c>
    </row>
    <row r="6704" spans="1:13" x14ac:dyDescent="0.25">
      <c r="A6704" s="73">
        <v>46133</v>
      </c>
      <c r="C6704" t="s">
        <v>6369</v>
      </c>
      <c r="D6704" t="s">
        <v>5666</v>
      </c>
      <c r="F6704" s="6">
        <v>100</v>
      </c>
      <c r="G6704" s="6">
        <f t="shared" si="330"/>
        <v>100</v>
      </c>
      <c r="H6704" s="6">
        <v>50</v>
      </c>
      <c r="I6704" s="26">
        <f t="shared" si="331"/>
        <v>50</v>
      </c>
      <c r="J6704" s="7" t="str">
        <f t="shared" si="332"/>
        <v>DEBE</v>
      </c>
      <c r="K6704" t="s">
        <v>2754</v>
      </c>
      <c r="M6704" s="8" t="s">
        <v>5279</v>
      </c>
    </row>
    <row r="6705" spans="1:13" x14ac:dyDescent="0.25">
      <c r="A6705" s="73">
        <v>46133</v>
      </c>
      <c r="C6705" t="s">
        <v>6370</v>
      </c>
      <c r="D6705" t="s">
        <v>5666</v>
      </c>
      <c r="F6705" s="6">
        <v>70</v>
      </c>
      <c r="G6705" s="6">
        <f t="shared" si="330"/>
        <v>70</v>
      </c>
      <c r="H6705" s="6">
        <v>35</v>
      </c>
      <c r="I6705" s="26">
        <f t="shared" si="331"/>
        <v>35</v>
      </c>
      <c r="J6705" s="7" t="str">
        <f t="shared" si="332"/>
        <v>DEBE</v>
      </c>
      <c r="K6705" t="s">
        <v>5974</v>
      </c>
      <c r="M6705" s="8" t="s">
        <v>6371</v>
      </c>
    </row>
    <row r="6706" spans="1:13" x14ac:dyDescent="0.25">
      <c r="A6706" s="73">
        <v>46133</v>
      </c>
      <c r="C6706" t="s">
        <v>6372</v>
      </c>
      <c r="D6706" t="s">
        <v>5084</v>
      </c>
      <c r="F6706" s="6">
        <v>60</v>
      </c>
      <c r="G6706" s="6">
        <f t="shared" si="330"/>
        <v>60</v>
      </c>
      <c r="H6706" s="6">
        <v>30</v>
      </c>
      <c r="I6706" s="26">
        <f t="shared" si="331"/>
        <v>30</v>
      </c>
      <c r="J6706" s="7" t="str">
        <f t="shared" si="332"/>
        <v>DEBE</v>
      </c>
      <c r="K6706" t="s">
        <v>2754</v>
      </c>
      <c r="M6706" s="8" t="s">
        <v>5318</v>
      </c>
    </row>
    <row r="6707" spans="1:13" x14ac:dyDescent="0.25">
      <c r="A6707" s="73">
        <v>46133</v>
      </c>
      <c r="C6707" s="9" t="s">
        <v>6344</v>
      </c>
      <c r="D6707" t="s">
        <v>2363</v>
      </c>
      <c r="F6707" s="6">
        <v>350</v>
      </c>
      <c r="G6707" s="6">
        <f t="shared" si="330"/>
        <v>350</v>
      </c>
      <c r="H6707" s="24">
        <v>350</v>
      </c>
      <c r="I6707" s="26">
        <f t="shared" si="331"/>
        <v>0</v>
      </c>
      <c r="J6707" s="7" t="str">
        <f t="shared" si="332"/>
        <v>PAGADO</v>
      </c>
      <c r="K6707" s="34" t="s">
        <v>2714</v>
      </c>
    </row>
    <row r="6708" spans="1:13" x14ac:dyDescent="0.25">
      <c r="A6708" s="73">
        <v>46134</v>
      </c>
      <c r="C6708" t="s">
        <v>6373</v>
      </c>
      <c r="D6708" s="9" t="s">
        <v>5773</v>
      </c>
      <c r="F6708" s="6">
        <v>80</v>
      </c>
      <c r="G6708" s="6">
        <f t="shared" si="330"/>
        <v>80</v>
      </c>
      <c r="H6708" s="6">
        <v>80</v>
      </c>
      <c r="I6708" s="26">
        <f t="shared" si="331"/>
        <v>0</v>
      </c>
      <c r="J6708" s="7" t="str">
        <f t="shared" si="332"/>
        <v>PAGADO</v>
      </c>
    </row>
    <row r="6709" spans="1:13" x14ac:dyDescent="0.25">
      <c r="A6709" s="73">
        <v>46134</v>
      </c>
      <c r="C6709" s="9" t="s">
        <v>4979</v>
      </c>
      <c r="D6709" t="s">
        <v>3497</v>
      </c>
      <c r="F6709" s="6">
        <v>90</v>
      </c>
      <c r="G6709" s="6">
        <f t="shared" si="330"/>
        <v>90</v>
      </c>
      <c r="H6709" s="6">
        <v>90</v>
      </c>
      <c r="I6709" s="26">
        <f t="shared" si="331"/>
        <v>0</v>
      </c>
      <c r="J6709" s="7" t="str">
        <f t="shared" si="332"/>
        <v>PAGADO</v>
      </c>
    </row>
    <row r="6710" spans="1:13" x14ac:dyDescent="0.25">
      <c r="A6710" s="73">
        <v>46134</v>
      </c>
      <c r="C6710" s="9" t="s">
        <v>6374</v>
      </c>
      <c r="D6710" t="s">
        <v>3497</v>
      </c>
      <c r="F6710" s="6">
        <v>80</v>
      </c>
      <c r="G6710" s="6">
        <f t="shared" si="330"/>
        <v>80</v>
      </c>
      <c r="H6710" s="6">
        <v>80</v>
      </c>
      <c r="I6710" s="26">
        <f t="shared" si="331"/>
        <v>0</v>
      </c>
      <c r="J6710" s="7" t="str">
        <f t="shared" si="332"/>
        <v>PAGADO</v>
      </c>
    </row>
    <row r="6711" spans="1:13" x14ac:dyDescent="0.25">
      <c r="A6711" s="73">
        <v>46134</v>
      </c>
      <c r="C6711" s="9" t="s">
        <v>6375</v>
      </c>
      <c r="D6711" t="s">
        <v>6376</v>
      </c>
      <c r="F6711" s="6">
        <v>350</v>
      </c>
      <c r="G6711" s="6">
        <f t="shared" si="330"/>
        <v>350</v>
      </c>
      <c r="H6711" s="6">
        <v>350</v>
      </c>
      <c r="I6711" s="26">
        <f t="shared" si="331"/>
        <v>0</v>
      </c>
      <c r="J6711" s="7" t="str">
        <f t="shared" si="332"/>
        <v>PAGADO</v>
      </c>
    </row>
    <row r="6712" spans="1:13" x14ac:dyDescent="0.25">
      <c r="A6712" s="73">
        <v>46135</v>
      </c>
      <c r="C6712" t="s">
        <v>6377</v>
      </c>
      <c r="D6712" t="s">
        <v>6212</v>
      </c>
      <c r="F6712" s="6">
        <v>70</v>
      </c>
      <c r="G6712" s="6">
        <f t="shared" si="330"/>
        <v>70</v>
      </c>
      <c r="H6712" s="6">
        <v>70</v>
      </c>
      <c r="I6712" s="26">
        <f t="shared" si="331"/>
        <v>0</v>
      </c>
      <c r="J6712" s="7" t="str">
        <f t="shared" si="332"/>
        <v>PAGADO</v>
      </c>
    </row>
    <row r="6713" spans="1:13" x14ac:dyDescent="0.25">
      <c r="A6713" s="73">
        <v>46135</v>
      </c>
      <c r="C6713" s="9" t="s">
        <v>6378</v>
      </c>
      <c r="D6713" t="s">
        <v>2548</v>
      </c>
      <c r="F6713" s="6">
        <v>350</v>
      </c>
      <c r="G6713" s="11">
        <f t="shared" si="330"/>
        <v>350</v>
      </c>
      <c r="H6713" s="39">
        <v>0</v>
      </c>
      <c r="I6713" s="26">
        <f t="shared" si="331"/>
        <v>350</v>
      </c>
      <c r="J6713" s="7" t="str">
        <f t="shared" si="332"/>
        <v>DEBE</v>
      </c>
    </row>
    <row r="6714" spans="1:13" x14ac:dyDescent="0.25">
      <c r="A6714" s="73">
        <v>46135</v>
      </c>
      <c r="C6714" s="9" t="s">
        <v>6379</v>
      </c>
      <c r="D6714" s="9" t="s">
        <v>4378</v>
      </c>
      <c r="F6714" s="6">
        <v>25</v>
      </c>
      <c r="G6714" s="6">
        <f t="shared" si="330"/>
        <v>25</v>
      </c>
      <c r="H6714" s="6">
        <v>25</v>
      </c>
      <c r="I6714" s="26">
        <f t="shared" si="331"/>
        <v>0</v>
      </c>
      <c r="J6714" s="7" t="str">
        <f t="shared" si="332"/>
        <v>PAGADO</v>
      </c>
    </row>
    <row r="6715" spans="1:13" x14ac:dyDescent="0.25">
      <c r="A6715" s="73">
        <v>46135</v>
      </c>
      <c r="C6715" s="9" t="s">
        <v>6380</v>
      </c>
      <c r="D6715" s="9" t="s">
        <v>3558</v>
      </c>
      <c r="F6715" s="6">
        <v>80</v>
      </c>
      <c r="G6715" s="6">
        <f t="shared" si="330"/>
        <v>80</v>
      </c>
      <c r="H6715" s="6">
        <v>40</v>
      </c>
      <c r="I6715" s="26">
        <f t="shared" si="331"/>
        <v>40</v>
      </c>
      <c r="J6715" s="7" t="str">
        <f t="shared" si="332"/>
        <v>DEBE</v>
      </c>
      <c r="K6715" s="9" t="s">
        <v>2754</v>
      </c>
      <c r="M6715" s="82" t="s">
        <v>5613</v>
      </c>
    </row>
    <row r="6716" spans="1:13" x14ac:dyDescent="0.25">
      <c r="A6716" s="73">
        <v>46135</v>
      </c>
      <c r="C6716" s="9" t="s">
        <v>6381</v>
      </c>
      <c r="D6716" s="9" t="s">
        <v>2878</v>
      </c>
      <c r="F6716" s="6">
        <v>500</v>
      </c>
      <c r="G6716" s="6">
        <f t="shared" si="330"/>
        <v>500</v>
      </c>
      <c r="H6716" s="6">
        <v>500</v>
      </c>
      <c r="I6716" s="26">
        <f t="shared" si="331"/>
        <v>0</v>
      </c>
      <c r="J6716" s="7" t="str">
        <f t="shared" si="332"/>
        <v>PAGADO</v>
      </c>
    </row>
    <row r="6717" spans="1:13" x14ac:dyDescent="0.25">
      <c r="A6717" s="73">
        <v>46136</v>
      </c>
      <c r="C6717" t="s">
        <v>6382</v>
      </c>
      <c r="D6717" s="9" t="s">
        <v>5636</v>
      </c>
      <c r="F6717" s="6">
        <v>260</v>
      </c>
      <c r="G6717" s="6">
        <f t="shared" si="330"/>
        <v>260</v>
      </c>
      <c r="H6717" s="6">
        <v>260</v>
      </c>
      <c r="I6717" s="26">
        <f t="shared" si="331"/>
        <v>0</v>
      </c>
      <c r="J6717" s="7" t="str">
        <f t="shared" si="332"/>
        <v>PAGADO</v>
      </c>
    </row>
    <row r="6718" spans="1:13" x14ac:dyDescent="0.25">
      <c r="A6718" s="73">
        <v>46136</v>
      </c>
      <c r="C6718" t="s">
        <v>6383</v>
      </c>
      <c r="D6718" s="9" t="s">
        <v>2278</v>
      </c>
      <c r="F6718" s="6">
        <v>60</v>
      </c>
      <c r="G6718" s="6">
        <f t="shared" ref="G6718:G6748" si="333">F6718-E6718</f>
        <v>60</v>
      </c>
      <c r="H6718" s="6">
        <v>0</v>
      </c>
      <c r="I6718" s="26">
        <f t="shared" si="331"/>
        <v>60</v>
      </c>
      <c r="J6718" s="7" t="str">
        <f t="shared" si="332"/>
        <v>DEBE</v>
      </c>
      <c r="K6718" t="s">
        <v>5974</v>
      </c>
      <c r="M6718" s="8" t="s">
        <v>6384</v>
      </c>
    </row>
    <row r="6719" spans="1:13" x14ac:dyDescent="0.25">
      <c r="A6719" s="73">
        <v>46136</v>
      </c>
      <c r="C6719" t="s">
        <v>6385</v>
      </c>
      <c r="D6719" s="9" t="s">
        <v>2278</v>
      </c>
      <c r="F6719" s="6">
        <v>100</v>
      </c>
      <c r="G6719" s="6">
        <f t="shared" si="333"/>
        <v>100</v>
      </c>
      <c r="H6719" s="6">
        <v>0</v>
      </c>
      <c r="I6719" s="26">
        <f t="shared" si="331"/>
        <v>100</v>
      </c>
      <c r="J6719" s="7" t="str">
        <f t="shared" si="332"/>
        <v>DEBE</v>
      </c>
      <c r="K6719" t="s">
        <v>5974</v>
      </c>
      <c r="M6719" s="8" t="s">
        <v>6384</v>
      </c>
    </row>
    <row r="6720" spans="1:13" x14ac:dyDescent="0.25">
      <c r="A6720" s="73">
        <v>46136</v>
      </c>
      <c r="C6720" t="s">
        <v>6386</v>
      </c>
      <c r="D6720" s="9" t="s">
        <v>2278</v>
      </c>
      <c r="F6720" s="6">
        <v>100</v>
      </c>
      <c r="G6720" s="6">
        <f t="shared" si="333"/>
        <v>100</v>
      </c>
      <c r="H6720" s="6">
        <v>0</v>
      </c>
      <c r="I6720" s="26">
        <f t="shared" si="331"/>
        <v>100</v>
      </c>
      <c r="J6720" s="7" t="str">
        <f t="shared" si="332"/>
        <v>DEBE</v>
      </c>
      <c r="K6720" t="s">
        <v>5974</v>
      </c>
      <c r="M6720" s="8" t="s">
        <v>6384</v>
      </c>
    </row>
    <row r="6721" spans="1:13" x14ac:dyDescent="0.25">
      <c r="A6721" s="73">
        <v>46136</v>
      </c>
      <c r="C6721" t="s">
        <v>6387</v>
      </c>
      <c r="D6721" s="9" t="s">
        <v>2278</v>
      </c>
      <c r="F6721" s="6">
        <v>100</v>
      </c>
      <c r="G6721" s="6">
        <f t="shared" si="333"/>
        <v>100</v>
      </c>
      <c r="H6721" s="6">
        <v>0</v>
      </c>
      <c r="I6721" s="26">
        <f t="shared" si="331"/>
        <v>100</v>
      </c>
      <c r="J6721" s="7" t="str">
        <f t="shared" si="332"/>
        <v>DEBE</v>
      </c>
      <c r="K6721" t="s">
        <v>5974</v>
      </c>
      <c r="M6721" s="8" t="s">
        <v>6384</v>
      </c>
    </row>
    <row r="6722" spans="1:13" x14ac:dyDescent="0.25">
      <c r="A6722" s="73">
        <v>46136</v>
      </c>
      <c r="C6722" t="s">
        <v>6388</v>
      </c>
      <c r="D6722" s="9" t="s">
        <v>2278</v>
      </c>
      <c r="F6722" s="6">
        <v>90</v>
      </c>
      <c r="G6722" s="6">
        <f t="shared" si="333"/>
        <v>90</v>
      </c>
      <c r="H6722" s="6">
        <v>0</v>
      </c>
      <c r="I6722" s="26">
        <f t="shared" si="331"/>
        <v>90</v>
      </c>
      <c r="J6722" s="7" t="str">
        <f t="shared" si="332"/>
        <v>DEBE</v>
      </c>
      <c r="K6722" t="s">
        <v>5974</v>
      </c>
      <c r="M6722" s="8" t="s">
        <v>6384</v>
      </c>
    </row>
    <row r="6723" spans="1:13" x14ac:dyDescent="0.25">
      <c r="A6723" s="73">
        <v>46136</v>
      </c>
      <c r="C6723" t="s">
        <v>6389</v>
      </c>
      <c r="D6723" s="9" t="s">
        <v>6390</v>
      </c>
      <c r="F6723" s="6">
        <v>90</v>
      </c>
      <c r="G6723" s="6">
        <f t="shared" si="333"/>
        <v>90</v>
      </c>
      <c r="H6723" s="6">
        <v>40</v>
      </c>
      <c r="I6723" s="26">
        <f t="shared" si="331"/>
        <v>50</v>
      </c>
      <c r="J6723" s="7" t="str">
        <f t="shared" si="332"/>
        <v>DEBE</v>
      </c>
    </row>
    <row r="6724" spans="1:13" x14ac:dyDescent="0.25">
      <c r="A6724" s="73">
        <v>46135</v>
      </c>
      <c r="C6724" s="98" t="s">
        <v>6391</v>
      </c>
      <c r="D6724" s="98" t="s">
        <v>4881</v>
      </c>
      <c r="F6724" s="6">
        <v>60</v>
      </c>
      <c r="G6724" s="6">
        <f t="shared" si="333"/>
        <v>60</v>
      </c>
      <c r="H6724" s="6">
        <v>60</v>
      </c>
      <c r="I6724" s="26">
        <f t="shared" si="331"/>
        <v>0</v>
      </c>
      <c r="J6724" s="7" t="str">
        <f t="shared" si="332"/>
        <v>PAGADO</v>
      </c>
      <c r="K6724" t="s">
        <v>5974</v>
      </c>
      <c r="M6724" s="8" t="s">
        <v>6392</v>
      </c>
    </row>
    <row r="6725" spans="1:13" x14ac:dyDescent="0.25">
      <c r="A6725" s="73">
        <v>46136</v>
      </c>
      <c r="C6725" t="s">
        <v>6393</v>
      </c>
      <c r="D6725" s="9" t="s">
        <v>2278</v>
      </c>
      <c r="F6725" s="6">
        <v>120</v>
      </c>
      <c r="G6725" s="6">
        <f t="shared" si="333"/>
        <v>120</v>
      </c>
      <c r="H6725" s="6">
        <v>60</v>
      </c>
      <c r="I6725" s="26">
        <f t="shared" si="331"/>
        <v>60</v>
      </c>
      <c r="J6725" s="7" t="str">
        <f t="shared" si="332"/>
        <v>DEBE</v>
      </c>
      <c r="K6725" t="s">
        <v>5974</v>
      </c>
      <c r="M6725" s="8" t="s">
        <v>6047</v>
      </c>
    </row>
    <row r="6726" spans="1:13" x14ac:dyDescent="0.25">
      <c r="A6726" s="73">
        <v>46137</v>
      </c>
      <c r="C6726" t="s">
        <v>5547</v>
      </c>
      <c r="D6726" s="9" t="s">
        <v>6394</v>
      </c>
      <c r="F6726" s="6">
        <v>80</v>
      </c>
      <c r="G6726" s="6">
        <f t="shared" si="333"/>
        <v>80</v>
      </c>
      <c r="H6726" s="6">
        <v>80</v>
      </c>
      <c r="I6726" s="26">
        <f t="shared" si="331"/>
        <v>0</v>
      </c>
      <c r="J6726" s="7" t="str">
        <f t="shared" si="332"/>
        <v>PAGADO</v>
      </c>
    </row>
    <row r="6727" spans="1:13" x14ac:dyDescent="0.25">
      <c r="A6727" s="73">
        <v>46137</v>
      </c>
      <c r="C6727" t="s">
        <v>6395</v>
      </c>
      <c r="D6727" s="9" t="s">
        <v>6396</v>
      </c>
      <c r="F6727" s="6">
        <v>260</v>
      </c>
      <c r="G6727" s="6">
        <f t="shared" si="333"/>
        <v>260</v>
      </c>
      <c r="H6727" s="6">
        <v>260</v>
      </c>
      <c r="I6727" s="26">
        <f t="shared" si="331"/>
        <v>0</v>
      </c>
      <c r="J6727" s="7" t="str">
        <f t="shared" si="332"/>
        <v>PAGADO</v>
      </c>
    </row>
    <row r="6728" spans="1:13" x14ac:dyDescent="0.25">
      <c r="A6728" s="73">
        <v>46137</v>
      </c>
      <c r="C6728" t="s">
        <v>6397</v>
      </c>
      <c r="D6728" s="9" t="s">
        <v>5739</v>
      </c>
      <c r="F6728" s="6">
        <v>60</v>
      </c>
      <c r="G6728" s="6">
        <f t="shared" si="333"/>
        <v>60</v>
      </c>
      <c r="H6728" s="6">
        <v>10</v>
      </c>
      <c r="I6728" s="26">
        <f t="shared" si="331"/>
        <v>50</v>
      </c>
      <c r="J6728" s="7" t="str">
        <f t="shared" si="332"/>
        <v>DEBE</v>
      </c>
    </row>
    <row r="6729" spans="1:13" x14ac:dyDescent="0.25">
      <c r="A6729" s="73">
        <v>46137</v>
      </c>
      <c r="C6729" t="s">
        <v>6175</v>
      </c>
      <c r="D6729" t="s">
        <v>6398</v>
      </c>
      <c r="F6729" s="6">
        <v>90</v>
      </c>
      <c r="G6729" s="6">
        <f t="shared" si="333"/>
        <v>90</v>
      </c>
      <c r="H6729" s="6">
        <v>90</v>
      </c>
      <c r="I6729" s="26">
        <f t="shared" si="331"/>
        <v>0</v>
      </c>
      <c r="J6729" s="7" t="str">
        <f t="shared" si="332"/>
        <v>PAGADO</v>
      </c>
    </row>
    <row r="6730" spans="1:13" x14ac:dyDescent="0.25">
      <c r="A6730" s="73">
        <v>46137</v>
      </c>
      <c r="C6730" s="9" t="s">
        <v>6399</v>
      </c>
      <c r="D6730" s="9" t="s">
        <v>5771</v>
      </c>
      <c r="F6730" s="6">
        <v>70</v>
      </c>
      <c r="G6730" s="6">
        <f t="shared" si="333"/>
        <v>70</v>
      </c>
      <c r="H6730" s="6">
        <v>35</v>
      </c>
      <c r="I6730" s="26">
        <f t="shared" si="331"/>
        <v>35</v>
      </c>
      <c r="J6730" s="7" t="str">
        <f t="shared" si="332"/>
        <v>DEBE</v>
      </c>
      <c r="K6730" t="s">
        <v>2754</v>
      </c>
      <c r="M6730" s="8" t="s">
        <v>5440</v>
      </c>
    </row>
    <row r="6731" spans="1:13" x14ac:dyDescent="0.25">
      <c r="A6731" s="73">
        <v>46137</v>
      </c>
      <c r="C6731" s="9" t="s">
        <v>1262</v>
      </c>
      <c r="D6731" s="9" t="s">
        <v>5771</v>
      </c>
      <c r="F6731" s="6">
        <v>90</v>
      </c>
      <c r="G6731" s="6">
        <f t="shared" si="333"/>
        <v>90</v>
      </c>
      <c r="H6731" s="6">
        <v>45</v>
      </c>
      <c r="I6731" s="26">
        <f t="shared" ref="I6731:I6748" si="334">F6731-H6731</f>
        <v>45</v>
      </c>
      <c r="J6731" s="7" t="str">
        <f t="shared" si="332"/>
        <v>DEBE</v>
      </c>
      <c r="K6731" t="s">
        <v>5974</v>
      </c>
      <c r="M6731" s="8" t="s">
        <v>5440</v>
      </c>
    </row>
    <row r="6732" spans="1:13" x14ac:dyDescent="0.25">
      <c r="A6732" s="73">
        <v>46138</v>
      </c>
      <c r="C6732" t="s">
        <v>2266</v>
      </c>
      <c r="D6732" t="s">
        <v>5168</v>
      </c>
      <c r="F6732" s="6">
        <v>80</v>
      </c>
      <c r="G6732" s="6">
        <f t="shared" si="333"/>
        <v>80</v>
      </c>
      <c r="H6732" s="6">
        <v>80</v>
      </c>
      <c r="I6732" s="26">
        <f t="shared" si="334"/>
        <v>0</v>
      </c>
      <c r="J6732" s="7" t="str">
        <f t="shared" si="332"/>
        <v>PAGADO</v>
      </c>
    </row>
    <row r="6733" spans="1:13" x14ac:dyDescent="0.25">
      <c r="A6733" s="73">
        <v>46138</v>
      </c>
      <c r="C6733" t="s">
        <v>6400</v>
      </c>
      <c r="D6733" t="s">
        <v>5168</v>
      </c>
      <c r="F6733" s="6">
        <v>120</v>
      </c>
      <c r="G6733" s="6">
        <f t="shared" si="333"/>
        <v>120</v>
      </c>
      <c r="H6733" s="6">
        <v>120</v>
      </c>
      <c r="I6733" s="26">
        <f t="shared" si="334"/>
        <v>0</v>
      </c>
      <c r="J6733" s="7" t="str">
        <f t="shared" si="332"/>
        <v>PAGADO</v>
      </c>
    </row>
    <row r="6734" spans="1:13" x14ac:dyDescent="0.25">
      <c r="A6734" s="73">
        <v>46138</v>
      </c>
      <c r="C6734" t="s">
        <v>6107</v>
      </c>
      <c r="D6734" t="s">
        <v>6401</v>
      </c>
      <c r="F6734" s="6">
        <v>90</v>
      </c>
      <c r="G6734" s="6">
        <f t="shared" si="333"/>
        <v>90</v>
      </c>
      <c r="H6734" s="6">
        <v>45</v>
      </c>
      <c r="I6734" s="26">
        <f t="shared" si="334"/>
        <v>45</v>
      </c>
      <c r="J6734" s="7" t="str">
        <f t="shared" si="332"/>
        <v>DEBE</v>
      </c>
      <c r="K6734" t="s">
        <v>5974</v>
      </c>
      <c r="M6734" s="8" t="s">
        <v>6108</v>
      </c>
    </row>
    <row r="6735" spans="1:13" x14ac:dyDescent="0.25">
      <c r="A6735" s="73">
        <v>46138</v>
      </c>
      <c r="C6735" t="s">
        <v>6245</v>
      </c>
      <c r="D6735" t="s">
        <v>6401</v>
      </c>
      <c r="F6735" s="6">
        <v>80</v>
      </c>
      <c r="G6735" s="6">
        <f t="shared" si="333"/>
        <v>80</v>
      </c>
      <c r="H6735" s="6">
        <v>40</v>
      </c>
      <c r="I6735" s="26">
        <f t="shared" si="334"/>
        <v>40</v>
      </c>
      <c r="J6735" s="7" t="str">
        <f t="shared" ref="J6735:J6748" si="335">IF(I6735&gt;0,"DEBE","PAGADO")</f>
        <v>DEBE</v>
      </c>
      <c r="K6735" t="s">
        <v>5974</v>
      </c>
      <c r="M6735" s="8" t="s">
        <v>6246</v>
      </c>
    </row>
    <row r="6736" spans="1:13" x14ac:dyDescent="0.25">
      <c r="A6736" s="73">
        <v>46139</v>
      </c>
      <c r="C6736" s="9" t="s">
        <v>6222</v>
      </c>
      <c r="D6736" s="9" t="s">
        <v>3549</v>
      </c>
      <c r="F6736" s="6">
        <v>80</v>
      </c>
      <c r="G6736" s="6">
        <f t="shared" si="333"/>
        <v>80</v>
      </c>
      <c r="H6736" s="6">
        <f>20+20</f>
        <v>40</v>
      </c>
      <c r="I6736" s="26">
        <f t="shared" si="334"/>
        <v>40</v>
      </c>
      <c r="J6736" s="7" t="str">
        <f t="shared" si="335"/>
        <v>DEBE</v>
      </c>
      <c r="K6736" s="9" t="s">
        <v>6402</v>
      </c>
    </row>
    <row r="6737" spans="1:13" x14ac:dyDescent="0.25">
      <c r="A6737" s="73">
        <v>46138</v>
      </c>
      <c r="C6737" s="9" t="s">
        <v>6403</v>
      </c>
      <c r="D6737" s="9" t="s">
        <v>3434</v>
      </c>
      <c r="F6737" s="6">
        <v>200</v>
      </c>
      <c r="G6737" s="6">
        <f t="shared" si="333"/>
        <v>200</v>
      </c>
      <c r="H6737" s="6">
        <v>0</v>
      </c>
      <c r="I6737" s="26">
        <f t="shared" si="334"/>
        <v>200</v>
      </c>
      <c r="J6737" s="7" t="str">
        <f t="shared" si="335"/>
        <v>DEBE</v>
      </c>
      <c r="K6737" s="33" t="s">
        <v>2754</v>
      </c>
    </row>
    <row r="6738" spans="1:13" x14ac:dyDescent="0.25">
      <c r="A6738" s="73">
        <v>46138</v>
      </c>
      <c r="C6738" t="s">
        <v>6404</v>
      </c>
      <c r="D6738" s="9" t="s">
        <v>18</v>
      </c>
      <c r="F6738" s="6">
        <v>60</v>
      </c>
      <c r="G6738" s="11">
        <f t="shared" si="333"/>
        <v>60</v>
      </c>
      <c r="H6738" s="11">
        <v>0</v>
      </c>
      <c r="I6738" s="26">
        <f t="shared" si="334"/>
        <v>60</v>
      </c>
      <c r="J6738" s="7" t="str">
        <f t="shared" si="335"/>
        <v>DEBE</v>
      </c>
    </row>
    <row r="6739" spans="1:13" x14ac:dyDescent="0.25">
      <c r="A6739" s="73">
        <v>46139</v>
      </c>
      <c r="C6739" t="s">
        <v>5818</v>
      </c>
      <c r="D6739" t="s">
        <v>6398</v>
      </c>
      <c r="F6739" s="6">
        <v>100</v>
      </c>
      <c r="G6739" s="6">
        <f t="shared" si="333"/>
        <v>100</v>
      </c>
      <c r="H6739" s="6">
        <v>0</v>
      </c>
      <c r="I6739" s="26">
        <f t="shared" si="334"/>
        <v>100</v>
      </c>
      <c r="J6739" s="7" t="str">
        <f t="shared" si="335"/>
        <v>DEBE</v>
      </c>
    </row>
    <row r="6740" spans="1:13" x14ac:dyDescent="0.25">
      <c r="A6740" s="73">
        <v>46139</v>
      </c>
      <c r="C6740" t="s">
        <v>6405</v>
      </c>
      <c r="D6740" t="s">
        <v>6398</v>
      </c>
      <c r="F6740" s="6">
        <v>70</v>
      </c>
      <c r="G6740" s="6">
        <f t="shared" si="333"/>
        <v>70</v>
      </c>
      <c r="H6740" s="6">
        <v>0</v>
      </c>
      <c r="I6740" s="26">
        <f t="shared" si="334"/>
        <v>70</v>
      </c>
      <c r="J6740" s="7" t="str">
        <f t="shared" si="335"/>
        <v>DEBE</v>
      </c>
    </row>
    <row r="6741" spans="1:13" x14ac:dyDescent="0.25">
      <c r="A6741" s="73">
        <v>46139</v>
      </c>
      <c r="C6741" t="s">
        <v>6192</v>
      </c>
      <c r="D6741" t="s">
        <v>6398</v>
      </c>
      <c r="F6741" s="6">
        <v>80</v>
      </c>
      <c r="G6741" s="6">
        <f t="shared" si="333"/>
        <v>80</v>
      </c>
      <c r="H6741" s="6">
        <v>0</v>
      </c>
      <c r="I6741" s="26">
        <f t="shared" si="334"/>
        <v>80</v>
      </c>
      <c r="J6741" s="7" t="str">
        <f t="shared" si="335"/>
        <v>DEBE</v>
      </c>
    </row>
    <row r="6742" spans="1:13" x14ac:dyDescent="0.25">
      <c r="A6742" s="73">
        <v>46139</v>
      </c>
      <c r="C6742" t="s">
        <v>4735</v>
      </c>
      <c r="D6742" t="s">
        <v>6398</v>
      </c>
      <c r="F6742" s="6">
        <v>60</v>
      </c>
      <c r="G6742" s="6">
        <f t="shared" si="333"/>
        <v>60</v>
      </c>
      <c r="H6742" s="6">
        <v>0</v>
      </c>
      <c r="I6742" s="26">
        <f t="shared" si="334"/>
        <v>60</v>
      </c>
      <c r="J6742" s="7" t="str">
        <f t="shared" si="335"/>
        <v>DEBE</v>
      </c>
    </row>
    <row r="6743" spans="1:13" x14ac:dyDescent="0.25">
      <c r="A6743" s="73">
        <v>46139</v>
      </c>
      <c r="C6743" t="s">
        <v>6406</v>
      </c>
      <c r="D6743" t="s">
        <v>6398</v>
      </c>
      <c r="F6743" s="6">
        <v>60</v>
      </c>
      <c r="G6743" s="6">
        <f t="shared" si="333"/>
        <v>60</v>
      </c>
      <c r="H6743" s="6">
        <v>0</v>
      </c>
      <c r="I6743" s="26">
        <f t="shared" si="334"/>
        <v>60</v>
      </c>
      <c r="J6743" s="7" t="str">
        <f t="shared" si="335"/>
        <v>DEBE</v>
      </c>
    </row>
    <row r="6744" spans="1:13" x14ac:dyDescent="0.25">
      <c r="A6744" s="73">
        <v>46139</v>
      </c>
      <c r="C6744" s="9" t="s">
        <v>695</v>
      </c>
      <c r="D6744" t="s">
        <v>5168</v>
      </c>
      <c r="F6744" s="6">
        <v>50</v>
      </c>
      <c r="G6744" s="6">
        <f t="shared" si="333"/>
        <v>50</v>
      </c>
      <c r="H6744" s="6">
        <v>50</v>
      </c>
      <c r="I6744" s="26">
        <f t="shared" si="334"/>
        <v>0</v>
      </c>
      <c r="J6744" s="7" t="str">
        <f t="shared" si="335"/>
        <v>PAGADO</v>
      </c>
    </row>
    <row r="6745" spans="1:13" x14ac:dyDescent="0.25">
      <c r="A6745" s="73">
        <v>46139</v>
      </c>
      <c r="C6745" s="9" t="s">
        <v>5393</v>
      </c>
      <c r="D6745" t="s">
        <v>6407</v>
      </c>
      <c r="F6745" s="6">
        <v>350</v>
      </c>
      <c r="G6745" s="6">
        <f t="shared" si="333"/>
        <v>350</v>
      </c>
      <c r="H6745" s="6">
        <v>350</v>
      </c>
      <c r="I6745" s="26">
        <f t="shared" si="334"/>
        <v>0</v>
      </c>
      <c r="J6745" s="7" t="str">
        <f t="shared" si="335"/>
        <v>PAGADO</v>
      </c>
    </row>
    <row r="6746" spans="1:13" x14ac:dyDescent="0.25">
      <c r="A6746" s="73">
        <v>46139</v>
      </c>
      <c r="C6746" s="9" t="s">
        <v>5626</v>
      </c>
      <c r="D6746" s="98" t="s">
        <v>3316</v>
      </c>
      <c r="F6746" s="6">
        <v>40</v>
      </c>
      <c r="G6746" s="101">
        <f t="shared" si="333"/>
        <v>40</v>
      </c>
      <c r="H6746" s="101">
        <v>40</v>
      </c>
      <c r="I6746" s="100">
        <f t="shared" si="334"/>
        <v>0</v>
      </c>
      <c r="J6746" s="7" t="str">
        <f t="shared" si="335"/>
        <v>PAGADO</v>
      </c>
    </row>
    <row r="6747" spans="1:13" x14ac:dyDescent="0.25">
      <c r="A6747" s="73">
        <v>46139</v>
      </c>
      <c r="C6747" s="9" t="s">
        <v>909</v>
      </c>
      <c r="D6747" t="s">
        <v>6408</v>
      </c>
      <c r="F6747" s="6">
        <v>80</v>
      </c>
      <c r="G6747" s="6">
        <f t="shared" si="333"/>
        <v>80</v>
      </c>
      <c r="H6747" s="6">
        <v>40</v>
      </c>
      <c r="I6747" s="26">
        <f t="shared" si="334"/>
        <v>40</v>
      </c>
      <c r="J6747" s="7" t="str">
        <f t="shared" si="335"/>
        <v>DEBE</v>
      </c>
      <c r="K6747" t="s">
        <v>2754</v>
      </c>
      <c r="M6747" s="82" t="s">
        <v>5364</v>
      </c>
    </row>
    <row r="6748" spans="1:13" x14ac:dyDescent="0.25">
      <c r="A6748" s="73">
        <v>46139</v>
      </c>
      <c r="C6748" s="9" t="s">
        <v>6409</v>
      </c>
      <c r="D6748" t="s">
        <v>6408</v>
      </c>
      <c r="F6748" s="6">
        <v>50</v>
      </c>
      <c r="G6748" s="6">
        <f t="shared" si="333"/>
        <v>50</v>
      </c>
      <c r="H6748" s="6">
        <v>25</v>
      </c>
      <c r="I6748" s="26">
        <f t="shared" si="334"/>
        <v>25</v>
      </c>
      <c r="J6748" s="7" t="str">
        <f t="shared" si="335"/>
        <v>DEBE</v>
      </c>
      <c r="K6748" t="s">
        <v>2754</v>
      </c>
      <c r="M6748" s="82" t="s">
        <v>5271</v>
      </c>
    </row>
  </sheetData>
  <autoFilter ref="A1:M6746" xr:uid="{0F7BAC6A-D262-48A6-9710-1D7D669F67B4}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 FERNANDEZ ANGELES</dc:creator>
  <cp:lastModifiedBy>DIEGO ANDRÉ FERNANDEZ ANGELES</cp:lastModifiedBy>
  <dcterms:created xsi:type="dcterms:W3CDTF">2026-04-28T04:16:46Z</dcterms:created>
  <dcterms:modified xsi:type="dcterms:W3CDTF">2026-04-28T04:17:21Z</dcterms:modified>
</cp:coreProperties>
</file>